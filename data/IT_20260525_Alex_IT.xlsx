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IT</t>
        </is>
      </c>
      <c r="D11" s="177" t="n"/>
      <c r="E11" s="177" t="n"/>
      <c r="F11" s="177" t="n"/>
      <c r="G11" s="177" t="n"/>
      <c r="H11" s="177" t="n"/>
      <c r="I11" s="177" t="n"/>
      <c r="J11" s="177" t="n"/>
      <c r="K11" s="177" t="n"/>
      <c r="L11" s="13" t="n"/>
    </row>
    <row r="12" ht="20.1" customHeight="1" s="206">
      <c r="A12" s="2" t="inlineStr">
        <is>
          <t>nn</t>
        </is>
      </c>
      <c r="B12" s="23" t="inlineStr">
        <is>
          <t>Name</t>
        </is>
      </c>
      <c r="C12" s="176" t="inlineStr">
        <is>
          <t>Italy</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There is no primary definition of migration background. One is either Italian with Italian citizenship or a foreigner without Italian citizenship.</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https://www.istat.it/it/files/2020/04/Identit%C3%A0-e-percorsi.pdf; downloaded 46116</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83.5923289270664</v>
      </c>
      <c r="D60" s="40" t="n">
        <v>85.59999999999999</v>
      </c>
      <c r="E60" s="40" t="n">
        <v>81.5</v>
      </c>
      <c r="F60" s="40" t="n">
        <v>85.59999999999999</v>
      </c>
      <c r="G60" s="40" t="n">
        <v>81.5</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https://esploradati.istat.it/databrowser/#/en/dw/categories/IT1,POP,1.0/POP_POPULATION/DCIS_INDDEMOG1/IT1,22_293_DF_DCIS_INDDEMOG1_1,1.0; downloaded 46116; no distinction between native/migrant available</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2024</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431230</v>
      </c>
      <c r="D9" s="56" t="n">
        <v>184942</v>
      </c>
      <c r="E9" s="56" t="n">
        <v>195688</v>
      </c>
      <c r="F9" s="56" t="n">
        <v>24645</v>
      </c>
      <c r="G9" s="56" t="n">
        <v>25955</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448444</v>
      </c>
      <c r="D10" s="56" t="n">
        <v>192455</v>
      </c>
      <c r="E10" s="56" t="n">
        <v>204738</v>
      </c>
      <c r="F10" s="56" t="n">
        <v>24887</v>
      </c>
      <c r="G10" s="56" t="n">
        <v>26364</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460121</v>
      </c>
      <c r="D11" s="56" t="n">
        <v>198642</v>
      </c>
      <c r="E11" s="56" t="n">
        <v>208930</v>
      </c>
      <c r="F11" s="56" t="n">
        <v>25697</v>
      </c>
      <c r="G11" s="56" t="n">
        <v>26852</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471779</v>
      </c>
      <c r="D12" s="56" t="n">
        <v>201122</v>
      </c>
      <c r="E12" s="56" t="n">
        <v>213459</v>
      </c>
      <c r="F12" s="56" t="n">
        <v>27707</v>
      </c>
      <c r="G12" s="56" t="n">
        <v>29491</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491416</v>
      </c>
      <c r="D13" s="56" t="n">
        <v>210212</v>
      </c>
      <c r="E13" s="56" t="n">
        <v>221288</v>
      </c>
      <c r="F13" s="56" t="n">
        <v>29069</v>
      </c>
      <c r="G13" s="56" t="n">
        <v>30847</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511769</v>
      </c>
      <c r="D14" s="56" t="n">
        <v>218688</v>
      </c>
      <c r="E14" s="56" t="n">
        <v>231752</v>
      </c>
      <c r="F14" s="56" t="n">
        <v>29698</v>
      </c>
      <c r="G14" s="56" t="n">
        <v>31631</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532902</v>
      </c>
      <c r="D15" s="56" t="n">
        <v>227751</v>
      </c>
      <c r="E15" s="56" t="n">
        <v>241613</v>
      </c>
      <c r="F15" s="56" t="n">
        <v>30741</v>
      </c>
      <c r="G15" s="56" t="n">
        <v>32797</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546389</v>
      </c>
      <c r="D16" s="56" t="n">
        <v>235369</v>
      </c>
      <c r="E16" s="56" t="n">
        <v>248294</v>
      </c>
      <c r="F16" s="56" t="n">
        <v>30153</v>
      </c>
      <c r="G16" s="56" t="n">
        <v>32573</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557631</v>
      </c>
      <c r="D17" s="56" t="n">
        <v>240818</v>
      </c>
      <c r="E17" s="56" t="n">
        <v>255000</v>
      </c>
      <c r="F17" s="56" t="n">
        <v>29841</v>
      </c>
      <c r="G17" s="56" t="n">
        <v>31972</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572187</v>
      </c>
      <c r="D18" s="56" t="n">
        <v>247842</v>
      </c>
      <c r="E18" s="56" t="n">
        <v>262545</v>
      </c>
      <c r="F18" s="56" t="n">
        <v>29953</v>
      </c>
      <c r="G18" s="56" t="n">
        <v>31847</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577620</v>
      </c>
      <c r="D19" s="56" t="n">
        <v>251495</v>
      </c>
      <c r="E19" s="56" t="n">
        <v>266331</v>
      </c>
      <c r="F19" s="56" t="n">
        <v>28927</v>
      </c>
      <c r="G19" s="56" t="n">
        <v>30867</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600403</v>
      </c>
      <c r="D20" s="56" t="n">
        <v>262271</v>
      </c>
      <c r="E20" s="56" t="n">
        <v>277888</v>
      </c>
      <c r="F20" s="56" t="n">
        <v>28942</v>
      </c>
      <c r="G20" s="56" t="n">
        <v>31302</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605350</v>
      </c>
      <c r="D21" s="56" t="n">
        <v>266330</v>
      </c>
      <c r="E21" s="56" t="n">
        <v>282542</v>
      </c>
      <c r="F21" s="56" t="n">
        <v>27058</v>
      </c>
      <c r="G21" s="56" t="n">
        <v>29420</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620252</v>
      </c>
      <c r="D22" s="56" t="n">
        <v>273403</v>
      </c>
      <c r="E22" s="56" t="n">
        <v>291214</v>
      </c>
      <c r="F22" s="56" t="n">
        <v>26543</v>
      </c>
      <c r="G22" s="56" t="n">
        <v>29092</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628981</v>
      </c>
      <c r="D23" s="56" t="n">
        <v>278076</v>
      </c>
      <c r="E23" s="56" t="n">
        <v>295569</v>
      </c>
      <c r="F23" s="56" t="n">
        <v>26505</v>
      </c>
      <c r="G23" s="56" t="n">
        <v>28831</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635360</v>
      </c>
      <c r="D24" s="56" t="n">
        <v>282062</v>
      </c>
      <c r="E24" s="56" t="n">
        <v>298883</v>
      </c>
      <c r="F24" s="56" t="n">
        <v>25981</v>
      </c>
      <c r="G24" s="56" t="n">
        <v>28434</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633125</v>
      </c>
      <c r="D25" s="56" t="n">
        <v>280540</v>
      </c>
      <c r="E25" s="56" t="n">
        <v>299700</v>
      </c>
      <c r="F25" s="56" t="n">
        <v>24652</v>
      </c>
      <c r="G25" s="56" t="n">
        <v>28233</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635936</v>
      </c>
      <c r="D26" s="56" t="n">
        <v>280729</v>
      </c>
      <c r="E26" s="56" t="n">
        <v>302297</v>
      </c>
      <c r="F26" s="56" t="n">
        <v>23781</v>
      </c>
      <c r="G26" s="56" t="n">
        <v>29129</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629177</v>
      </c>
      <c r="D27" s="56" t="n">
        <v>279127</v>
      </c>
      <c r="E27" s="56" t="n">
        <v>304333</v>
      </c>
      <c r="F27" s="56" t="n">
        <v>18882</v>
      </c>
      <c r="G27" s="56" t="n">
        <v>26835</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640779</v>
      </c>
      <c r="D28" s="56" t="n">
        <v>283627</v>
      </c>
      <c r="E28" s="56" t="n">
        <v>309963</v>
      </c>
      <c r="F28" s="56" t="n">
        <v>18123</v>
      </c>
      <c r="G28" s="56" t="n">
        <v>29066</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630594</v>
      </c>
      <c r="D29" s="56" t="n">
        <v>278991</v>
      </c>
      <c r="E29" s="56" t="n">
        <v>304996</v>
      </c>
      <c r="F29" s="56" t="n">
        <v>18151</v>
      </c>
      <c r="G29" s="56" t="n">
        <v>28456</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629754</v>
      </c>
      <c r="D30" s="56" t="n">
        <v>277626</v>
      </c>
      <c r="E30" s="56" t="n">
        <v>302673</v>
      </c>
      <c r="F30" s="56" t="n">
        <v>19678</v>
      </c>
      <c r="G30" s="56" t="n">
        <v>29777</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641489</v>
      </c>
      <c r="D31" s="56" t="n">
        <v>280348</v>
      </c>
      <c r="E31" s="56" t="n">
        <v>306574</v>
      </c>
      <c r="F31" s="56" t="n">
        <v>22035</v>
      </c>
      <c r="G31" s="56" t="n">
        <v>32532</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665104</v>
      </c>
      <c r="D32" s="56" t="n">
        <v>285778</v>
      </c>
      <c r="E32" s="56" t="n">
        <v>315925</v>
      </c>
      <c r="F32" s="56" t="n">
        <v>24907</v>
      </c>
      <c r="G32" s="56" t="n">
        <v>38494</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668362</v>
      </c>
      <c r="D33" s="56" t="n">
        <v>282812</v>
      </c>
      <c r="E33" s="56" t="n">
        <v>314636</v>
      </c>
      <c r="F33" s="56" t="n">
        <v>26918</v>
      </c>
      <c r="G33" s="56" t="n">
        <v>43996</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681838</v>
      </c>
      <c r="D34" s="56" t="n">
        <v>283771</v>
      </c>
      <c r="E34" s="56" t="n">
        <v>319013</v>
      </c>
      <c r="F34" s="56" t="n">
        <v>29830</v>
      </c>
      <c r="G34" s="56" t="n">
        <v>49224</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681183</v>
      </c>
      <c r="D35" s="56" t="n">
        <v>285002</v>
      </c>
      <c r="E35" s="56" t="n">
        <v>314881</v>
      </c>
      <c r="F35" s="56" t="n">
        <v>32910</v>
      </c>
      <c r="G35" s="56" t="n">
        <v>48390</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686742</v>
      </c>
      <c r="D36" s="56" t="n">
        <v>287166</v>
      </c>
      <c r="E36" s="56" t="n">
        <v>314955</v>
      </c>
      <c r="F36" s="56" t="n">
        <v>35396</v>
      </c>
      <c r="G36" s="56" t="n">
        <v>49225</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687637</v>
      </c>
      <c r="D37" s="56" t="n">
        <v>287713</v>
      </c>
      <c r="E37" s="56" t="n">
        <v>312534</v>
      </c>
      <c r="F37" s="56" t="n">
        <v>38282</v>
      </c>
      <c r="G37" s="56" t="n">
        <v>49108</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697210</v>
      </c>
      <c r="D38" s="56" t="n">
        <v>293105</v>
      </c>
      <c r="E38" s="56" t="n">
        <v>314071</v>
      </c>
      <c r="F38" s="56" t="n">
        <v>40765</v>
      </c>
      <c r="G38" s="56" t="n">
        <v>49269</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708457</v>
      </c>
      <c r="D39" s="56" t="n">
        <v>300228</v>
      </c>
      <c r="E39" s="56" t="n">
        <v>317807</v>
      </c>
      <c r="F39" s="56" t="n">
        <v>42131</v>
      </c>
      <c r="G39" s="56" t="n">
        <v>48291</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741616</v>
      </c>
      <c r="D40" s="56" t="n">
        <v>313830</v>
      </c>
      <c r="E40" s="56" t="n">
        <v>330824</v>
      </c>
      <c r="F40" s="56" t="n">
        <v>45447</v>
      </c>
      <c r="G40" s="56" t="n">
        <v>51515</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737418</v>
      </c>
      <c r="D41" s="56" t="n">
        <v>314038</v>
      </c>
      <c r="E41" s="56" t="n">
        <v>327835</v>
      </c>
      <c r="F41" s="56" t="n">
        <v>46087</v>
      </c>
      <c r="G41" s="56" t="n">
        <v>49458</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759285</v>
      </c>
      <c r="D42" s="56" t="n">
        <v>320205</v>
      </c>
      <c r="E42" s="56" t="n">
        <v>335148</v>
      </c>
      <c r="F42" s="56" t="n">
        <v>49376</v>
      </c>
      <c r="G42" s="56" t="n">
        <v>54556</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760481</v>
      </c>
      <c r="D43" s="56" t="n">
        <v>321747</v>
      </c>
      <c r="E43" s="56" t="n">
        <v>331675</v>
      </c>
      <c r="F43" s="56" t="n">
        <v>52423</v>
      </c>
      <c r="G43" s="56" t="n">
        <v>54636</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783576</v>
      </c>
      <c r="D44" s="56" t="n">
        <v>329595</v>
      </c>
      <c r="E44" s="56" t="n">
        <v>340250</v>
      </c>
      <c r="F44" s="56" t="n">
        <v>55520</v>
      </c>
      <c r="G44" s="56" t="n">
        <v>58211</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772598</v>
      </c>
      <c r="D45" s="56" t="n">
        <v>324559</v>
      </c>
      <c r="E45" s="56" t="n">
        <v>332219</v>
      </c>
      <c r="F45" s="56" t="n">
        <v>57067</v>
      </c>
      <c r="G45" s="56" t="n">
        <v>58753</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775081</v>
      </c>
      <c r="D46" s="56" t="n">
        <v>326604</v>
      </c>
      <c r="E46" s="56" t="n">
        <v>332853</v>
      </c>
      <c r="F46" s="56" t="n">
        <v>56982</v>
      </c>
      <c r="G46" s="56" t="n">
        <v>58642</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793125</v>
      </c>
      <c r="D47" s="56" t="n">
        <v>337568</v>
      </c>
      <c r="E47" s="56" t="n">
        <v>341770</v>
      </c>
      <c r="F47" s="56" t="n">
        <v>55835</v>
      </c>
      <c r="G47" s="56" t="n">
        <v>57952</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805333</v>
      </c>
      <c r="D48" s="56" t="n">
        <v>343824</v>
      </c>
      <c r="E48" s="56" t="n">
        <v>347859</v>
      </c>
      <c r="F48" s="56" t="n">
        <v>55905</v>
      </c>
      <c r="G48" s="56" t="n">
        <v>57745</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813959</v>
      </c>
      <c r="D49" s="56" t="n">
        <v>349773</v>
      </c>
      <c r="E49" s="56" t="n">
        <v>353623</v>
      </c>
      <c r="F49" s="56" t="n">
        <v>54694</v>
      </c>
      <c r="G49" s="56" t="n">
        <v>55869</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840803</v>
      </c>
      <c r="D50" s="56" t="n">
        <v>362336</v>
      </c>
      <c r="E50" s="56" t="n">
        <v>364746</v>
      </c>
      <c r="F50" s="56" t="n">
        <v>55970</v>
      </c>
      <c r="G50" s="56" t="n">
        <v>57751</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841104</v>
      </c>
      <c r="D51" s="56" t="n">
        <v>365254</v>
      </c>
      <c r="E51" s="56" t="n">
        <v>365493</v>
      </c>
      <c r="F51" s="56" t="n">
        <v>54754</v>
      </c>
      <c r="G51" s="56" t="n">
        <v>55603</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861697</v>
      </c>
      <c r="D52" s="56" t="n">
        <v>372880</v>
      </c>
      <c r="E52" s="56" t="n">
        <v>375778</v>
      </c>
      <c r="F52" s="56" t="n">
        <v>55402</v>
      </c>
      <c r="G52" s="56" t="n">
        <v>57637</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879941</v>
      </c>
      <c r="D53" s="56" t="n">
        <v>386392</v>
      </c>
      <c r="E53" s="56" t="n">
        <v>384578</v>
      </c>
      <c r="F53" s="56" t="n">
        <v>55079</v>
      </c>
      <c r="G53" s="56" t="n">
        <v>53892</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918271</v>
      </c>
      <c r="D54" s="56" t="n">
        <v>406122</v>
      </c>
      <c r="E54" s="56" t="n">
        <v>405094</v>
      </c>
      <c r="F54" s="56" t="n">
        <v>53935</v>
      </c>
      <c r="G54" s="56" t="n">
        <v>53120</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940292</v>
      </c>
      <c r="D55" s="56" t="n">
        <v>420285</v>
      </c>
      <c r="E55" s="56" t="n">
        <v>416439</v>
      </c>
      <c r="F55" s="56" t="n">
        <v>52930</v>
      </c>
      <c r="G55" s="56" t="n">
        <v>50638</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972445</v>
      </c>
      <c r="D56" s="56" t="n">
        <v>438351</v>
      </c>
      <c r="E56" s="56" t="n">
        <v>433727</v>
      </c>
      <c r="F56" s="56" t="n">
        <v>51906</v>
      </c>
      <c r="G56" s="56" t="n">
        <v>48461</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1010347</v>
      </c>
      <c r="D57" s="56" t="n">
        <v>459117</v>
      </c>
      <c r="E57" s="56" t="n">
        <v>453538</v>
      </c>
      <c r="F57" s="56" t="n">
        <v>50828</v>
      </c>
      <c r="G57" s="56" t="n">
        <v>46864</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1041221</v>
      </c>
      <c r="D58" s="56" t="n">
        <v>477197</v>
      </c>
      <c r="E58" s="56" t="n">
        <v>470974</v>
      </c>
      <c r="F58" s="56" t="n">
        <v>49210</v>
      </c>
      <c r="G58" s="56" t="n">
        <v>43840</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1028861</v>
      </c>
      <c r="D59" s="56" t="n">
        <v>475508</v>
      </c>
      <c r="E59" s="56" t="n">
        <v>466626</v>
      </c>
      <c r="F59" s="56" t="n">
        <v>46630</v>
      </c>
      <c r="G59" s="56" t="n">
        <v>40097</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1036031</v>
      </c>
      <c r="D60" s="56" t="n">
        <v>478896</v>
      </c>
      <c r="E60" s="56" t="n">
        <v>471116</v>
      </c>
      <c r="F60" s="56" t="n">
        <v>46417</v>
      </c>
      <c r="G60" s="56" t="n">
        <v>39602</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1039503</v>
      </c>
      <c r="D61" s="56" t="n">
        <v>485090</v>
      </c>
      <c r="E61" s="56" t="n">
        <v>473088</v>
      </c>
      <c r="F61" s="56" t="n">
        <v>45062</v>
      </c>
      <c r="G61" s="56" t="n">
        <v>36263</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1028783</v>
      </c>
      <c r="D62" s="56" t="n">
        <v>479854</v>
      </c>
      <c r="E62" s="56" t="n">
        <v>468230</v>
      </c>
      <c r="F62" s="56" t="n">
        <v>44589</v>
      </c>
      <c r="G62" s="56" t="n">
        <v>36110</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1050553</v>
      </c>
      <c r="D63" s="56" t="n">
        <v>492932</v>
      </c>
      <c r="E63" s="56" t="n">
        <v>479187</v>
      </c>
      <c r="F63" s="56" t="n">
        <v>43995</v>
      </c>
      <c r="G63" s="56" t="n">
        <v>34439</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1041415</v>
      </c>
      <c r="D64" s="56" t="n">
        <v>489034</v>
      </c>
      <c r="E64" s="56" t="n">
        <v>474087</v>
      </c>
      <c r="F64" s="56" t="n">
        <v>44531</v>
      </c>
      <c r="G64" s="56" t="n">
        <v>33763</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1038151</v>
      </c>
      <c r="D65" s="56" t="n">
        <v>491676</v>
      </c>
      <c r="E65" s="56" t="n">
        <v>473883</v>
      </c>
      <c r="F65" s="56" t="n">
        <v>42308</v>
      </c>
      <c r="G65" s="56" t="n">
        <v>30284</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1033984</v>
      </c>
      <c r="D66" s="56" t="n">
        <v>494278</v>
      </c>
      <c r="E66" s="56" t="n">
        <v>478649</v>
      </c>
      <c r="F66" s="56" t="n">
        <v>35288</v>
      </c>
      <c r="G66" s="56" t="n">
        <v>25769</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1026644</v>
      </c>
      <c r="D67" s="56" t="n">
        <v>492722</v>
      </c>
      <c r="E67" s="56" t="n">
        <v>475770</v>
      </c>
      <c r="F67" s="56" t="n">
        <v>33990</v>
      </c>
      <c r="G67" s="56" t="n">
        <v>24162</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1035492</v>
      </c>
      <c r="D68" s="56" t="n">
        <v>499138</v>
      </c>
      <c r="E68" s="56" t="n">
        <v>479751</v>
      </c>
      <c r="F68" s="56" t="n">
        <v>33999</v>
      </c>
      <c r="G68" s="56" t="n">
        <v>22604</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969032</v>
      </c>
      <c r="D69" s="56" t="n">
        <v>469662</v>
      </c>
      <c r="E69" s="56" t="n">
        <v>445861</v>
      </c>
      <c r="F69" s="56" t="n">
        <v>32950</v>
      </c>
      <c r="G69" s="56" t="n">
        <v>20559</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932294</v>
      </c>
      <c r="D70" s="56" t="n">
        <v>453553</v>
      </c>
      <c r="E70" s="56" t="n">
        <v>427730</v>
      </c>
      <c r="F70" s="56" t="n">
        <v>31758</v>
      </c>
      <c r="G70" s="56" t="n">
        <v>19253</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906769</v>
      </c>
      <c r="D71" s="56" t="n">
        <v>444128</v>
      </c>
      <c r="E71" s="56" t="n">
        <v>416061</v>
      </c>
      <c r="F71" s="56" t="n">
        <v>30007</v>
      </c>
      <c r="G71" s="56" t="n">
        <v>16573</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876277</v>
      </c>
      <c r="D72" s="56" t="n">
        <v>429136</v>
      </c>
      <c r="E72" s="56" t="n">
        <v>401180</v>
      </c>
      <c r="F72" s="56" t="n">
        <v>29549</v>
      </c>
      <c r="G72" s="56" t="n">
        <v>16412</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846100</v>
      </c>
      <c r="D73" s="56" t="n">
        <v>417065</v>
      </c>
      <c r="E73" s="56" t="n">
        <v>388370</v>
      </c>
      <c r="F73" s="56" t="n">
        <v>26621</v>
      </c>
      <c r="G73" s="56" t="n">
        <v>14044</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803590</v>
      </c>
      <c r="D74" s="56" t="n">
        <v>398413</v>
      </c>
      <c r="E74" s="56" t="n">
        <v>367172</v>
      </c>
      <c r="F74" s="56" t="n">
        <v>25136</v>
      </c>
      <c r="G74" s="56" t="n">
        <v>12869</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788117</v>
      </c>
      <c r="D75" s="56" t="n">
        <v>393327</v>
      </c>
      <c r="E75" s="56" t="n">
        <v>360685</v>
      </c>
      <c r="F75" s="56" t="n">
        <v>22730</v>
      </c>
      <c r="G75" s="56" t="n">
        <v>11375</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765427</v>
      </c>
      <c r="D76" s="56" t="n">
        <v>383711</v>
      </c>
      <c r="E76" s="56" t="n">
        <v>350799</v>
      </c>
      <c r="F76" s="56" t="n">
        <v>20488</v>
      </c>
      <c r="G76" s="56" t="n">
        <v>10429</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744270</v>
      </c>
      <c r="D77" s="56" t="n">
        <v>375749</v>
      </c>
      <c r="E77" s="56" t="n">
        <v>340770</v>
      </c>
      <c r="F77" s="56" t="n">
        <v>18396</v>
      </c>
      <c r="G77" s="56" t="n">
        <v>9355</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725816</v>
      </c>
      <c r="D78" s="56" t="n">
        <v>369420</v>
      </c>
      <c r="E78" s="56" t="n">
        <v>332025</v>
      </c>
      <c r="F78" s="56" t="n">
        <v>16289</v>
      </c>
      <c r="G78" s="56" t="n">
        <v>8082</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684491</v>
      </c>
      <c r="D79" s="56" t="n">
        <v>349292</v>
      </c>
      <c r="E79" s="56" t="n">
        <v>314318</v>
      </c>
      <c r="F79" s="56" t="n">
        <v>14023</v>
      </c>
      <c r="G79" s="56" t="n">
        <v>6858</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666088</v>
      </c>
      <c r="D80" s="56" t="n">
        <v>342972</v>
      </c>
      <c r="E80" s="56" t="n">
        <v>304083</v>
      </c>
      <c r="F80" s="56" t="n">
        <v>12759</v>
      </c>
      <c r="G80" s="56" t="n">
        <v>6274</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654850</v>
      </c>
      <c r="D81" s="56" t="n">
        <v>339697</v>
      </c>
      <c r="E81" s="56" t="n">
        <v>298980</v>
      </c>
      <c r="F81" s="56" t="n">
        <v>10808</v>
      </c>
      <c r="G81" s="56" t="n">
        <v>5365</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670047</v>
      </c>
      <c r="D82" s="56" t="n">
        <v>349450</v>
      </c>
      <c r="E82" s="56" t="n">
        <v>305037</v>
      </c>
      <c r="F82" s="56" t="n">
        <v>10276</v>
      </c>
      <c r="G82" s="56" t="n">
        <v>5284</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663727</v>
      </c>
      <c r="D83" s="56" t="n">
        <v>348453</v>
      </c>
      <c r="E83" s="56" t="n">
        <v>301868</v>
      </c>
      <c r="F83" s="56" t="n">
        <v>8813</v>
      </c>
      <c r="G83" s="56" t="n">
        <v>4593</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680029</v>
      </c>
      <c r="D84" s="56" t="n">
        <v>360537</v>
      </c>
      <c r="E84" s="56" t="n">
        <v>307840</v>
      </c>
      <c r="F84" s="56" t="n">
        <v>7607</v>
      </c>
      <c r="G84" s="56" t="n">
        <v>4045</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651852</v>
      </c>
      <c r="D85" s="56" t="n">
        <v>347927</v>
      </c>
      <c r="E85" s="56" t="n">
        <v>294064</v>
      </c>
      <c r="F85" s="56" t="n">
        <v>6359</v>
      </c>
      <c r="G85" s="56" t="n">
        <v>3502</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636898</v>
      </c>
      <c r="D86" s="56" t="n">
        <v>343900</v>
      </c>
      <c r="E86" s="56" t="n">
        <v>284834</v>
      </c>
      <c r="F86" s="56" t="n">
        <v>5249</v>
      </c>
      <c r="G86" s="56" t="n">
        <v>2915</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479760</v>
      </c>
      <c r="D87" s="56" t="n">
        <v>261173</v>
      </c>
      <c r="E87" s="56" t="n">
        <v>211931</v>
      </c>
      <c r="F87" s="56" t="n">
        <v>4160</v>
      </c>
      <c r="G87" s="56" t="n">
        <v>2496</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481360</v>
      </c>
      <c r="D88" s="56" t="n">
        <v>264845</v>
      </c>
      <c r="E88" s="56" t="n">
        <v>210342</v>
      </c>
      <c r="F88" s="56" t="n">
        <v>3851</v>
      </c>
      <c r="G88" s="56" t="n">
        <v>2322</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470267</v>
      </c>
      <c r="D89" s="56" t="n">
        <v>262650</v>
      </c>
      <c r="E89" s="56" t="n">
        <v>202021</v>
      </c>
      <c r="F89" s="56" t="n">
        <v>3564</v>
      </c>
      <c r="G89" s="56" t="n">
        <v>2032</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451962</v>
      </c>
      <c r="D90" s="56" t="n">
        <v>254887</v>
      </c>
      <c r="E90" s="56" t="n">
        <v>191608</v>
      </c>
      <c r="F90" s="56" t="n">
        <v>3490</v>
      </c>
      <c r="G90" s="56" t="n">
        <v>1977</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437210</v>
      </c>
      <c r="D91" s="56" t="n">
        <v>250132</v>
      </c>
      <c r="E91" s="56" t="n">
        <v>182933</v>
      </c>
      <c r="F91" s="56" t="n">
        <v>2673</v>
      </c>
      <c r="G91" s="56" t="n">
        <v>1472</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458864</v>
      </c>
      <c r="D92" s="56" t="n">
        <v>265675</v>
      </c>
      <c r="E92" s="56" t="n">
        <v>188829</v>
      </c>
      <c r="F92" s="56" t="n">
        <v>2801</v>
      </c>
      <c r="G92" s="56" t="n">
        <v>1559</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427922</v>
      </c>
      <c r="D93" s="56" t="n">
        <v>250543</v>
      </c>
      <c r="E93" s="56" t="n">
        <v>174057</v>
      </c>
      <c r="F93" s="56" t="n">
        <v>2161</v>
      </c>
      <c r="G93" s="56" t="n">
        <v>1161</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388901</v>
      </c>
      <c r="D94" s="56" t="n">
        <v>231568</v>
      </c>
      <c r="E94" s="56" t="n">
        <v>154318</v>
      </c>
      <c r="F94" s="56" t="n">
        <v>1955</v>
      </c>
      <c r="G94" s="56" t="n">
        <v>1060</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333186</v>
      </c>
      <c r="D95" s="56" t="n">
        <v>201391</v>
      </c>
      <c r="E95" s="56" t="n">
        <v>129310</v>
      </c>
      <c r="F95" s="56" t="n">
        <v>1579</v>
      </c>
      <c r="G95" s="56" t="n">
        <v>906</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284385</v>
      </c>
      <c r="D96" s="56" t="n">
        <v>175795</v>
      </c>
      <c r="E96" s="56" t="n">
        <v>106580</v>
      </c>
      <c r="F96" s="56" t="n">
        <v>1275</v>
      </c>
      <c r="G96" s="56" t="n">
        <v>735</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261211</v>
      </c>
      <c r="D97" s="56" t="n">
        <v>164400</v>
      </c>
      <c r="E97" s="56" t="n">
        <v>95175</v>
      </c>
      <c r="F97" s="56" t="n">
        <v>1006</v>
      </c>
      <c r="G97" s="56" t="n">
        <v>630</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224310</v>
      </c>
      <c r="D98" s="56" t="n">
        <v>144433</v>
      </c>
      <c r="E98" s="56" t="n">
        <v>78602</v>
      </c>
      <c r="F98" s="56" t="n">
        <v>802</v>
      </c>
      <c r="G98" s="56" t="n">
        <v>473</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187674</v>
      </c>
      <c r="D99" s="56" t="n">
        <v>123444</v>
      </c>
      <c r="E99" s="56" t="n">
        <v>63218</v>
      </c>
      <c r="F99" s="56" t="n">
        <v>648</v>
      </c>
      <c r="G99" s="56" t="n">
        <v>364</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155438</v>
      </c>
      <c r="D100" s="56" t="n">
        <v>105054</v>
      </c>
      <c r="E100" s="56" t="n">
        <v>49543</v>
      </c>
      <c r="F100" s="56" t="n">
        <v>548</v>
      </c>
      <c r="G100" s="56" t="n">
        <v>293</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128555</v>
      </c>
      <c r="D101" s="56" t="n">
        <v>88811</v>
      </c>
      <c r="E101" s="56" t="n">
        <v>39224</v>
      </c>
      <c r="F101" s="56" t="n">
        <v>334</v>
      </c>
      <c r="G101" s="56" t="n">
        <v>186</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108006</v>
      </c>
      <c r="D102" s="56" t="n">
        <v>76769</v>
      </c>
      <c r="E102" s="56" t="n">
        <v>30701</v>
      </c>
      <c r="F102" s="56" t="n">
        <v>351</v>
      </c>
      <c r="G102" s="56" t="n">
        <v>185</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77685</v>
      </c>
      <c r="D103" s="56" t="n">
        <v>56482</v>
      </c>
      <c r="E103" s="56" t="n">
        <v>20854</v>
      </c>
      <c r="F103" s="56" t="n">
        <v>232</v>
      </c>
      <c r="G103" s="56" t="n">
        <v>117</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57678</v>
      </c>
      <c r="D104" s="56" t="n">
        <v>43022</v>
      </c>
      <c r="E104" s="56" t="n">
        <v>14421</v>
      </c>
      <c r="F104" s="56" t="n">
        <v>165</v>
      </c>
      <c r="G104" s="56" t="n">
        <v>70</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42238</v>
      </c>
      <c r="D105" s="56" t="n">
        <v>32104</v>
      </c>
      <c r="E105" s="56" t="n">
        <v>9933</v>
      </c>
      <c r="F105" s="56" t="n">
        <v>149</v>
      </c>
      <c r="G105" s="56" t="n">
        <v>52</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29527</v>
      </c>
      <c r="D106" s="56" t="n">
        <v>23031</v>
      </c>
      <c r="E106" s="56" t="n">
        <v>6340</v>
      </c>
      <c r="F106" s="56" t="n">
        <v>106</v>
      </c>
      <c r="G106" s="56" t="n">
        <v>50</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20402</v>
      </c>
      <c r="D107" s="56" t="n">
        <v>16264</v>
      </c>
      <c r="E107" s="56" t="n">
        <v>3950</v>
      </c>
      <c r="F107" s="56" t="n">
        <v>131</v>
      </c>
      <c r="G107" s="56" t="n">
        <v>57</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35442</v>
      </c>
      <c r="D108" s="56" t="n">
        <v>28791</v>
      </c>
      <c r="E108" s="56" t="n">
        <v>6259</v>
      </c>
      <c r="F108" s="56" t="n">
        <v>262</v>
      </c>
      <c r="G108" s="56" t="n">
        <v>130</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64224888</v>
      </c>
      <c r="D109" s="55" t="n">
        <v>30124502</v>
      </c>
      <c r="E109" s="55" t="n">
        <v>28846728</v>
      </c>
      <c r="F109" s="55" t="n">
        <v>2651008</v>
      </c>
      <c r="G109" s="55" t="n">
        <v>2602650</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https://esploradati.istat.it/databrowser/#/en/dw/categories/IT1,POP,1.0 https://demo.istat.it/app/?i=STR&amp;a=2024&amp;l=en; downloaded 46115; foreigners (=citizenship)</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0.5393311614954156</v>
      </c>
      <c r="E7" s="68" t="n">
        <v>0.5706688385045846</v>
      </c>
      <c r="F7" s="69" t="n">
        <v>0.5406314229249012</v>
      </c>
      <c r="G7" s="68" t="n">
        <v>0.5693685770750989</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https://www.istat.it/en/press-release/births-and-fertility-of-the-resident-population-year-2024/ 1,79 for foreigners https://www.istat.it/en/press-release/births-and-fertility-of-the-resident-population-year-2024/; downloaded 46158</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f t="array" ref="C22">D22+E22+F22+G22</f>
        <v/>
      </c>
      <c r="D22" s="55">
        <f t="array" ref="D22">D$11*$H22/$H$57</f>
        <v/>
      </c>
      <c r="E22" s="55">
        <f t="array" ref="E22">E$11*$H22/$H$57</f>
        <v/>
      </c>
      <c r="F22" s="55">
        <f t="array" ref="F22">F$11*$I22/$I$57</f>
        <v/>
      </c>
      <c r="G22" s="55">
        <f t="array" ref="G22">G$11*$I22/$I$57</f>
        <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2981.83376293671</v>
      </c>
      <c r="D23" s="55" t="n">
        <v>1278.821741959142</v>
      </c>
      <c r="E23" s="55" t="n">
        <v>1353.127299588523</v>
      </c>
      <c r="F23" s="55" t="n">
        <v>170.4132205263437</v>
      </c>
      <c r="G23" s="55" t="n">
        <v>179.4715008627004</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3587.801806025157</v>
      </c>
      <c r="D24" s="55" t="n">
        <v>1538.703804489263</v>
      </c>
      <c r="E24" s="55" t="n">
        <v>1628.10973220196</v>
      </c>
      <c r="F24" s="55" t="n">
        <v>205.0445829591866</v>
      </c>
      <c r="G24" s="55" t="n">
        <v>215.9436863747489</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4273.960327314541</v>
      </c>
      <c r="D25" s="55" t="n">
        <v>1832.97722991027</v>
      </c>
      <c r="E25" s="55" t="n">
        <v>1939.481827636129</v>
      </c>
      <c r="F25" s="55" t="n">
        <v>244.2588694354912</v>
      </c>
      <c r="G25" s="55" t="n">
        <v>257.2424003326506</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5040.684959607188</v>
      </c>
      <c r="D26" s="55" t="n">
        <v>2161.803116201731</v>
      </c>
      <c r="E26" s="55" t="n">
        <v>2287.414044420869</v>
      </c>
      <c r="F26" s="55" t="n">
        <v>288.0775475489162</v>
      </c>
      <c r="G26" s="55" t="n">
        <v>303.3902514356714</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5885.802021147476</v>
      </c>
      <c r="D27" s="55" t="n">
        <v>2524.24923450376</v>
      </c>
      <c r="E27" s="55" t="n">
        <v>2670.919986815174</v>
      </c>
      <c r="F27" s="55" t="n">
        <v>336.3763903512732</v>
      </c>
      <c r="G27" s="55" t="n">
        <v>354.2564094772691</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6804.226634628898</v>
      </c>
      <c r="D28" s="55" t="n">
        <v>2918.134828888384</v>
      </c>
      <c r="E28" s="55" t="n">
        <v>3087.692186715349</v>
      </c>
      <c r="F28" s="55" t="n">
        <v>388.8647946813284</v>
      </c>
      <c r="G28" s="55" t="n">
        <v>409.5348243438376</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7787.694700501876</v>
      </c>
      <c r="D29" s="55" t="n">
        <v>3339.915667509723</v>
      </c>
      <c r="E29" s="55" t="n">
        <v>3533.980475736408</v>
      </c>
      <c r="F29" s="55" t="n">
        <v>445.0704633116173</v>
      </c>
      <c r="G29" s="55" t="n">
        <v>468.7280939441278</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8824.621576806901</v>
      </c>
      <c r="D30" s="55" t="n">
        <v>3784.623434496259</v>
      </c>
      <c r="E30" s="55" t="n">
        <v>4004.527855488228</v>
      </c>
      <c r="F30" s="55" t="n">
        <v>504.3313284335645</v>
      </c>
      <c r="G30" s="55" t="n">
        <v>531.1389583888483</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9900.116154504802</v>
      </c>
      <c r="D31" s="55" t="n">
        <v>4245.871766450448</v>
      </c>
      <c r="E31" s="55" t="n">
        <v>4492.576884824191</v>
      </c>
      <c r="F31" s="55" t="n">
        <v>565.7963560693153</v>
      </c>
      <c r="G31" s="55" t="n">
        <v>595.871147160847</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10996.17177494824</v>
      </c>
      <c r="D32" s="55" t="n">
        <v>4715.938131397346</v>
      </c>
      <c r="E32" s="55" t="n">
        <v>4989.956316341792</v>
      </c>
      <c r="F32" s="55" t="n">
        <v>628.4364570962117</v>
      </c>
      <c r="G32" s="55" t="n">
        <v>661.84087011289</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12092.04534406401</v>
      </c>
      <c r="D33" s="55" t="n">
        <v>5185.92641982674</v>
      </c>
      <c r="E33" s="55" t="n">
        <v>5487.253134729024</v>
      </c>
      <c r="F33" s="55" t="n">
        <v>691.0661538029761</v>
      </c>
      <c r="G33" s="55" t="n">
        <v>727.7996357052646</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13164.82361785689</v>
      </c>
      <c r="D34" s="55" t="n">
        <v>5646.00980806922</v>
      </c>
      <c r="E34" s="55" t="n">
        <v>5974.069531644785</v>
      </c>
      <c r="F34" s="55" t="n">
        <v>752.3759433761176</v>
      </c>
      <c r="G34" s="55" t="n">
        <v>792.3683347667735</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14190.16184137871</v>
      </c>
      <c r="D35" s="55" t="n">
        <v>6085.747539058651</v>
      </c>
      <c r="E35" s="55" t="n">
        <v>6439.358092933511</v>
      </c>
      <c r="F35" s="55" t="n">
        <v>810.9745114690036</v>
      </c>
      <c r="G35" s="55" t="n">
        <v>854.0816979175487</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15143.16584649754</v>
      </c>
      <c r="D36" s="55" t="n">
        <v>6494.463228400037</v>
      </c>
      <c r="E36" s="55" t="n">
        <v>6871.822086054799</v>
      </c>
      <c r="F36" s="55" t="n">
        <v>865.4391445097323</v>
      </c>
      <c r="G36" s="55" t="n">
        <v>911.4413875329723</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15999.37563408514</v>
      </c>
      <c r="D37" s="55" t="n">
        <v>6861.666694151552</v>
      </c>
      <c r="E37" s="55" t="n">
        <v>7260.361800159665</v>
      </c>
      <c r="F37" s="55" t="n">
        <v>914.3719418918635</v>
      </c>
      <c r="G37" s="55" t="n">
        <v>962.9751978820578</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16735.79768887856</v>
      </c>
      <c r="D38" s="55" t="n">
        <v>7177.496686632605</v>
      </c>
      <c r="E38" s="55" t="n">
        <v>7594.543000582676</v>
      </c>
      <c r="F38" s="55" t="n">
        <v>956.4588132607009</v>
      </c>
      <c r="G38" s="55" t="n">
        <v>1007.299188402576</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17331.92598427057</v>
      </c>
      <c r="D39" s="55" t="n">
        <v>7433.158767671466</v>
      </c>
      <c r="E39" s="55" t="n">
        <v>7865.060250933233</v>
      </c>
      <c r="F39" s="55" t="n">
        <v>990.5278294236209</v>
      </c>
      <c r="G39" s="55" t="n">
        <v>1043.179136242243</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17770.68874937074</v>
      </c>
      <c r="D40" s="55" t="n">
        <v>7621.331351450788</v>
      </c>
      <c r="E40" s="55" t="n">
        <v>8064.166546823878</v>
      </c>
      <c r="F40" s="55" t="n">
        <v>1015.603330538789</v>
      </c>
      <c r="G40" s="55" t="n">
        <v>1069.587520557284</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18039.26012556923</v>
      </c>
      <c r="D41" s="55" t="n">
        <v>7736.51380039196</v>
      </c>
      <c r="E41" s="55" t="n">
        <v>8186.04163776266</v>
      </c>
      <c r="F41" s="55" t="n">
        <v>1030.952312674568</v>
      </c>
      <c r="G41" s="55" t="n">
        <v>1085.752374740044</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18129.68289921369</v>
      </c>
      <c r="D42" s="55" t="n">
        <v>7775.29349708132</v>
      </c>
      <c r="E42" s="55" t="n">
        <v>8227.074617214314</v>
      </c>
      <c r="F42" s="55" t="n">
        <v>1036.120017278764</v>
      </c>
      <c r="G42" s="55" t="n">
        <v>1091.194767639291</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18039.26012556923</v>
      </c>
      <c r="D43" s="55" t="n">
        <v>7736.51380039196</v>
      </c>
      <c r="E43" s="55" t="n">
        <v>8186.04163776266</v>
      </c>
      <c r="F43" s="55" t="n">
        <v>1030.952312674568</v>
      </c>
      <c r="G43" s="55" t="n">
        <v>1085.752374740044</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17770.68874937074</v>
      </c>
      <c r="D44" s="55" t="n">
        <v>7621.331351450788</v>
      </c>
      <c r="E44" s="55" t="n">
        <v>8064.166546823878</v>
      </c>
      <c r="F44" s="55" t="n">
        <v>1015.603330538789</v>
      </c>
      <c r="G44" s="55" t="n">
        <v>1069.587520557284</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17331.92598427057</v>
      </c>
      <c r="D45" s="55" t="n">
        <v>7433.158767671466</v>
      </c>
      <c r="E45" s="55" t="n">
        <v>7865.060250933233</v>
      </c>
      <c r="F45" s="55" t="n">
        <v>990.5278294236209</v>
      </c>
      <c r="G45" s="55" t="n">
        <v>1043.179136242243</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16735.79768887856</v>
      </c>
      <c r="D46" s="55" t="n">
        <v>7177.496686632605</v>
      </c>
      <c r="E46" s="55" t="n">
        <v>7594.543000582676</v>
      </c>
      <c r="F46" s="55" t="n">
        <v>956.4588132607009</v>
      </c>
      <c r="G46" s="55" t="n">
        <v>1007.299188402576</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15999.37563408514</v>
      </c>
      <c r="D47" s="55" t="n">
        <v>6861.666694151552</v>
      </c>
      <c r="E47" s="55" t="n">
        <v>7260.361800159665</v>
      </c>
      <c r="F47" s="55" t="n">
        <v>914.3719418918635</v>
      </c>
      <c r="G47" s="55" t="n">
        <v>962.9751978820578</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15143.16584649754</v>
      </c>
      <c r="D48" s="55" t="n">
        <v>6494.463228400037</v>
      </c>
      <c r="E48" s="55" t="n">
        <v>6871.822086054799</v>
      </c>
      <c r="F48" s="55" t="n">
        <v>865.4391445097323</v>
      </c>
      <c r="G48" s="55" t="n">
        <v>911.4413875329723</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14190.16184137871</v>
      </c>
      <c r="D49" s="55" t="n">
        <v>6085.747539058651</v>
      </c>
      <c r="E49" s="55" t="n">
        <v>6439.358092933511</v>
      </c>
      <c r="F49" s="55" t="n">
        <v>810.9745114690036</v>
      </c>
      <c r="G49" s="55" t="n">
        <v>854.0816979175487</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13164.82361785689</v>
      </c>
      <c r="D50" s="55" t="n">
        <v>5646.00980806922</v>
      </c>
      <c r="E50" s="55" t="n">
        <v>5974.069531644785</v>
      </c>
      <c r="F50" s="55" t="n">
        <v>752.3759433761176</v>
      </c>
      <c r="G50" s="55" t="n">
        <v>792.3683347667735</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12092.04534406401</v>
      </c>
      <c r="D51" s="55" t="n">
        <v>5185.92641982674</v>
      </c>
      <c r="E51" s="55" t="n">
        <v>5487.253134729024</v>
      </c>
      <c r="F51" s="55" t="n">
        <v>691.0661538029761</v>
      </c>
      <c r="G51" s="55" t="n">
        <v>727.7996357052646</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10996.17177494824</v>
      </c>
      <c r="D52" s="55" t="n">
        <v>4715.938131397346</v>
      </c>
      <c r="E52" s="55" t="n">
        <v>4989.956316341792</v>
      </c>
      <c r="F52" s="55" t="n">
        <v>628.4364570962117</v>
      </c>
      <c r="G52" s="55" t="n">
        <v>661.84087011289</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9900.116154504802</v>
      </c>
      <c r="D53" s="55" t="n">
        <v>4245.871766450448</v>
      </c>
      <c r="E53" s="55" t="n">
        <v>4492.576884824191</v>
      </c>
      <c r="F53" s="55" t="n">
        <v>565.7963560693153</v>
      </c>
      <c r="G53" s="55" t="n">
        <v>595.871147160847</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8824.621576806901</v>
      </c>
      <c r="D54" s="55" t="n">
        <v>3784.623434496259</v>
      </c>
      <c r="E54" s="55" t="n">
        <v>4004.527855488228</v>
      </c>
      <c r="F54" s="55" t="n">
        <v>504.3313284335645</v>
      </c>
      <c r="G54" s="55" t="n">
        <v>531.1389583888483</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7787.694700501876</v>
      </c>
      <c r="D55" s="55" t="n">
        <v>3339.915667509723</v>
      </c>
      <c r="E55" s="55" t="n">
        <v>3533.980475736408</v>
      </c>
      <c r="F55" s="55" t="n">
        <v>445.0704633116173</v>
      </c>
      <c r="G55" s="55" t="n">
        <v>468.7280939441278</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6804.226634628898</v>
      </c>
      <c r="D56" s="55" t="n">
        <v>2918.134828888384</v>
      </c>
      <c r="E56" s="55" t="n">
        <v>3087.692186715349</v>
      </c>
      <c r="F56" s="55" t="n">
        <v>388.8647946813284</v>
      </c>
      <c r="G56" s="55" t="n">
        <v>409.5348243438376</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222.8</v>
      </c>
      <c r="D7" s="56" t="n">
        <v>78.8</v>
      </c>
      <c r="E7" s="56" t="n">
        <v>105.4</v>
      </c>
      <c r="F7" s="56" t="n">
        <v>18</v>
      </c>
      <c r="G7" s="56" t="n">
        <v>20.6</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222.8</v>
      </c>
      <c r="D8" s="56" t="n">
        <v>78.8</v>
      </c>
      <c r="E8" s="56" t="n">
        <v>105.4</v>
      </c>
      <c r="F8" s="56" t="n">
        <v>18</v>
      </c>
      <c r="G8" s="56" t="n">
        <v>20.6</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222.8</v>
      </c>
      <c r="D9" s="56" t="n">
        <v>78.8</v>
      </c>
      <c r="E9" s="56" t="n">
        <v>105.4</v>
      </c>
      <c r="F9" s="56" t="n">
        <v>18</v>
      </c>
      <c r="G9" s="56" t="n">
        <v>20.6</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222.8</v>
      </c>
      <c r="D10" s="56" t="n">
        <v>78.8</v>
      </c>
      <c r="E10" s="56" t="n">
        <v>105.4</v>
      </c>
      <c r="F10" s="56" t="n">
        <v>18</v>
      </c>
      <c r="G10" s="56" t="n">
        <v>20.6</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222.8</v>
      </c>
      <c r="D11" s="56" t="n">
        <v>78.8</v>
      </c>
      <c r="E11" s="56" t="n">
        <v>105.4</v>
      </c>
      <c r="F11" s="56" t="n">
        <v>18</v>
      </c>
      <c r="G11" s="56" t="n">
        <v>20.6</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33.6</v>
      </c>
      <c r="D12" s="56" t="n">
        <v>13.6</v>
      </c>
      <c r="E12" s="56" t="n">
        <v>12.4</v>
      </c>
      <c r="F12" s="56" t="n">
        <v>4.2</v>
      </c>
      <c r="G12" s="56" t="n">
        <v>3.4</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33.6</v>
      </c>
      <c r="D13" s="56" t="n">
        <v>13.6</v>
      </c>
      <c r="E13" s="56" t="n">
        <v>12.4</v>
      </c>
      <c r="F13" s="56" t="n">
        <v>4.2</v>
      </c>
      <c r="G13" s="56" t="n">
        <v>3.4</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33.6</v>
      </c>
      <c r="D14" s="56" t="n">
        <v>13.6</v>
      </c>
      <c r="E14" s="56" t="n">
        <v>12.4</v>
      </c>
      <c r="F14" s="56" t="n">
        <v>4.2</v>
      </c>
      <c r="G14" s="56" t="n">
        <v>3.4</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33.6</v>
      </c>
      <c r="D15" s="56" t="n">
        <v>13.6</v>
      </c>
      <c r="E15" s="56" t="n">
        <v>12.4</v>
      </c>
      <c r="F15" s="56" t="n">
        <v>4.2</v>
      </c>
      <c r="G15" s="56" t="n">
        <v>3.4</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33.6</v>
      </c>
      <c r="D16" s="56" t="n">
        <v>13.6</v>
      </c>
      <c r="E16" s="56" t="n">
        <v>12.4</v>
      </c>
      <c r="F16" s="56" t="n">
        <v>4.2</v>
      </c>
      <c r="G16" s="56" t="n">
        <v>3.4</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43.99999999999999</v>
      </c>
      <c r="D17" s="56" t="n">
        <v>18.4</v>
      </c>
      <c r="E17" s="56" t="n">
        <v>19.2</v>
      </c>
      <c r="F17" s="56" t="n">
        <v>1.6</v>
      </c>
      <c r="G17" s="56" t="n">
        <v>4.8</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43.99999999999999</v>
      </c>
      <c r="D18" s="56" t="n">
        <v>18.4</v>
      </c>
      <c r="E18" s="56" t="n">
        <v>19.2</v>
      </c>
      <c r="F18" s="56" t="n">
        <v>1.6</v>
      </c>
      <c r="G18" s="56" t="n">
        <v>4.8</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43.99999999999999</v>
      </c>
      <c r="D19" s="56" t="n">
        <v>18.4</v>
      </c>
      <c r="E19" s="56" t="n">
        <v>19.2</v>
      </c>
      <c r="F19" s="56" t="n">
        <v>1.6</v>
      </c>
      <c r="G19" s="56" t="n">
        <v>4.8</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43.99999999999999</v>
      </c>
      <c r="D20" s="56" t="n">
        <v>18.4</v>
      </c>
      <c r="E20" s="56" t="n">
        <v>19.2</v>
      </c>
      <c r="F20" s="56" t="n">
        <v>1.6</v>
      </c>
      <c r="G20" s="56" t="n">
        <v>4.8</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43.99999999999999</v>
      </c>
      <c r="D21" s="56" t="n">
        <v>18.4</v>
      </c>
      <c r="E21" s="56" t="n">
        <v>19.2</v>
      </c>
      <c r="F21" s="56" t="n">
        <v>1.6</v>
      </c>
      <c r="G21" s="56" t="n">
        <v>4.8</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117.4</v>
      </c>
      <c r="D22" s="56" t="n">
        <v>29.6</v>
      </c>
      <c r="E22" s="56" t="n">
        <v>72.59999999999999</v>
      </c>
      <c r="F22" s="56" t="n">
        <v>4.6</v>
      </c>
      <c r="G22" s="56" t="n">
        <v>10.6</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117.4</v>
      </c>
      <c r="D23" s="56" t="n">
        <v>29.6</v>
      </c>
      <c r="E23" s="56" t="n">
        <v>72.59999999999999</v>
      </c>
      <c r="F23" s="56" t="n">
        <v>4.6</v>
      </c>
      <c r="G23" s="56" t="n">
        <v>10.6</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117.4</v>
      </c>
      <c r="D24" s="56" t="n">
        <v>29.6</v>
      </c>
      <c r="E24" s="56" t="n">
        <v>72.59999999999999</v>
      </c>
      <c r="F24" s="56" t="n">
        <v>4.6</v>
      </c>
      <c r="G24" s="56" t="n">
        <v>10.6</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117.4</v>
      </c>
      <c r="D25" s="56" t="n">
        <v>29.6</v>
      </c>
      <c r="E25" s="56" t="n">
        <v>72.59999999999999</v>
      </c>
      <c r="F25" s="56" t="n">
        <v>4.6</v>
      </c>
      <c r="G25" s="56" t="n">
        <v>10.6</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117.4</v>
      </c>
      <c r="D26" s="56" t="n">
        <v>29.6</v>
      </c>
      <c r="E26" s="56" t="n">
        <v>72.59999999999999</v>
      </c>
      <c r="F26" s="56" t="n">
        <v>4.6</v>
      </c>
      <c r="G26" s="56" t="n">
        <v>10.6</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159</v>
      </c>
      <c r="D27" s="56" t="n">
        <v>33.2</v>
      </c>
      <c r="E27" s="56" t="n">
        <v>108.4</v>
      </c>
      <c r="F27" s="56" t="n">
        <v>3</v>
      </c>
      <c r="G27" s="56" t="n">
        <v>14.4</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159</v>
      </c>
      <c r="D28" s="56" t="n">
        <v>33.2</v>
      </c>
      <c r="E28" s="56" t="n">
        <v>108.4</v>
      </c>
      <c r="F28" s="56" t="n">
        <v>3</v>
      </c>
      <c r="G28" s="56" t="n">
        <v>14.4</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159</v>
      </c>
      <c r="D29" s="56" t="n">
        <v>33.2</v>
      </c>
      <c r="E29" s="56" t="n">
        <v>108.4</v>
      </c>
      <c r="F29" s="56" t="n">
        <v>3</v>
      </c>
      <c r="G29" s="56" t="n">
        <v>14.4</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159</v>
      </c>
      <c r="D30" s="56" t="n">
        <v>33.2</v>
      </c>
      <c r="E30" s="56" t="n">
        <v>108.4</v>
      </c>
      <c r="F30" s="56" t="n">
        <v>3</v>
      </c>
      <c r="G30" s="56" t="n">
        <v>14.4</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159</v>
      </c>
      <c r="D31" s="56" t="n">
        <v>33.2</v>
      </c>
      <c r="E31" s="56" t="n">
        <v>108.4</v>
      </c>
      <c r="F31" s="56" t="n">
        <v>3</v>
      </c>
      <c r="G31" s="56" t="n">
        <v>14.4</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187.6</v>
      </c>
      <c r="D32" s="56" t="n">
        <v>43.8</v>
      </c>
      <c r="E32" s="56" t="n">
        <v>112.6</v>
      </c>
      <c r="F32" s="56" t="n">
        <v>7.2</v>
      </c>
      <c r="G32" s="56" t="n">
        <v>24</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187.6</v>
      </c>
      <c r="D33" s="56" t="n">
        <v>43.8</v>
      </c>
      <c r="E33" s="56" t="n">
        <v>112.6</v>
      </c>
      <c r="F33" s="56" t="n">
        <v>7.2</v>
      </c>
      <c r="G33" s="56" t="n">
        <v>24</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187.6</v>
      </c>
      <c r="D34" s="56" t="n">
        <v>43.8</v>
      </c>
      <c r="E34" s="56" t="n">
        <v>112.6</v>
      </c>
      <c r="F34" s="56" t="n">
        <v>7.2</v>
      </c>
      <c r="G34" s="56" t="n">
        <v>24</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187.6</v>
      </c>
      <c r="D35" s="56" t="n">
        <v>43.8</v>
      </c>
      <c r="E35" s="56" t="n">
        <v>112.6</v>
      </c>
      <c r="F35" s="56" t="n">
        <v>7.2</v>
      </c>
      <c r="G35" s="56" t="n">
        <v>24</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187.6</v>
      </c>
      <c r="D36" s="56" t="n">
        <v>43.8</v>
      </c>
      <c r="E36" s="56" t="n">
        <v>112.6</v>
      </c>
      <c r="F36" s="56" t="n">
        <v>7.2</v>
      </c>
      <c r="G36" s="56" t="n">
        <v>24</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253.8</v>
      </c>
      <c r="D37" s="56" t="n">
        <v>68.2</v>
      </c>
      <c r="E37" s="56" t="n">
        <v>139.2</v>
      </c>
      <c r="F37" s="56" t="n">
        <v>14.8</v>
      </c>
      <c r="G37" s="56" t="n">
        <v>31.6</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253.8</v>
      </c>
      <c r="D38" s="56" t="n">
        <v>68.2</v>
      </c>
      <c r="E38" s="56" t="n">
        <v>139.2</v>
      </c>
      <c r="F38" s="56" t="n">
        <v>14.8</v>
      </c>
      <c r="G38" s="56" t="n">
        <v>31.6</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253.8</v>
      </c>
      <c r="D39" s="56" t="n">
        <v>68.2</v>
      </c>
      <c r="E39" s="56" t="n">
        <v>139.2</v>
      </c>
      <c r="F39" s="56" t="n">
        <v>14.8</v>
      </c>
      <c r="G39" s="56" t="n">
        <v>31.6</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253.8</v>
      </c>
      <c r="D40" s="56" t="n">
        <v>68.2</v>
      </c>
      <c r="E40" s="56" t="n">
        <v>139.2</v>
      </c>
      <c r="F40" s="56" t="n">
        <v>14.8</v>
      </c>
      <c r="G40" s="56" t="n">
        <v>31.6</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253.8</v>
      </c>
      <c r="D41" s="56" t="n">
        <v>68.2</v>
      </c>
      <c r="E41" s="56" t="n">
        <v>139.2</v>
      </c>
      <c r="F41" s="56" t="n">
        <v>14.8</v>
      </c>
      <c r="G41" s="56" t="n">
        <v>31.6</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361.6</v>
      </c>
      <c r="D42" s="56" t="n">
        <v>98.59999999999999</v>
      </c>
      <c r="E42" s="56" t="n">
        <v>203.4</v>
      </c>
      <c r="F42" s="56" t="n">
        <v>19.2</v>
      </c>
      <c r="G42" s="56" t="n">
        <v>40.4</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361.6</v>
      </c>
      <c r="D43" s="56" t="n">
        <v>98.59999999999999</v>
      </c>
      <c r="E43" s="56" t="n">
        <v>203.4</v>
      </c>
      <c r="F43" s="56" t="n">
        <v>19.2</v>
      </c>
      <c r="G43" s="56" t="n">
        <v>40.4</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361.6</v>
      </c>
      <c r="D44" s="56" t="n">
        <v>98.59999999999999</v>
      </c>
      <c r="E44" s="56" t="n">
        <v>203.4</v>
      </c>
      <c r="F44" s="56" t="n">
        <v>19.2</v>
      </c>
      <c r="G44" s="56" t="n">
        <v>40.4</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361.6</v>
      </c>
      <c r="D45" s="56" t="n">
        <v>98.59999999999999</v>
      </c>
      <c r="E45" s="56" t="n">
        <v>203.4</v>
      </c>
      <c r="F45" s="56" t="n">
        <v>19.2</v>
      </c>
      <c r="G45" s="56" t="n">
        <v>40.4</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361.6</v>
      </c>
      <c r="D46" s="56" t="n">
        <v>98.59999999999999</v>
      </c>
      <c r="E46" s="56" t="n">
        <v>203.4</v>
      </c>
      <c r="F46" s="56" t="n">
        <v>19.2</v>
      </c>
      <c r="G46" s="56" t="n">
        <v>40.4</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629.2</v>
      </c>
      <c r="D47" s="56" t="n">
        <v>197</v>
      </c>
      <c r="E47" s="56" t="n">
        <v>335.4</v>
      </c>
      <c r="F47" s="56" t="n">
        <v>37.2</v>
      </c>
      <c r="G47" s="56" t="n">
        <v>59.6</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629.2</v>
      </c>
      <c r="D48" s="56" t="n">
        <v>197</v>
      </c>
      <c r="E48" s="56" t="n">
        <v>335.4</v>
      </c>
      <c r="F48" s="56" t="n">
        <v>37.2</v>
      </c>
      <c r="G48" s="56" t="n">
        <v>59.6</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629.2</v>
      </c>
      <c r="D49" s="56" t="n">
        <v>197</v>
      </c>
      <c r="E49" s="56" t="n">
        <v>335.4</v>
      </c>
      <c r="F49" s="56" t="n">
        <v>37.2</v>
      </c>
      <c r="G49" s="56" t="n">
        <v>59.6</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629.2</v>
      </c>
      <c r="D50" s="56" t="n">
        <v>197</v>
      </c>
      <c r="E50" s="56" t="n">
        <v>335.4</v>
      </c>
      <c r="F50" s="56" t="n">
        <v>37.2</v>
      </c>
      <c r="G50" s="56" t="n">
        <v>59.6</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629.2</v>
      </c>
      <c r="D51" s="56" t="n">
        <v>197</v>
      </c>
      <c r="E51" s="56" t="n">
        <v>335.4</v>
      </c>
      <c r="F51" s="56" t="n">
        <v>37.2</v>
      </c>
      <c r="G51" s="56" t="n">
        <v>59.6</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1169.8</v>
      </c>
      <c r="D52" s="56" t="n">
        <v>380.6</v>
      </c>
      <c r="E52" s="56" t="n">
        <v>655.2</v>
      </c>
      <c r="F52" s="56" t="n">
        <v>56</v>
      </c>
      <c r="G52" s="56" t="n">
        <v>78</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1169.8</v>
      </c>
      <c r="D53" s="56" t="n">
        <v>380.6</v>
      </c>
      <c r="E53" s="56" t="n">
        <v>655.2</v>
      </c>
      <c r="F53" s="56" t="n">
        <v>56</v>
      </c>
      <c r="G53" s="56" t="n">
        <v>78</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1169.8</v>
      </c>
      <c r="D54" s="56" t="n">
        <v>380.6</v>
      </c>
      <c r="E54" s="56" t="n">
        <v>655.2</v>
      </c>
      <c r="F54" s="56" t="n">
        <v>56</v>
      </c>
      <c r="G54" s="56" t="n">
        <v>78</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1169.8</v>
      </c>
      <c r="D55" s="56" t="n">
        <v>380.6</v>
      </c>
      <c r="E55" s="56" t="n">
        <v>655.2</v>
      </c>
      <c r="F55" s="56" t="n">
        <v>56</v>
      </c>
      <c r="G55" s="56" t="n">
        <v>78</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1169.8</v>
      </c>
      <c r="D56" s="56" t="n">
        <v>380.6</v>
      </c>
      <c r="E56" s="56" t="n">
        <v>655.2</v>
      </c>
      <c r="F56" s="56" t="n">
        <v>56</v>
      </c>
      <c r="G56" s="56" t="n">
        <v>78</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2063.4</v>
      </c>
      <c r="D57" s="56" t="n">
        <v>706.4</v>
      </c>
      <c r="E57" s="56" t="n">
        <v>1186.6</v>
      </c>
      <c r="F57" s="56" t="n">
        <v>74</v>
      </c>
      <c r="G57" s="56" t="n">
        <v>96.40000000000001</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2063.4</v>
      </c>
      <c r="D58" s="56" t="n">
        <v>706.4</v>
      </c>
      <c r="E58" s="56" t="n">
        <v>1186.6</v>
      </c>
      <c r="F58" s="56" t="n">
        <v>74</v>
      </c>
      <c r="G58" s="56" t="n">
        <v>96.40000000000001</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2063.4</v>
      </c>
      <c r="D59" s="56" t="n">
        <v>706.4</v>
      </c>
      <c r="E59" s="56" t="n">
        <v>1186.6</v>
      </c>
      <c r="F59" s="56" t="n">
        <v>74</v>
      </c>
      <c r="G59" s="56" t="n">
        <v>96.40000000000001</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2063.4</v>
      </c>
      <c r="D60" s="56" t="n">
        <v>706.4</v>
      </c>
      <c r="E60" s="56" t="n">
        <v>1186.6</v>
      </c>
      <c r="F60" s="56" t="n">
        <v>74</v>
      </c>
      <c r="G60" s="56" t="n">
        <v>96.40000000000001</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2063.4</v>
      </c>
      <c r="D61" s="56" t="n">
        <v>706.4</v>
      </c>
      <c r="E61" s="56" t="n">
        <v>1186.6</v>
      </c>
      <c r="F61" s="56" t="n">
        <v>74</v>
      </c>
      <c r="G61" s="56" t="n">
        <v>96.40000000000001</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3373.6</v>
      </c>
      <c r="D62" s="56" t="n">
        <v>1157.6</v>
      </c>
      <c r="E62" s="56" t="n">
        <v>2023.4</v>
      </c>
      <c r="F62" s="56" t="n">
        <v>79.8</v>
      </c>
      <c r="G62" s="56" t="n">
        <v>112.8</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3373.6</v>
      </c>
      <c r="D63" s="56" t="n">
        <v>1157.6</v>
      </c>
      <c r="E63" s="56" t="n">
        <v>2023.4</v>
      </c>
      <c r="F63" s="56" t="n">
        <v>79.8</v>
      </c>
      <c r="G63" s="56" t="n">
        <v>112.8</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3373.6</v>
      </c>
      <c r="D64" s="56" t="n">
        <v>1157.6</v>
      </c>
      <c r="E64" s="56" t="n">
        <v>2023.4</v>
      </c>
      <c r="F64" s="56" t="n">
        <v>79.8</v>
      </c>
      <c r="G64" s="56" t="n">
        <v>112.8</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3373.6</v>
      </c>
      <c r="D65" s="56" t="n">
        <v>1157.6</v>
      </c>
      <c r="E65" s="56" t="n">
        <v>2023.4</v>
      </c>
      <c r="F65" s="56" t="n">
        <v>79.8</v>
      </c>
      <c r="G65" s="56" t="n">
        <v>112.8</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3373.6</v>
      </c>
      <c r="D66" s="56" t="n">
        <v>1157.6</v>
      </c>
      <c r="E66" s="56" t="n">
        <v>2023.4</v>
      </c>
      <c r="F66" s="56" t="n">
        <v>79.8</v>
      </c>
      <c r="G66" s="56" t="n">
        <v>112.8</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4853.599999999999</v>
      </c>
      <c r="D67" s="56" t="n">
        <v>1750.4</v>
      </c>
      <c r="E67" s="56" t="n">
        <v>2882</v>
      </c>
      <c r="F67" s="56" t="n">
        <v>94</v>
      </c>
      <c r="G67" s="56" t="n">
        <v>127.2</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4853.599999999999</v>
      </c>
      <c r="D68" s="56" t="n">
        <v>1750.4</v>
      </c>
      <c r="E68" s="56" t="n">
        <v>2882</v>
      </c>
      <c r="F68" s="56" t="n">
        <v>94</v>
      </c>
      <c r="G68" s="56" t="n">
        <v>127.2</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4853.599999999999</v>
      </c>
      <c r="D69" s="56" t="n">
        <v>1750.4</v>
      </c>
      <c r="E69" s="56" t="n">
        <v>2882</v>
      </c>
      <c r="F69" s="56" t="n">
        <v>94</v>
      </c>
      <c r="G69" s="56" t="n">
        <v>127.2</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4853.599999999999</v>
      </c>
      <c r="D70" s="56" t="n">
        <v>1750.4</v>
      </c>
      <c r="E70" s="56" t="n">
        <v>2882</v>
      </c>
      <c r="F70" s="56" t="n">
        <v>94</v>
      </c>
      <c r="G70" s="56" t="n">
        <v>127.2</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4853.599999999999</v>
      </c>
      <c r="D71" s="56" t="n">
        <v>1750.4</v>
      </c>
      <c r="E71" s="56" t="n">
        <v>2882</v>
      </c>
      <c r="F71" s="56" t="n">
        <v>94</v>
      </c>
      <c r="G71" s="56" t="n">
        <v>127.2</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6753.2</v>
      </c>
      <c r="D72" s="56" t="n">
        <v>2496</v>
      </c>
      <c r="E72" s="56" t="n">
        <v>4028.2</v>
      </c>
      <c r="F72" s="56" t="n">
        <v>106.6</v>
      </c>
      <c r="G72" s="56" t="n">
        <v>122.4</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6753.2</v>
      </c>
      <c r="D73" s="56" t="n">
        <v>2496</v>
      </c>
      <c r="E73" s="56" t="n">
        <v>4028.2</v>
      </c>
      <c r="F73" s="56" t="n">
        <v>106.6</v>
      </c>
      <c r="G73" s="56" t="n">
        <v>122.4</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6753.2</v>
      </c>
      <c r="D74" s="56" t="n">
        <v>2496</v>
      </c>
      <c r="E74" s="56" t="n">
        <v>4028.2</v>
      </c>
      <c r="F74" s="56" t="n">
        <v>106.6</v>
      </c>
      <c r="G74" s="56" t="n">
        <v>122.4</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6753.2</v>
      </c>
      <c r="D75" s="56" t="n">
        <v>2496</v>
      </c>
      <c r="E75" s="56" t="n">
        <v>4028.2</v>
      </c>
      <c r="F75" s="56" t="n">
        <v>106.6</v>
      </c>
      <c r="G75" s="56" t="n">
        <v>122.4</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6753.2</v>
      </c>
      <c r="D76" s="56" t="n">
        <v>2496</v>
      </c>
      <c r="E76" s="56" t="n">
        <v>4028.2</v>
      </c>
      <c r="F76" s="56" t="n">
        <v>106.6</v>
      </c>
      <c r="G76" s="56" t="n">
        <v>122.4</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9740.4</v>
      </c>
      <c r="D77" s="56" t="n">
        <v>3792.8</v>
      </c>
      <c r="E77" s="56" t="n">
        <v>5739.8</v>
      </c>
      <c r="F77" s="56" t="n">
        <v>100.4</v>
      </c>
      <c r="G77" s="56" t="n">
        <v>107.4</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9740.4</v>
      </c>
      <c r="D78" s="56" t="n">
        <v>3792.8</v>
      </c>
      <c r="E78" s="56" t="n">
        <v>5739.8</v>
      </c>
      <c r="F78" s="56" t="n">
        <v>100.4</v>
      </c>
      <c r="G78" s="56" t="n">
        <v>107.4</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9740.4</v>
      </c>
      <c r="D79" s="56" t="n">
        <v>3792.8</v>
      </c>
      <c r="E79" s="56" t="n">
        <v>5739.8</v>
      </c>
      <c r="F79" s="56" t="n">
        <v>100.4</v>
      </c>
      <c r="G79" s="56" t="n">
        <v>107.4</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9740.4</v>
      </c>
      <c r="D80" s="56" t="n">
        <v>3792.8</v>
      </c>
      <c r="E80" s="56" t="n">
        <v>5739.8</v>
      </c>
      <c r="F80" s="56" t="n">
        <v>100.4</v>
      </c>
      <c r="G80" s="56" t="n">
        <v>107.4</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9740.4</v>
      </c>
      <c r="D81" s="56" t="n">
        <v>3792.8</v>
      </c>
      <c r="E81" s="56" t="n">
        <v>5739.8</v>
      </c>
      <c r="F81" s="56" t="n">
        <v>100.4</v>
      </c>
      <c r="G81" s="56" t="n">
        <v>107.4</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15075</v>
      </c>
      <c r="D82" s="56" t="n">
        <v>6284.8</v>
      </c>
      <c r="E82" s="56" t="n">
        <v>8605.4</v>
      </c>
      <c r="F82" s="56" t="n">
        <v>96</v>
      </c>
      <c r="G82" s="56" t="n">
        <v>88.8</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15075</v>
      </c>
      <c r="D83" s="56" t="n">
        <v>6284.8</v>
      </c>
      <c r="E83" s="56" t="n">
        <v>8605.4</v>
      </c>
      <c r="F83" s="56" t="n">
        <v>96</v>
      </c>
      <c r="G83" s="56" t="n">
        <v>88.8</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15075</v>
      </c>
      <c r="D84" s="56" t="n">
        <v>6284.8</v>
      </c>
      <c r="E84" s="56" t="n">
        <v>8605.4</v>
      </c>
      <c r="F84" s="56" t="n">
        <v>96</v>
      </c>
      <c r="G84" s="56" t="n">
        <v>88.8</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15075</v>
      </c>
      <c r="D85" s="56" t="n">
        <v>6284.8</v>
      </c>
      <c r="E85" s="56" t="n">
        <v>8605.4</v>
      </c>
      <c r="F85" s="56" t="n">
        <v>96</v>
      </c>
      <c r="G85" s="56" t="n">
        <v>88.8</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15075</v>
      </c>
      <c r="D86" s="56" t="n">
        <v>6284.8</v>
      </c>
      <c r="E86" s="56" t="n">
        <v>8605.4</v>
      </c>
      <c r="F86" s="56" t="n">
        <v>96</v>
      </c>
      <c r="G86" s="56" t="n">
        <v>88.8</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21402.2</v>
      </c>
      <c r="D87" s="56" t="n">
        <v>10191.2</v>
      </c>
      <c r="E87" s="56" t="n">
        <v>11019.8</v>
      </c>
      <c r="F87" s="56" t="n">
        <v>109.2</v>
      </c>
      <c r="G87" s="56" t="n">
        <v>82</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21402.2</v>
      </c>
      <c r="D88" s="56" t="n">
        <v>10191.2</v>
      </c>
      <c r="E88" s="56" t="n">
        <v>11019.8</v>
      </c>
      <c r="F88" s="56" t="n">
        <v>109.2</v>
      </c>
      <c r="G88" s="56" t="n">
        <v>82</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21402.2</v>
      </c>
      <c r="D89" s="56" t="n">
        <v>10191.2</v>
      </c>
      <c r="E89" s="56" t="n">
        <v>11019.8</v>
      </c>
      <c r="F89" s="56" t="n">
        <v>109.2</v>
      </c>
      <c r="G89" s="56" t="n">
        <v>82</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21402.2</v>
      </c>
      <c r="D90" s="56" t="n">
        <v>10191.2</v>
      </c>
      <c r="E90" s="56" t="n">
        <v>11019.8</v>
      </c>
      <c r="F90" s="56" t="n">
        <v>109.2</v>
      </c>
      <c r="G90" s="56" t="n">
        <v>82</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21402.2</v>
      </c>
      <c r="D91" s="56" t="n">
        <v>10191.2</v>
      </c>
      <c r="E91" s="56" t="n">
        <v>11019.8</v>
      </c>
      <c r="F91" s="56" t="n">
        <v>109.2</v>
      </c>
      <c r="G91" s="56" t="n">
        <v>82</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28156.2</v>
      </c>
      <c r="D92" s="56" t="n">
        <v>15251.4</v>
      </c>
      <c r="E92" s="56" t="n">
        <v>12740.8</v>
      </c>
      <c r="F92" s="56" t="n">
        <v>93</v>
      </c>
      <c r="G92" s="56" t="n">
        <v>71</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28156.2</v>
      </c>
      <c r="D93" s="56" t="n">
        <v>15251.4</v>
      </c>
      <c r="E93" s="56" t="n">
        <v>12740.8</v>
      </c>
      <c r="F93" s="56" t="n">
        <v>93</v>
      </c>
      <c r="G93" s="56" t="n">
        <v>71</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28156.2</v>
      </c>
      <c r="D94" s="56" t="n">
        <v>15251.4</v>
      </c>
      <c r="E94" s="56" t="n">
        <v>12740.8</v>
      </c>
      <c r="F94" s="56" t="n">
        <v>93</v>
      </c>
      <c r="G94" s="56" t="n">
        <v>71</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28156.2</v>
      </c>
      <c r="D95" s="56" t="n">
        <v>15251.4</v>
      </c>
      <c r="E95" s="56" t="n">
        <v>12740.8</v>
      </c>
      <c r="F95" s="56" t="n">
        <v>93</v>
      </c>
      <c r="G95" s="56" t="n">
        <v>71</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28156.2</v>
      </c>
      <c r="D96" s="56" t="n">
        <v>15251.4</v>
      </c>
      <c r="E96" s="56" t="n">
        <v>12740.8</v>
      </c>
      <c r="F96" s="56" t="n">
        <v>93</v>
      </c>
      <c r="G96" s="56" t="n">
        <v>71</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23904.2</v>
      </c>
      <c r="D97" s="56" t="n">
        <v>15114.4</v>
      </c>
      <c r="E97" s="56" t="n">
        <v>8701.200000000001</v>
      </c>
      <c r="F97" s="56" t="n">
        <v>57.2</v>
      </c>
      <c r="G97" s="56" t="n">
        <v>31.4</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23904.2</v>
      </c>
      <c r="D98" s="56" t="n">
        <v>15114.4</v>
      </c>
      <c r="E98" s="56" t="n">
        <v>8701.200000000001</v>
      </c>
      <c r="F98" s="56" t="n">
        <v>57.2</v>
      </c>
      <c r="G98" s="56" t="n">
        <v>31.4</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23904.2</v>
      </c>
      <c r="D99" s="56" t="n">
        <v>15114.4</v>
      </c>
      <c r="E99" s="56" t="n">
        <v>8701.200000000001</v>
      </c>
      <c r="F99" s="56" t="n">
        <v>57.2</v>
      </c>
      <c r="G99" s="56" t="n">
        <v>31.4</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23904.2</v>
      </c>
      <c r="D100" s="56" t="n">
        <v>15114.4</v>
      </c>
      <c r="E100" s="56" t="n">
        <v>8701.200000000001</v>
      </c>
      <c r="F100" s="56" t="n">
        <v>57.2</v>
      </c>
      <c r="G100" s="56" t="n">
        <v>31.4</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23904.2</v>
      </c>
      <c r="D101" s="56" t="n">
        <v>15114.4</v>
      </c>
      <c r="E101" s="56" t="n">
        <v>8701.200000000001</v>
      </c>
      <c r="F101" s="56" t="n">
        <v>57.2</v>
      </c>
      <c r="G101" s="56" t="n">
        <v>31.4</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12121.2</v>
      </c>
      <c r="D102" s="56" t="n">
        <v>9030</v>
      </c>
      <c r="E102" s="56" t="n">
        <v>3054.6</v>
      </c>
      <c r="F102" s="56" t="n">
        <v>28.2</v>
      </c>
      <c r="G102" s="56" t="n">
        <v>8.4</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12121.2</v>
      </c>
      <c r="D103" s="56" t="n">
        <v>9030</v>
      </c>
      <c r="E103" s="56" t="n">
        <v>3054.6</v>
      </c>
      <c r="F103" s="56" t="n">
        <v>28.2</v>
      </c>
      <c r="G103" s="56" t="n">
        <v>8.4</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12121.2</v>
      </c>
      <c r="D104" s="56" t="n">
        <v>9030</v>
      </c>
      <c r="E104" s="56" t="n">
        <v>3054.6</v>
      </c>
      <c r="F104" s="56" t="n">
        <v>28.2</v>
      </c>
      <c r="G104" s="56" t="n">
        <v>8.4</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12121.2</v>
      </c>
      <c r="D105" s="56" t="n">
        <v>9030</v>
      </c>
      <c r="E105" s="56" t="n">
        <v>3054.6</v>
      </c>
      <c r="F105" s="56" t="n">
        <v>28.2</v>
      </c>
      <c r="G105" s="56" t="n">
        <v>8.4</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12121.2</v>
      </c>
      <c r="D106" s="56" t="n">
        <v>9030</v>
      </c>
      <c r="E106" s="56" t="n">
        <v>3054.6</v>
      </c>
      <c r="F106" s="56" t="n">
        <v>28.2</v>
      </c>
      <c r="G106" s="56" t="n">
        <v>8.4</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https://esploradati.istat.it/databrowser/#/en/dw/categories/IT1,POP,1.0/POP_MORTALITY/DCIS_DECESSI/IT1,26_29_DF_DCIS_DECESSI_2,1.0; downloaded 46115; the data is available only in 5 year batches, so we calculated the numbers per age by dividing the batches</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184624</v>
      </c>
      <c r="D9" s="118" t="n">
        <v>-27092.4</v>
      </c>
      <c r="E9" s="118" t="n">
        <v>-31884.1</v>
      </c>
      <c r="F9" s="118" t="n">
        <v>106875.2</v>
      </c>
      <c r="G9" s="118" t="n">
        <v>136725.3</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1276.622861694286</v>
      </c>
      <c r="D17" s="83" t="n">
        <v>-187.3363009043585</v>
      </c>
      <c r="E17" s="83" t="n">
        <v>-220.4695542537633</v>
      </c>
      <c r="F17" s="83" t="n">
        <v>739.0118493161733</v>
      </c>
      <c r="G17" s="83" t="n">
        <v>945.4168675362347</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1536.058067934951</v>
      </c>
      <c r="D18" s="83" t="n">
        <v>-225.4067705158639</v>
      </c>
      <c r="E18" s="83" t="n">
        <v>-265.273361230635</v>
      </c>
      <c r="F18" s="83" t="n">
        <v>889.1937842434432</v>
      </c>
      <c r="G18" s="83" t="n">
        <v>1137.544415438007</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1829.825502562715</v>
      </c>
      <c r="D19" s="83" t="n">
        <v>-268.5152767009171</v>
      </c>
      <c r="E19" s="83" t="n">
        <v>-316.0062576168855</v>
      </c>
      <c r="F19" s="83" t="n">
        <v>1059.249970488619</v>
      </c>
      <c r="G19" s="83" t="n">
        <v>1355.097066391899</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2158.085986555938</v>
      </c>
      <c r="D20" s="83" t="n">
        <v>-316.6854189171944</v>
      </c>
      <c r="E20" s="83" t="n">
        <v>-372.6960167906026</v>
      </c>
      <c r="F20" s="83" t="n">
        <v>1249.27350415094</v>
      </c>
      <c r="G20" s="83" t="n">
        <v>1598.193918112795</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2519.908893983099</v>
      </c>
      <c r="D21" s="83" t="n">
        <v>-369.7806337168933</v>
      </c>
      <c r="E21" s="83" t="n">
        <v>-435.1819219963089</v>
      </c>
      <c r="F21" s="83" t="n">
        <v>1458.725664194376</v>
      </c>
      <c r="G21" s="83" t="n">
        <v>1866.145785501925</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2913.117218634432</v>
      </c>
      <c r="D22" s="83" t="n">
        <v>-427.4814592584468</v>
      </c>
      <c r="E22" s="83" t="n">
        <v>-503.0880097422984</v>
      </c>
      <c r="F22" s="83" t="n">
        <v>1686.346224569929</v>
      </c>
      <c r="G22" s="83" t="n">
        <v>2157.340463065248</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3334.172822821832</v>
      </c>
      <c r="D23" s="83" t="n">
        <v>-489.2686962963547</v>
      </c>
      <c r="E23" s="83" t="n">
        <v>-575.8032525572711</v>
      </c>
      <c r="F23" s="83" t="n">
        <v>1930.087027004332</v>
      </c>
      <c r="G23" s="83" t="n">
        <v>2469.157744671125</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3778.115933484213</v>
      </c>
      <c r="D24" s="83" t="n">
        <v>-554.4145296187262</v>
      </c>
      <c r="E24" s="83" t="n">
        <v>-652.4711101200494</v>
      </c>
      <c r="F24" s="83" t="n">
        <v>2187.07695648622</v>
      </c>
      <c r="G24" s="83" t="n">
        <v>2797.924616736768</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4238.57116830762</v>
      </c>
      <c r="D25" s="83" t="n">
        <v>-621.9834123421512</v>
      </c>
      <c r="E25" s="83" t="n">
        <v>-731.9905699553523</v>
      </c>
      <c r="F25" s="83" t="n">
        <v>2453.625429668463</v>
      </c>
      <c r="G25" s="83" t="n">
        <v>3138.919720936659</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4707.829273886427</v>
      </c>
      <c r="D26" s="83" t="n">
        <v>-690.8440604679818</v>
      </c>
      <c r="E26" s="83" t="n">
        <v>-813.0302634084533</v>
      </c>
      <c r="F26" s="83" t="n">
        <v>2725.269711480993</v>
      </c>
      <c r="G26" s="83" t="n">
        <v>3486.43388628187</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5177.009437197024</v>
      </c>
      <c r="D27" s="83" t="n">
        <v>-759.6932710607325</v>
      </c>
      <c r="E27" s="83" t="n">
        <v>-894.0564964280575</v>
      </c>
      <c r="F27" s="83" t="n">
        <v>2996.868874048441</v>
      </c>
      <c r="G27" s="83" t="n">
        <v>3833.890330637373</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5636.301731380496</v>
      </c>
      <c r="D28" s="83" t="n">
        <v>-827.0914996276376</v>
      </c>
      <c r="E28" s="83" t="n">
        <v>-973.3751193426041</v>
      </c>
      <c r="F28" s="83" t="n">
        <v>3262.744143782157</v>
      </c>
      <c r="G28" s="83" t="n">
        <v>4174.024206568582</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6075.283351813891</v>
      </c>
      <c r="D29" s="83" t="n">
        <v>-891.5092657546293</v>
      </c>
      <c r="E29" s="83" t="n">
        <v>-1049.186140033632</v>
      </c>
      <c r="F29" s="83" t="n">
        <v>3516.861964217978</v>
      </c>
      <c r="G29" s="83" t="n">
        <v>4499.116793384174</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6483.296271696685</v>
      </c>
      <c r="D30" s="83" t="n">
        <v>-951.3825716662801</v>
      </c>
      <c r="E30" s="83" t="n">
        <v>-1119.648944104799</v>
      </c>
      <c r="F30" s="83" t="n">
        <v>3753.052613402579</v>
      </c>
      <c r="G30" s="83" t="n">
        <v>4801.275174065187</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6849.868346514238</v>
      </c>
      <c r="D31" s="83" t="n">
        <v>-1005.174696632628</v>
      </c>
      <c r="E31" s="83" t="n">
        <v>-1182.955018562563</v>
      </c>
      <c r="F31" s="83" t="n">
        <v>3965.253972979562</v>
      </c>
      <c r="G31" s="83" t="n">
        <v>5072.744088729868</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7165.155282590531</v>
      </c>
      <c r="D32" s="83" t="n">
        <v>-1051.44105304866</v>
      </c>
      <c r="E32" s="83" t="n">
        <v>-1237.404278672572</v>
      </c>
      <c r="F32" s="83" t="n">
        <v>4147.767375086227</v>
      </c>
      <c r="G32" s="83" t="n">
        <v>5306.233239225536</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7420.377763420839</v>
      </c>
      <c r="D33" s="83" t="n">
        <v>-1088.893331948732</v>
      </c>
      <c r="E33" s="83" t="n">
        <v>-1281.480558576818</v>
      </c>
      <c r="F33" s="83" t="n">
        <v>4295.510646184433</v>
      </c>
      <c r="G33" s="83" t="n">
        <v>5495.241007761956</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7608.226792347062</v>
      </c>
      <c r="D34" s="83" t="n">
        <v>-1116.458984471052</v>
      </c>
      <c r="E34" s="83" t="n">
        <v>-1313.921612953207</v>
      </c>
      <c r="F34" s="83" t="n">
        <v>4404.252751957767</v>
      </c>
      <c r="G34" s="83" t="n">
        <v>5634.354637813555</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7723.211189905836</v>
      </c>
      <c r="D35" s="83" t="n">
        <v>-1133.332214887582</v>
      </c>
      <c r="E35" s="83" t="n">
        <v>-1333.779128932732</v>
      </c>
      <c r="F35" s="83" t="n">
        <v>4470.814956687236</v>
      </c>
      <c r="G35" s="83" t="n">
        <v>5719.507577038915</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7761.924206535788</v>
      </c>
      <c r="D36" s="83" t="n">
        <v>-1139.013104326361</v>
      </c>
      <c r="E36" s="83" t="n">
        <v>-1340.464769442801</v>
      </c>
      <c r="F36" s="83" t="n">
        <v>4493.225160100277</v>
      </c>
      <c r="G36" s="83" t="n">
        <v>5748.176920204673</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7723.211189905836</v>
      </c>
      <c r="D37" s="83" t="n">
        <v>-1133.332214887582</v>
      </c>
      <c r="E37" s="83" t="n">
        <v>-1333.779128932732</v>
      </c>
      <c r="F37" s="83" t="n">
        <v>4470.814956687236</v>
      </c>
      <c r="G37" s="83" t="n">
        <v>5719.507577038915</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7608.226792347062</v>
      </c>
      <c r="D38" s="83" t="n">
        <v>-1116.458984471052</v>
      </c>
      <c r="E38" s="83" t="n">
        <v>-1313.921612953207</v>
      </c>
      <c r="F38" s="83" t="n">
        <v>4404.252751957767</v>
      </c>
      <c r="G38" s="83" t="n">
        <v>5634.354637813555</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7420.377763420839</v>
      </c>
      <c r="D39" s="83" t="n">
        <v>-1088.893331948732</v>
      </c>
      <c r="E39" s="83" t="n">
        <v>-1281.480558576818</v>
      </c>
      <c r="F39" s="83" t="n">
        <v>4295.510646184433</v>
      </c>
      <c r="G39" s="83" t="n">
        <v>5495.241007761956</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7165.155282590531</v>
      </c>
      <c r="D40" s="83" t="n">
        <v>-1051.44105304866</v>
      </c>
      <c r="E40" s="83" t="n">
        <v>-1237.404278672572</v>
      </c>
      <c r="F40" s="83" t="n">
        <v>4147.767375086227</v>
      </c>
      <c r="G40" s="83" t="n">
        <v>5306.233239225536</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6849.868346514238</v>
      </c>
      <c r="D41" s="83" t="n">
        <v>-1005.174696632628</v>
      </c>
      <c r="E41" s="83" t="n">
        <v>-1182.955018562563</v>
      </c>
      <c r="F41" s="83" t="n">
        <v>3965.253972979562</v>
      </c>
      <c r="G41" s="83" t="n">
        <v>5072.744088729868</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6483.296271696685</v>
      </c>
      <c r="D42" s="83" t="n">
        <v>-951.3825716662801</v>
      </c>
      <c r="E42" s="83" t="n">
        <v>-1119.648944104799</v>
      </c>
      <c r="F42" s="83" t="n">
        <v>3753.052613402579</v>
      </c>
      <c r="G42" s="83" t="n">
        <v>4801.275174065187</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6075.283351813891</v>
      </c>
      <c r="D43" s="83" t="n">
        <v>-891.5092657546293</v>
      </c>
      <c r="E43" s="83" t="n">
        <v>-1049.186140033632</v>
      </c>
      <c r="F43" s="83" t="n">
        <v>3516.861964217978</v>
      </c>
      <c r="G43" s="83" t="n">
        <v>4499.116793384174</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5636.301731380496</v>
      </c>
      <c r="D44" s="83" t="n">
        <v>-827.0914996276376</v>
      </c>
      <c r="E44" s="83" t="n">
        <v>-973.3751193426041</v>
      </c>
      <c r="F44" s="83" t="n">
        <v>3262.744143782157</v>
      </c>
      <c r="G44" s="83" t="n">
        <v>4174.024206568582</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5177.009437197024</v>
      </c>
      <c r="D45" s="83" t="n">
        <v>-759.6932710607325</v>
      </c>
      <c r="E45" s="83" t="n">
        <v>-894.0564964280575</v>
      </c>
      <c r="F45" s="83" t="n">
        <v>2996.868874048441</v>
      </c>
      <c r="G45" s="83" t="n">
        <v>3833.890330637373</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4707.829273886427</v>
      </c>
      <c r="D46" s="83" t="n">
        <v>-690.8440604679818</v>
      </c>
      <c r="E46" s="83" t="n">
        <v>-813.0302634084533</v>
      </c>
      <c r="F46" s="83" t="n">
        <v>2725.269711480993</v>
      </c>
      <c r="G46" s="83" t="n">
        <v>3486.43388628187</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4238.57116830762</v>
      </c>
      <c r="D47" s="83" t="n">
        <v>-621.9834123421512</v>
      </c>
      <c r="E47" s="83" t="n">
        <v>-731.9905699553523</v>
      </c>
      <c r="F47" s="83" t="n">
        <v>2453.625429668463</v>
      </c>
      <c r="G47" s="83" t="n">
        <v>3138.919720936659</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3778.115933484213</v>
      </c>
      <c r="D48" s="83" t="n">
        <v>-554.4145296187262</v>
      </c>
      <c r="E48" s="83" t="n">
        <v>-652.4711101200494</v>
      </c>
      <c r="F48" s="83" t="n">
        <v>2187.07695648622</v>
      </c>
      <c r="G48" s="83" t="n">
        <v>2797.924616736768</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3334.172822821832</v>
      </c>
      <c r="D49" s="83" t="n">
        <v>-489.2686962963547</v>
      </c>
      <c r="E49" s="83" t="n">
        <v>-575.8032525572711</v>
      </c>
      <c r="F49" s="83" t="n">
        <v>1930.087027004332</v>
      </c>
      <c r="G49" s="83" t="n">
        <v>2469.157744671125</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2913.117218634432</v>
      </c>
      <c r="D50" s="83" t="n">
        <v>-427.4814592584468</v>
      </c>
      <c r="E50" s="83" t="n">
        <v>-503.0880097422984</v>
      </c>
      <c r="F50" s="83" t="n">
        <v>1686.346224569929</v>
      </c>
      <c r="G50" s="83" t="n">
        <v>2157.340463065248</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2519.908893983099</v>
      </c>
      <c r="D51" s="83" t="n">
        <v>-369.7806337168933</v>
      </c>
      <c r="E51" s="83" t="n">
        <v>-435.1819219963089</v>
      </c>
      <c r="F51" s="83" t="n">
        <v>1458.725664194376</v>
      </c>
      <c r="G51" s="83" t="n">
        <v>1866.145785501925</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2158.085986555938</v>
      </c>
      <c r="D52" s="83" t="n">
        <v>-316.6854189171944</v>
      </c>
      <c r="E52" s="83" t="n">
        <v>-372.6960167906026</v>
      </c>
      <c r="F52" s="83" t="n">
        <v>1249.27350415094</v>
      </c>
      <c r="G52" s="83" t="n">
        <v>1598.193918112795</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1829.825502562715</v>
      </c>
      <c r="D53" s="83" t="n">
        <v>-268.5152767009171</v>
      </c>
      <c r="E53" s="83" t="n">
        <v>-316.0062576168855</v>
      </c>
      <c r="F53" s="83" t="n">
        <v>1059.249970488619</v>
      </c>
      <c r="G53" s="83" t="n">
        <v>1355.097066391899</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1536.058067934951</v>
      </c>
      <c r="D54" s="83" t="n">
        <v>-225.4067705158639</v>
      </c>
      <c r="E54" s="83" t="n">
        <v>-265.273361230635</v>
      </c>
      <c r="F54" s="83" t="n">
        <v>889.1937842434432</v>
      </c>
      <c r="G54" s="83" t="n">
        <v>1137.544415438007</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1276.622861694286</v>
      </c>
      <c r="D55" s="83" t="n">
        <v>-187.3363009043585</v>
      </c>
      <c r="E55" s="83" t="n">
        <v>-220.4695542537633</v>
      </c>
      <c r="F55" s="83" t="n">
        <v>739.0118493161733</v>
      </c>
      <c r="G55" s="83" t="n">
        <v>945.4168675362347</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280078</v>
      </c>
      <c r="D189" s="112" t="n">
        <v>12966</v>
      </c>
      <c r="E189" s="112" t="n">
        <v>17086</v>
      </c>
      <c r="F189" s="129" t="n">
        <v>116110</v>
      </c>
      <c r="G189" s="118" t="n">
        <v>133916</v>
      </c>
      <c r="H189" s="83">
        <f t="array" ref="H189">E189+D189</f>
        <v/>
      </c>
      <c r="I189" s="128">
        <f t="array" ref="I189">G189+F189</f>
        <v/>
      </c>
      <c r="J189" s="112" t="n">
        <v>69345</v>
      </c>
      <c r="K189" s="112" t="n">
        <v>96978</v>
      </c>
      <c r="L189" s="131" t="n"/>
    </row>
    <row r="190" ht="20.65" customHeight="1" s="206">
      <c r="A190" s="10" t="n"/>
      <c r="B190" s="127">
        <f t="array" ref="B190">$B191-1</f>
        <v/>
      </c>
      <c r="C190" s="128" t="n">
        <v>300823</v>
      </c>
      <c r="D190" s="112" t="n">
        <v>16151</v>
      </c>
      <c r="E190" s="112" t="n">
        <v>21743</v>
      </c>
      <c r="F190" s="129" t="n">
        <v>115581</v>
      </c>
      <c r="G190" s="118" t="n">
        <v>147348</v>
      </c>
      <c r="H190" s="83">
        <f t="array" ref="H190">E190+D190</f>
        <v/>
      </c>
      <c r="I190" s="128">
        <f t="array" ref="I190">G190+F190</f>
        <v/>
      </c>
      <c r="J190" s="112" t="n">
        <v>59191</v>
      </c>
      <c r="K190" s="112" t="n">
        <v>70318</v>
      </c>
      <c r="L190" s="131" t="n"/>
    </row>
    <row r="191" ht="20.65" customHeight="1" s="206">
      <c r="A191" s="10" t="n"/>
      <c r="B191" s="127">
        <f t="array" ref="B191">$B192-1</f>
        <v/>
      </c>
      <c r="C191" s="128" t="n">
        <v>343440</v>
      </c>
      <c r="D191" s="112" t="n">
        <v>18317</v>
      </c>
      <c r="E191" s="112" t="n">
        <v>24052</v>
      </c>
      <c r="F191" s="129" t="n">
        <v>125183</v>
      </c>
      <c r="G191" s="118" t="n">
        <v>175888</v>
      </c>
      <c r="H191" s="83">
        <f t="array" ref="H191">E191+D191</f>
        <v/>
      </c>
      <c r="I191" s="128">
        <f t="array" ref="I191">G191+F191</f>
        <v/>
      </c>
      <c r="J191" s="112" t="n">
        <v>52863</v>
      </c>
      <c r="K191" s="112" t="n">
        <v>58938</v>
      </c>
      <c r="L191" s="131" t="n"/>
    </row>
    <row r="192" ht="20.65" customHeight="1" s="206">
      <c r="A192" s="10" t="n"/>
      <c r="B192" s="127">
        <f t="array" ref="B192">$B193-1</f>
        <v/>
      </c>
      <c r="C192" s="128" t="n">
        <v>332324</v>
      </c>
      <c r="D192" s="112" t="n">
        <v>20166</v>
      </c>
      <c r="E192" s="112" t="n">
        <v>26658</v>
      </c>
      <c r="F192" s="129" t="n">
        <v>127217</v>
      </c>
      <c r="G192" s="118" t="n">
        <v>158283</v>
      </c>
      <c r="H192" s="83">
        <f t="array" ref="H192">E192+D192</f>
        <v/>
      </c>
      <c r="I192" s="128">
        <f t="array" ref="I192">G192+F192</f>
        <v/>
      </c>
      <c r="J192" s="112" t="n">
        <v>49456</v>
      </c>
      <c r="K192" s="112" t="n">
        <v>56177</v>
      </c>
      <c r="L192" s="131" t="n"/>
    </row>
    <row r="193" ht="20.65" customHeight="1" s="206">
      <c r="A193" s="10" t="n"/>
      <c r="B193" s="127">
        <f t="array" ref="B193">$B194-1</f>
        <v/>
      </c>
      <c r="C193" s="128" t="n">
        <v>332778</v>
      </c>
      <c r="D193" s="112" t="n">
        <v>29828</v>
      </c>
      <c r="E193" s="112" t="n">
        <v>38379</v>
      </c>
      <c r="F193" s="129" t="n">
        <v>134029</v>
      </c>
      <c r="G193" s="118" t="n">
        <v>130542</v>
      </c>
      <c r="H193" s="83">
        <f t="array" ref="H193">E193+D193</f>
        <v/>
      </c>
      <c r="I193" s="128">
        <f t="array" ref="I193">G193+F193</f>
        <v/>
      </c>
      <c r="J193" s="112" t="n">
        <v>50613</v>
      </c>
      <c r="K193" s="112" t="n">
        <v>58554</v>
      </c>
      <c r="L193" s="131" t="n"/>
    </row>
    <row r="194" ht="20.65" customHeight="1" s="206">
      <c r="A194" s="10" t="n"/>
      <c r="B194" s="127">
        <f t="array" ref="B194">$B195-1</f>
        <v/>
      </c>
      <c r="C194" s="128" t="n">
        <v>247526</v>
      </c>
      <c r="D194" s="112" t="n">
        <v>24273</v>
      </c>
      <c r="E194" s="112" t="n">
        <v>31487</v>
      </c>
      <c r="F194" s="129" t="n">
        <v>94965</v>
      </c>
      <c r="G194" s="118" t="n">
        <v>96801</v>
      </c>
      <c r="H194" s="83">
        <f t="array" ref="H194">E194+D194</f>
        <v/>
      </c>
      <c r="I194" s="128">
        <f t="array" ref="I194">G194+F194</f>
        <v/>
      </c>
      <c r="J194" s="112" t="n">
        <v>47156</v>
      </c>
      <c r="K194" s="112" t="n">
        <v>56409</v>
      </c>
      <c r="L194" s="131" t="n"/>
    </row>
    <row r="195" ht="20.65" customHeight="1" s="206">
      <c r="A195" s="10" t="n"/>
      <c r="B195" s="127">
        <f t="array" ref="B195">$B196-1</f>
        <v/>
      </c>
      <c r="C195" s="128" t="n">
        <v>318366</v>
      </c>
      <c r="D195" s="112" t="n">
        <v>33047</v>
      </c>
      <c r="E195" s="112" t="n">
        <v>41712</v>
      </c>
      <c r="F195" s="129" t="n">
        <v>117362</v>
      </c>
      <c r="G195" s="118" t="n">
        <v>126245</v>
      </c>
      <c r="H195" s="83">
        <f t="array" ref="H195">E195+D195</f>
        <v/>
      </c>
      <c r="I195" s="128">
        <f t="array" ref="I195">G195+F195</f>
        <v/>
      </c>
      <c r="J195" s="112" t="n">
        <v>50392</v>
      </c>
      <c r="K195" s="112" t="n">
        <v>68119</v>
      </c>
      <c r="L195" s="131" t="n"/>
    </row>
    <row r="196" ht="20.65" customHeight="1" s="206">
      <c r="A196" s="10" t="n"/>
      <c r="B196" s="127">
        <f t="array" ref="B196">$B197-1</f>
        <v/>
      </c>
      <c r="C196" s="128" t="n">
        <v>410985</v>
      </c>
      <c r="D196" s="112" t="n">
        <v>32359</v>
      </c>
      <c r="E196" s="112" t="n">
        <v>42131</v>
      </c>
      <c r="F196" s="129" t="n">
        <v>160692</v>
      </c>
      <c r="G196" s="118" t="n">
        <v>175803</v>
      </c>
      <c r="H196" s="83">
        <f t="array" ref="H196">E196+D196</f>
        <v/>
      </c>
      <c r="I196" s="128">
        <f t="array" ref="I196">G196+F196</f>
        <v/>
      </c>
      <c r="J196" s="112" t="n">
        <v>102165</v>
      </c>
      <c r="K196" s="112" t="n">
        <v>99457</v>
      </c>
      <c r="L196" s="131" t="n"/>
    </row>
    <row r="197" ht="20.65" customHeight="1" s="206">
      <c r="A197" s="10" t="n"/>
      <c r="B197" s="127">
        <f t="array" ref="B197">$B198-1</f>
        <v/>
      </c>
      <c r="C197" s="128" t="n">
        <v>439658</v>
      </c>
      <c r="D197" s="112" t="n">
        <v>26416</v>
      </c>
      <c r="E197" s="112" t="n">
        <v>34870</v>
      </c>
      <c r="F197" s="129" t="n">
        <v>168112</v>
      </c>
      <c r="G197" s="118" t="n">
        <v>210260</v>
      </c>
      <c r="H197" s="83">
        <f t="array" ref="H197">E197+D197</f>
        <v/>
      </c>
      <c r="I197" s="128">
        <f t="array" ref="I197">G197+F197</f>
        <v/>
      </c>
      <c r="J197" s="112" t="n">
        <v>68403</v>
      </c>
      <c r="K197" s="112" t="n">
        <v>79188</v>
      </c>
      <c r="L197" s="131" t="n"/>
    </row>
    <row r="198" ht="20.45" customHeight="1" s="206">
      <c r="A198" s="10" t="n"/>
      <c r="B198" s="127">
        <f t="array" ref="B198">$C$7</f>
        <v/>
      </c>
      <c r="C198" s="128" t="n">
        <v>451583</v>
      </c>
      <c r="D198" s="132" t="n">
        <v>25579</v>
      </c>
      <c r="E198" s="133" t="n">
        <v>32889</v>
      </c>
      <c r="F198" s="118" t="n">
        <v>165487</v>
      </c>
      <c r="G198" s="118" t="n">
        <v>227628</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146955</v>
      </c>
      <c r="D276" s="112" t="n">
        <v>43897</v>
      </c>
      <c r="E276" s="112" t="n">
        <v>58362</v>
      </c>
      <c r="F276" s="129" t="n">
        <v>24736</v>
      </c>
      <c r="G276" s="118" t="n">
        <v>19960</v>
      </c>
      <c r="H276" s="83">
        <f t="array" ref="H276">E276+D276</f>
        <v/>
      </c>
      <c r="I276" s="128">
        <f t="array" ref="I276">G276+F276</f>
        <v/>
      </c>
      <c r="J276" s="112" t="n">
        <v>24746</v>
      </c>
      <c r="K276" s="112" t="n">
        <v>31943</v>
      </c>
      <c r="L276" s="131" t="n"/>
    </row>
    <row r="277" ht="20.65" customHeight="1" s="206">
      <c r="A277" s="10" t="n"/>
      <c r="B277" s="127">
        <f t="array" ref="B277">$B278-1</f>
        <v/>
      </c>
      <c r="C277" s="128" t="n">
        <v>157065</v>
      </c>
      <c r="D277" s="112" t="n">
        <v>50249</v>
      </c>
      <c r="E277" s="112" t="n">
        <v>64263</v>
      </c>
      <c r="F277" s="129" t="n">
        <v>23570</v>
      </c>
      <c r="G277" s="118" t="n">
        <v>18983</v>
      </c>
      <c r="H277" s="83">
        <f t="array" ref="H277">E277+D277</f>
        <v/>
      </c>
      <c r="I277" s="128">
        <f t="array" ref="I277">G277+F277</f>
        <v/>
      </c>
      <c r="J277" s="112" t="n">
        <v>28284</v>
      </c>
      <c r="K277" s="112" t="n">
        <v>36144</v>
      </c>
      <c r="L277" s="131" t="n"/>
    </row>
    <row r="278" ht="20.65" customHeight="1" s="206">
      <c r="A278" s="10" t="n"/>
      <c r="B278" s="127">
        <f t="array" ref="B278">$B279-1</f>
        <v/>
      </c>
      <c r="C278" s="128" t="n">
        <v>155110</v>
      </c>
      <c r="D278" s="112" t="n">
        <v>50677</v>
      </c>
      <c r="E278" s="112" t="n">
        <v>63882</v>
      </c>
      <c r="F278" s="129" t="n">
        <v>22824</v>
      </c>
      <c r="G278" s="118" t="n">
        <v>17727</v>
      </c>
      <c r="H278" s="83">
        <f t="array" ref="H278">E278+D278</f>
        <v/>
      </c>
      <c r="I278" s="128">
        <f t="array" ref="I278">G278+F278</f>
        <v/>
      </c>
      <c r="J278" s="112" t="n">
        <v>28364</v>
      </c>
      <c r="K278" s="112" t="n">
        <v>37780</v>
      </c>
      <c r="L278" s="131" t="n"/>
    </row>
    <row r="279" ht="20.65" customHeight="1" s="206">
      <c r="A279" s="10" t="n"/>
      <c r="B279" s="127">
        <f t="array" ref="B279">$B280-1</f>
        <v/>
      </c>
      <c r="C279" s="128" t="n">
        <v>156960</v>
      </c>
      <c r="D279" s="112" t="n">
        <v>51476</v>
      </c>
      <c r="E279" s="112" t="n">
        <v>65256</v>
      </c>
      <c r="F279" s="129" t="n">
        <v>22506</v>
      </c>
      <c r="G279" s="118" t="n">
        <v>17722</v>
      </c>
      <c r="H279" s="83">
        <f t="array" ref="H279">E279+D279</f>
        <v/>
      </c>
      <c r="I279" s="128">
        <f t="array" ref="I279">G279+F279</f>
        <v/>
      </c>
      <c r="J279" s="112" t="n">
        <v>28381</v>
      </c>
      <c r="K279" s="112" t="n">
        <v>38831</v>
      </c>
      <c r="L279" s="131" t="n"/>
    </row>
    <row r="280" ht="20.65" customHeight="1" s="206">
      <c r="A280" s="10" t="n"/>
      <c r="B280" s="127">
        <f t="array" ref="B280">$B281-1</f>
        <v/>
      </c>
      <c r="C280" s="128" t="n">
        <v>179505</v>
      </c>
      <c r="D280" s="112" t="n">
        <v>55200</v>
      </c>
      <c r="E280" s="112" t="n">
        <v>66820</v>
      </c>
      <c r="F280" s="129" t="n">
        <v>29991</v>
      </c>
      <c r="G280" s="118" t="n">
        <v>27494</v>
      </c>
      <c r="H280" s="83">
        <f t="array" ref="H280">E280+D280</f>
        <v/>
      </c>
      <c r="I280" s="128">
        <f t="array" ref="I280">G280+F280</f>
        <v/>
      </c>
      <c r="J280" s="112" t="n">
        <v>28842</v>
      </c>
      <c r="K280" s="112" t="n">
        <v>39438</v>
      </c>
      <c r="L280" s="131" t="n"/>
    </row>
    <row r="281" ht="20.65" customHeight="1" s="206">
      <c r="A281" s="10" t="n"/>
      <c r="B281" s="127">
        <f t="array" ref="B281">$B282-1</f>
        <v/>
      </c>
      <c r="C281" s="128" t="n">
        <v>159884</v>
      </c>
      <c r="D281" s="112" t="n">
        <v>55423</v>
      </c>
      <c r="E281" s="112" t="n">
        <v>65527</v>
      </c>
      <c r="F281" s="129" t="n">
        <v>22130</v>
      </c>
      <c r="G281" s="118" t="n">
        <v>16804</v>
      </c>
      <c r="H281" s="83">
        <f t="array" ref="H281">E281+D281</f>
        <v/>
      </c>
      <c r="I281" s="128">
        <f t="array" ref="I281">G281+F281</f>
        <v/>
      </c>
      <c r="J281" s="112" t="n">
        <v>26795</v>
      </c>
      <c r="K281" s="112" t="n">
        <v>35786</v>
      </c>
      <c r="L281" s="131" t="n"/>
    </row>
    <row r="282" ht="20.65" customHeight="1" s="206">
      <c r="A282" s="10" t="n"/>
      <c r="B282" s="127">
        <f t="array" ref="B282">$B283-1</f>
        <v/>
      </c>
      <c r="C282" s="128" t="n">
        <v>158312</v>
      </c>
      <c r="D282" s="112" t="n">
        <v>42501</v>
      </c>
      <c r="E282" s="112" t="n">
        <v>51718</v>
      </c>
      <c r="F282" s="129" t="n">
        <v>32627</v>
      </c>
      <c r="G282" s="118" t="n">
        <v>31466</v>
      </c>
      <c r="H282" s="83">
        <f t="array" ref="H282">E282+D282</f>
        <v/>
      </c>
      <c r="I282" s="128">
        <f t="array" ref="I282">G282+F282</f>
        <v/>
      </c>
      <c r="J282" s="112" t="n">
        <v>28792</v>
      </c>
      <c r="K282" s="112" t="n">
        <v>38507</v>
      </c>
      <c r="L282" s="131" t="n"/>
    </row>
    <row r="283" ht="20.65" customHeight="1" s="206">
      <c r="A283" s="10" t="n"/>
      <c r="B283" s="127">
        <f t="array" ref="B283">$B284-1</f>
        <v/>
      </c>
      <c r="C283" s="128" t="n">
        <v>150189</v>
      </c>
      <c r="D283" s="112" t="n">
        <v>45022</v>
      </c>
      <c r="E283" s="112" t="n">
        <v>54488</v>
      </c>
      <c r="F283" s="129" t="n">
        <v>26726</v>
      </c>
      <c r="G283" s="118" t="n">
        <v>23953</v>
      </c>
      <c r="H283" s="83">
        <f t="array" ref="H283">E283+D283</f>
        <v/>
      </c>
      <c r="I283" s="128">
        <f t="array" ref="I283">G283+F283</f>
        <v/>
      </c>
      <c r="J283" s="112" t="n">
        <v>33347</v>
      </c>
      <c r="K283" s="112" t="n">
        <v>40924</v>
      </c>
      <c r="L283" s="131" t="n"/>
    </row>
    <row r="284" ht="20.65" customHeight="1" s="206">
      <c r="A284" s="10" t="n"/>
      <c r="B284" s="127">
        <f t="array" ref="B284">$B285-1</f>
        <v/>
      </c>
      <c r="C284" s="128" t="n">
        <v>158438</v>
      </c>
      <c r="D284" s="112" t="n">
        <v>51163</v>
      </c>
      <c r="E284" s="112" t="n">
        <v>62894</v>
      </c>
      <c r="F284" s="129" t="n">
        <v>24215</v>
      </c>
      <c r="G284" s="118" t="n">
        <v>20166</v>
      </c>
      <c r="H284" s="83">
        <f t="array" ref="H284">E284+D284</f>
        <v/>
      </c>
      <c r="I284" s="128">
        <f t="array" ref="I284">G284+F284</f>
        <v/>
      </c>
      <c r="J284" s="112" t="n">
        <v>33164</v>
      </c>
      <c r="K284" s="112" t="n">
        <v>40872</v>
      </c>
      <c r="L284" s="131" t="n"/>
    </row>
    <row r="285" ht="20.65" customHeight="1" s="206">
      <c r="A285" s="10" t="n"/>
      <c r="B285" s="127">
        <f t="array" ref="B285">$C$7</f>
        <v/>
      </c>
      <c r="C285" s="128" t="n">
        <v>188903</v>
      </c>
      <c r="D285" s="112" t="n">
        <v>64418</v>
      </c>
      <c r="E285" s="134" t="n">
        <v>76638</v>
      </c>
      <c r="F285" s="118" t="n">
        <v>26661</v>
      </c>
      <c r="G285" s="118" t="n">
        <v>21186</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5</v>
      </c>
      <c r="G10" s="89" t="n">
        <v>4</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202692</v>
      </c>
      <c r="G11" s="89" t="n">
        <v>213537</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v>4396</v>
      </c>
      <c r="G12" s="89" t="n">
        <v>2039</v>
      </c>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9399</v>
      </c>
      <c r="G14" s="89" t="n">
        <v>10178</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3492</v>
      </c>
      <c r="G15" s="89" t="n">
        <v>2784</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30155</v>
      </c>
      <c r="G16" s="89" t="n">
        <v>18504</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7494</v>
      </c>
      <c r="G17" s="89" t="n">
        <v>2011</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4487</v>
      </c>
      <c r="G18" s="89" t="n">
        <v>3307</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4432</v>
      </c>
      <c r="G19" s="89" t="n">
        <v>1026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21563</v>
      </c>
      <c r="G20" s="89" t="n">
        <v>13541</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1150</v>
      </c>
      <c r="G21" s="89" t="n">
        <v>828</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1008</v>
      </c>
      <c r="G22" s="89" t="n">
        <v>224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18819</v>
      </c>
      <c r="G23" s="89" t="n">
        <v>10113</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1214</v>
      </c>
      <c r="G24" s="89" t="n">
        <v>379</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18328</v>
      </c>
      <c r="G26" s="89" t="n">
        <v>12568</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13602</v>
      </c>
      <c r="G27" s="89" t="n">
        <v>12600</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3949</v>
      </c>
      <c r="G30" s="89" t="n">
        <v>3651</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7879</v>
      </c>
      <c r="G31" s="89" t="n">
        <v>7470</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5852</v>
      </c>
      <c r="G32" s="89" t="n">
        <v>2207</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1982</v>
      </c>
      <c r="G33" s="89" t="n">
        <v>1971</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92</v>
      </c>
      <c r="G35" s="89" t="n">
        <v>78</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13</v>
      </c>
      <c r="G38" s="89" t="n">
        <v>10</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4243</v>
      </c>
      <c r="G39" s="89" t="n">
        <v>1049</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154</v>
      </c>
      <c r="G40" s="89" t="n">
        <v>138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2324</v>
      </c>
      <c r="G41" s="89" t="n">
        <v>585</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14</v>
      </c>
      <c r="G42" s="89" t="n">
        <v>19</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68129</v>
      </c>
      <c r="G43" s="89" t="n">
        <v>34538</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1083</v>
      </c>
      <c r="G44" s="89" t="n">
        <v>918</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24021</v>
      </c>
      <c r="G45" s="89" t="n">
        <v>25345</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516</v>
      </c>
      <c r="G46" s="89" t="n">
        <v>383</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4989</v>
      </c>
      <c r="G47" s="89" t="n">
        <v>4228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611</v>
      </c>
      <c r="G48" s="89" t="n">
        <v>507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54554</v>
      </c>
      <c r="G49" s="89" t="n">
        <v>18766</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4002</v>
      </c>
      <c r="G50" s="89" t="n">
        <v>3516</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605767</v>
      </c>
      <c r="G51" s="89" t="n">
        <v>467429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15437</v>
      </c>
      <c r="G52" s="89" t="n">
        <v>14242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32966</v>
      </c>
      <c r="G53" s="89" t="n">
        <v>8665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2121</v>
      </c>
      <c r="G54" s="89" t="n">
        <v>1162</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1656</v>
      </c>
      <c r="G55" s="89" t="n">
        <v>1786</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6262</v>
      </c>
      <c r="G57" s="89" t="n">
        <v>2105</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502</v>
      </c>
      <c r="G58" s="89" t="n">
        <v>727</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207353</v>
      </c>
      <c r="G59" s="89" t="n">
        <v>66131</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v>3</v>
      </c>
      <c r="G60" s="89" t="n">
        <v>6</v>
      </c>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16086</v>
      </c>
      <c r="G61" s="89" t="n">
        <v>19960</v>
      </c>
      <c r="H61" s="57" t="n"/>
      <c r="I61" s="55">
        <f t="array" ref="I61">G61+F61</f>
        <v/>
      </c>
      <c r="J61" s="57" t="n"/>
      <c r="K61" s="57" t="n"/>
      <c r="L61" s="57" t="n"/>
    </row>
    <row r="62" ht="20.1" customHeight="1" s="206">
      <c r="A62" s="2" t="inlineStr">
        <is>
          <t>c1</t>
        </is>
      </c>
      <c r="B62" s="138" t="inlineStr">
        <is>
          <t>Europe</t>
        </is>
      </c>
      <c r="C62" s="52" t="n"/>
      <c r="D62" s="57" t="n"/>
      <c r="E62" s="57" t="n"/>
      <c r="F62" s="55" t="n">
        <v>1414796</v>
      </c>
      <c r="G62" s="55" t="n">
        <v>991235</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9</v>
      </c>
      <c r="G65" s="89" t="n">
        <v>12</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9</v>
      </c>
      <c r="G68" s="89" t="n">
        <v>6</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9</v>
      </c>
      <c r="G72" s="89" t="n">
        <v>9</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7</v>
      </c>
      <c r="G73" s="89" t="n">
        <v>6</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1383</v>
      </c>
      <c r="G74" s="89" t="n">
        <v>972</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395</v>
      </c>
      <c r="G75" s="89" t="n">
        <v>180</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17201</v>
      </c>
      <c r="G76" s="89" t="n">
        <v>7555</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672</v>
      </c>
      <c r="G78" s="89" t="n">
        <v>400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17783</v>
      </c>
      <c r="G79" s="89" t="n">
        <v>12008</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6</v>
      </c>
      <c r="G80" s="89" t="n">
        <v>5</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664</v>
      </c>
      <c r="G83" s="89" t="n">
        <v>367</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2598</v>
      </c>
      <c r="G84" s="89" t="n">
        <v>1323</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212</v>
      </c>
      <c r="G85" s="89" t="n">
        <v>191</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71</v>
      </c>
      <c r="G86" s="89" t="n">
        <v>57</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6</v>
      </c>
      <c r="G87" s="89" t="n">
        <v>7</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12</v>
      </c>
      <c r="G89" s="89" t="n">
        <v>4</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3550</v>
      </c>
      <c r="G93" s="89" t="n">
        <v>1855</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611</v>
      </c>
      <c r="G94" s="89" t="n">
        <v>307</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267</v>
      </c>
      <c r="G95" s="89" t="n">
        <v>116</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14084</v>
      </c>
      <c r="G98" s="89" t="n">
        <v>10265</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32</v>
      </c>
      <c r="G101" s="89" t="n">
        <v>12</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9228</v>
      </c>
      <c r="G102" s="89" t="n">
        <v>7306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3</v>
      </c>
      <c r="G103" s="89" t="n">
        <v>1</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8258</v>
      </c>
      <c r="G106" s="89" t="n">
        <v>7084</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77070</v>
      </c>
      <c r="G107" s="55" t="n">
        <v>50048</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7605</v>
      </c>
      <c r="G110" s="89" t="n">
        <v>4873</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35661</v>
      </c>
      <c r="G111" s="89" t="n">
        <v>16257</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1944</v>
      </c>
      <c r="G112" s="89" t="n">
        <v>1468</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13710</v>
      </c>
      <c r="G113" s="89" t="n">
        <v>9445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32800</v>
      </c>
      <c r="G114" s="89" t="n">
        <v>26594</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11</v>
      </c>
      <c r="G117" s="89" t="n">
        <v>7</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60567</v>
      </c>
      <c r="G118" s="89" t="n">
        <v>44698</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1493</v>
      </c>
      <c r="G119" s="89" t="n">
        <v>618</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9</v>
      </c>
      <c r="G120" s="89" t="n">
        <v>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740</v>
      </c>
      <c r="G121" s="89" t="n">
        <v>502</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9396</v>
      </c>
      <c r="G122" s="89" t="n">
        <v>5607</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163936</v>
      </c>
      <c r="G123" s="55" t="n">
        <v>110071</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578</v>
      </c>
      <c r="G126" s="89" t="n">
        <v>595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4597</v>
      </c>
      <c r="G127" s="89" t="n">
        <v>12171</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449</v>
      </c>
      <c r="G128" s="89" t="n">
        <v>286</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909</v>
      </c>
      <c r="G129" s="89" t="n">
        <v>1773</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11</v>
      </c>
      <c r="G130" s="89" t="n">
        <v>6</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1844</v>
      </c>
      <c r="G131" s="89" t="n">
        <v>1839</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66</v>
      </c>
      <c r="G132" s="89" t="n">
        <v>120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1561</v>
      </c>
      <c r="G133" s="89" t="n">
        <v>1558</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11090</v>
      </c>
      <c r="G134" s="89" t="n">
        <v>20726</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7397</v>
      </c>
      <c r="G135" s="89" t="n">
        <v>9173</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2285</v>
      </c>
      <c r="G136" s="89" t="n">
        <v>1263</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13</v>
      </c>
      <c r="G137" s="89" t="n">
        <v>10</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6546</v>
      </c>
      <c r="G138" s="89" t="n">
        <v>12596</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51830</v>
      </c>
      <c r="G139" s="89" t="n">
        <v>109721</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2898</v>
      </c>
      <c r="G141" s="89" t="n">
        <v>3222</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3706</v>
      </c>
      <c r="G142" s="89" t="n">
        <v>2665</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263</v>
      </c>
      <c r="G143" s="89" t="n">
        <v>250</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14753</v>
      </c>
      <c r="G144" s="89" t="n">
        <v>31776</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1287</v>
      </c>
      <c r="G145" s="89" t="n">
        <v>23492</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2040</v>
      </c>
      <c r="G146" s="89" t="n">
        <v>11630</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91</v>
      </c>
      <c r="G147" s="89" t="n">
        <v>80</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243</v>
      </c>
      <c r="G148" s="89" t="n">
        <v>2192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1734</v>
      </c>
      <c r="G150" s="89" t="n">
        <v>955</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1</v>
      </c>
      <c r="G151" s="89" t="n">
        <v>2</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229</v>
      </c>
      <c r="G152" s="89" t="n">
        <v>892</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3</v>
      </c>
      <c r="G153" s="89" t="n">
        <v>5</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1015</v>
      </c>
      <c r="G154" s="89" t="n">
        <v>1991</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187457</v>
      </c>
      <c r="G155" s="89" t="n">
        <v>224889</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1195</v>
      </c>
      <c r="G156" s="89" t="n">
        <v>480</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1357</v>
      </c>
      <c r="G157" s="89" t="n">
        <v>21876</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176</v>
      </c>
      <c r="G158" s="89" t="n">
        <v>564</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2818</v>
      </c>
      <c r="G159" s="89" t="n">
        <v>2111</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50</v>
      </c>
      <c r="G160" s="89" t="n">
        <v>42</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230</v>
      </c>
      <c r="G161" s="89" t="n">
        <v>138</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30</v>
      </c>
      <c r="G162" s="89" t="n">
        <v>11</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356</v>
      </c>
      <c r="G163" s="89" t="n">
        <v>1327</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55090</v>
      </c>
      <c r="G164" s="89" t="n">
        <v>73397</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389</v>
      </c>
      <c r="G166" s="89" t="n">
        <v>282</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641</v>
      </c>
      <c r="G167" s="89" t="n">
        <v>2124</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508</v>
      </c>
      <c r="G169" s="89" t="n">
        <v>1723</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30797</v>
      </c>
      <c r="G170" s="89" t="n">
        <v>84250</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2124</v>
      </c>
      <c r="G171" s="89" t="n">
        <v>7282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v>43</v>
      </c>
      <c r="G172" s="89" t="n">
        <v>139</v>
      </c>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14</v>
      </c>
      <c r="G173" s="89" t="n">
        <v>3</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10</v>
      </c>
      <c r="G174" s="89" t="n">
        <v>11</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90</v>
      </c>
      <c r="G175" s="89" t="n">
        <v>371</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1712</v>
      </c>
      <c r="G176" s="89" t="n">
        <v>3551</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40762</v>
      </c>
      <c r="G177" s="89" t="n">
        <v>69633</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734</v>
      </c>
      <c r="G178" s="89" t="n">
        <v>589</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366</v>
      </c>
      <c r="G179" s="89" t="n">
        <v>301</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506</v>
      </c>
      <c r="G181" s="89" t="n">
        <v>339</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144</v>
      </c>
      <c r="G182" s="89" t="n">
        <v>112</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148</v>
      </c>
      <c r="G183" s="89" t="n">
        <v>106</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445186</v>
      </c>
      <c r="G184" s="55" t="n">
        <v>746640</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5</v>
      </c>
      <c r="G187" s="89" t="n">
        <v>8</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3938</v>
      </c>
      <c r="G188" s="89" t="n">
        <v>13704</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882</v>
      </c>
      <c r="G189" s="89" t="n">
        <v>677</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13</v>
      </c>
      <c r="G190" s="89" t="n">
        <v>7</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209</v>
      </c>
      <c r="G191" s="89" t="n">
        <v>172</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28746</v>
      </c>
      <c r="G192" s="89" t="n">
        <v>4928</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944</v>
      </c>
      <c r="G193" s="89" t="n">
        <v>1144</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1662</v>
      </c>
      <c r="G194" s="89" t="n">
        <v>5545</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9847</v>
      </c>
      <c r="G195" s="89" t="n">
        <v>10040</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604</v>
      </c>
      <c r="G196" s="89" t="n">
        <v>893</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26</v>
      </c>
      <c r="G197" s="89" t="n">
        <v>34</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1893</v>
      </c>
      <c r="G198" s="89" t="n">
        <v>3074</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10</v>
      </c>
      <c r="G199" s="89" t="n">
        <v>11</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41477</v>
      </c>
      <c r="G200" s="89" t="n">
        <v>117855</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409</v>
      </c>
      <c r="G201" s="89" t="n">
        <v>1031</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v>
      </c>
      <c r="G202" s="89" t="n">
        <v>22</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54</v>
      </c>
      <c r="G203" s="89" t="n">
        <v>97</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2776</v>
      </c>
      <c r="G204" s="89" t="n">
        <v>3938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82</v>
      </c>
      <c r="G205" s="89" t="n">
        <v>14</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9158</v>
      </c>
      <c r="G206" s="89" t="n">
        <v>12453</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131</v>
      </c>
      <c r="G207" s="89" t="n">
        <v>199</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102869</v>
      </c>
      <c r="G208" s="55" t="n">
        <v>175846</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538</v>
      </c>
      <c r="G211" s="89" t="n">
        <v>555</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53120</v>
      </c>
      <c r="G212" s="89" t="n">
        <v>139558</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1</v>
      </c>
      <c r="G213" s="89" t="n">
        <v>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11</v>
      </c>
      <c r="G214" s="89" t="n">
        <v>10</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152914</v>
      </c>
      <c r="G215" s="89" t="n">
        <v>156070</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2868</v>
      </c>
      <c r="G218" s="89" t="n">
        <v>517</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73202</v>
      </c>
      <c r="G219" s="89" t="n">
        <v>97678</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5268</v>
      </c>
      <c r="G220" s="89" t="n">
        <v>1841</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2026</v>
      </c>
      <c r="G221" s="89" t="n">
        <v>547</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147</v>
      </c>
      <c r="G222" s="89" t="n">
        <v>70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49</v>
      </c>
      <c r="G223" s="89" t="n">
        <v>24</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2119</v>
      </c>
      <c r="G224" s="89" t="n">
        <v>1526</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1801</v>
      </c>
      <c r="G225" s="89" t="n">
        <v>375</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58</v>
      </c>
      <c r="G226" s="89" t="n">
        <v>13</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52687</v>
      </c>
      <c r="G227" s="89" t="n">
        <v>57845</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265</v>
      </c>
      <c r="G228" s="89" t="n">
        <v>156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201</v>
      </c>
      <c r="G229" s="89" t="n">
        <v>67</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1</v>
      </c>
      <c r="G231" s="89" t="n">
        <v>15</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284</v>
      </c>
      <c r="G232" s="89" t="n">
        <v>305</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799</v>
      </c>
      <c r="G233" s="89" t="n">
        <v>1110</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89127</v>
      </c>
      <c r="G234" s="89" t="n">
        <v>67515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229</v>
      </c>
      <c r="G235" s="89" t="n">
        <v>97</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161</v>
      </c>
      <c r="G236" s="89" t="n">
        <v>55</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5211</v>
      </c>
      <c r="G237" s="89" t="n">
        <v>578</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52</v>
      </c>
      <c r="G238" s="89" t="n">
        <v>49</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50</v>
      </c>
      <c r="G239" s="89" t="n">
        <v>22</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524</v>
      </c>
      <c r="G240" s="89" t="n">
        <v>178</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805</v>
      </c>
      <c r="G241" s="89" t="n">
        <v>370</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1208</v>
      </c>
      <c r="G242" s="89" t="n">
        <v>521</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445726</v>
      </c>
      <c r="G243" s="55" t="n">
        <v>527668</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965</v>
      </c>
      <c r="G247" s="89" t="n">
        <v>630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14</v>
      </c>
      <c r="G250" s="89" t="n">
        <v>11</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v>0</v>
      </c>
      <c r="G253" s="89" t="n">
        <v>1</v>
      </c>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v>0</v>
      </c>
      <c r="G254" s="89" t="n">
        <v>1</v>
      </c>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192</v>
      </c>
      <c r="G260" s="89" t="n">
        <v>167</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19</v>
      </c>
      <c r="G262" s="89" t="n">
        <v>17</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5</v>
      </c>
      <c r="G265" s="89" t="n">
        <v>0</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5</v>
      </c>
      <c r="G267" s="89" t="n">
        <v>9</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4</v>
      </c>
      <c r="G270" s="89" t="n">
        <v>1</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20</v>
      </c>
      <c r="G272" s="89" t="n">
        <v>16</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1224</v>
      </c>
      <c r="G273" s="55" t="n">
        <v>854</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v>201</v>
      </c>
      <c r="G283" s="89" t="n">
        <v>288</v>
      </c>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2651008</v>
      </c>
      <c r="G285" s="79" t="n">
        <v>2602650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2026-05-25T15:03:11Z</dcterms:modified>
  <cp:lastModifiedBy>King Dom</cp:lastModifiedBy>
</cp:coreProperties>
</file>