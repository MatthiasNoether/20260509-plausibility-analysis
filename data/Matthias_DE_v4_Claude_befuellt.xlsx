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3_ncr:1_{6461664D-9EBB-443F-ABAA-1AC1B2EE6BB7}" xr6:coauthVersionLast="47" xr6:coauthVersionMax="47" xr10:uidLastSave="{00000000-0000-0000-0000-000000000000}"/>
  <bookViews>
    <workbookView xWindow="345" yWindow="540" windowWidth="24360" windowHeight="1341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" i="1" l="1"/>
  <c r="H118" i="1"/>
  <c r="C1016" i="1" a="1"/>
  <c r="C1016" i="1"/>
  <c r="C915" i="1" a="1"/>
  <c r="C915" i="1"/>
  <c r="C908" i="1" a="1"/>
  <c r="C908" i="1"/>
  <c r="I902" i="1" a="1"/>
  <c r="I902" i="1" s="1"/>
  <c r="G900" i="1" a="1"/>
  <c r="G900" i="1" s="1"/>
  <c r="F900" i="1" a="1"/>
  <c r="F900" i="1"/>
  <c r="I899" i="1" a="1"/>
  <c r="I899" i="1"/>
  <c r="I898" i="1" a="1"/>
  <c r="I898" i="1" s="1"/>
  <c r="I897" i="1" a="1"/>
  <c r="I897" i="1" s="1"/>
  <c r="I896" i="1" a="1"/>
  <c r="I896" i="1"/>
  <c r="I895" i="1" a="1"/>
  <c r="I895" i="1" s="1"/>
  <c r="I900" i="1" s="1" a="1"/>
  <c r="I900" i="1" s="1"/>
  <c r="G892" i="1" a="1"/>
  <c r="G892" i="1" s="1"/>
  <c r="F892" i="1" a="1"/>
  <c r="F892" i="1" s="1"/>
  <c r="I891" i="1" a="1"/>
  <c r="I891" i="1"/>
  <c r="I890" i="1" a="1"/>
  <c r="I890" i="1" s="1"/>
  <c r="I889" i="1" a="1"/>
  <c r="I889" i="1" s="1"/>
  <c r="I888" i="1" a="1"/>
  <c r="I888" i="1" s="1"/>
  <c r="I887" i="1" a="1"/>
  <c r="I887" i="1" s="1"/>
  <c r="I886" i="1" a="1"/>
  <c r="I886" i="1"/>
  <c r="I885" i="1" a="1"/>
  <c r="I885" i="1" s="1"/>
  <c r="I884" i="1" a="1"/>
  <c r="I884" i="1"/>
  <c r="I883" i="1" a="1"/>
  <c r="I883" i="1" s="1"/>
  <c r="I882" i="1" a="1"/>
  <c r="I882" i="1" s="1"/>
  <c r="I881" i="1" a="1"/>
  <c r="I881" i="1" s="1"/>
  <c r="I880" i="1" a="1"/>
  <c r="I880" i="1" s="1"/>
  <c r="I879" i="1" a="1"/>
  <c r="I879" i="1" s="1"/>
  <c r="I878" i="1" a="1"/>
  <c r="I878" i="1"/>
  <c r="I877" i="1" a="1"/>
  <c r="I877" i="1" s="1"/>
  <c r="I876" i="1" a="1"/>
  <c r="I876" i="1" s="1"/>
  <c r="I875" i="1" a="1"/>
  <c r="I875" i="1" s="1"/>
  <c r="I874" i="1" a="1"/>
  <c r="I874" i="1"/>
  <c r="I873" i="1" a="1"/>
  <c r="I873" i="1" s="1"/>
  <c r="I872" i="1" a="1"/>
  <c r="I872" i="1"/>
  <c r="I871" i="1" a="1"/>
  <c r="I871" i="1" s="1"/>
  <c r="I870" i="1" a="1"/>
  <c r="I870" i="1"/>
  <c r="I869" i="1" a="1"/>
  <c r="I869" i="1" s="1"/>
  <c r="I868" i="1" a="1"/>
  <c r="I868" i="1" s="1"/>
  <c r="I867" i="1" a="1"/>
  <c r="I867" i="1" s="1"/>
  <c r="I866" i="1" a="1"/>
  <c r="I866" i="1" s="1"/>
  <c r="I865" i="1" a="1"/>
  <c r="I865" i="1" s="1"/>
  <c r="I892" i="1" s="1" a="1"/>
  <c r="I892" i="1" s="1"/>
  <c r="G862" i="1" a="1"/>
  <c r="G862" i="1" s="1"/>
  <c r="F862" i="1" a="1"/>
  <c r="F862" i="1"/>
  <c r="I861" i="1" a="1"/>
  <c r="I861" i="1" s="1"/>
  <c r="I860" i="1" a="1"/>
  <c r="I860" i="1"/>
  <c r="I859" i="1" a="1"/>
  <c r="I859" i="1" s="1"/>
  <c r="I858" i="1" a="1"/>
  <c r="I858" i="1" s="1"/>
  <c r="I857" i="1" a="1"/>
  <c r="I857" i="1" s="1"/>
  <c r="I856" i="1" a="1"/>
  <c r="I856" i="1" s="1"/>
  <c r="I855" i="1" a="1"/>
  <c r="I855" i="1" s="1"/>
  <c r="I854" i="1" a="1"/>
  <c r="I854" i="1" s="1"/>
  <c r="I853" i="1" a="1"/>
  <c r="I853" i="1" s="1"/>
  <c r="I852" i="1" a="1"/>
  <c r="I852" i="1" s="1"/>
  <c r="I851" i="1" a="1"/>
  <c r="I851" i="1" s="1"/>
  <c r="I850" i="1" a="1"/>
  <c r="I850" i="1" s="1"/>
  <c r="I849" i="1" a="1"/>
  <c r="I849" i="1" s="1"/>
  <c r="I848" i="1" a="1"/>
  <c r="I848" i="1" s="1"/>
  <c r="I847" i="1" a="1"/>
  <c r="I847" i="1"/>
  <c r="I846" i="1" a="1"/>
  <c r="I846" i="1" s="1"/>
  <c r="I845" i="1" a="1"/>
  <c r="I845" i="1" s="1"/>
  <c r="I844" i="1" a="1"/>
  <c r="I844" i="1" s="1"/>
  <c r="I843" i="1" a="1"/>
  <c r="I843" i="1" s="1"/>
  <c r="I842" i="1" a="1"/>
  <c r="I842" i="1" s="1"/>
  <c r="I841" i="1" a="1"/>
  <c r="I841" i="1" s="1"/>
  <c r="I840" i="1" a="1"/>
  <c r="I840" i="1" s="1"/>
  <c r="I839" i="1" a="1"/>
  <c r="I839" i="1" s="1"/>
  <c r="I838" i="1" a="1"/>
  <c r="I838" i="1" s="1"/>
  <c r="I837" i="1" a="1"/>
  <c r="I837" i="1"/>
  <c r="I836" i="1" a="1"/>
  <c r="I836" i="1" s="1"/>
  <c r="I835" i="1" a="1"/>
  <c r="I835" i="1" s="1"/>
  <c r="I834" i="1" a="1"/>
  <c r="I834" i="1" s="1"/>
  <c r="I833" i="1" a="1"/>
  <c r="I833" i="1"/>
  <c r="I832" i="1" a="1"/>
  <c r="I832" i="1" s="1"/>
  <c r="I831" i="1" a="1"/>
  <c r="I831" i="1" s="1"/>
  <c r="I830" i="1" a="1"/>
  <c r="I830" i="1" s="1"/>
  <c r="I862" i="1" s="1" a="1"/>
  <c r="I862" i="1" s="1"/>
  <c r="G827" i="1" a="1"/>
  <c r="G827" i="1" s="1"/>
  <c r="F827" i="1" a="1"/>
  <c r="F827" i="1" s="1"/>
  <c r="I826" i="1" a="1"/>
  <c r="I826" i="1" s="1"/>
  <c r="I825" i="1" a="1"/>
  <c r="I825" i="1" s="1"/>
  <c r="I824" i="1" a="1"/>
  <c r="I824" i="1" s="1"/>
  <c r="I823" i="1" a="1"/>
  <c r="I823" i="1" s="1"/>
  <c r="I822" i="1" a="1"/>
  <c r="I822" i="1" s="1"/>
  <c r="I821" i="1" a="1"/>
  <c r="I821" i="1" s="1"/>
  <c r="I820" i="1" a="1"/>
  <c r="I820" i="1" s="1"/>
  <c r="I819" i="1" a="1"/>
  <c r="I819" i="1" s="1"/>
  <c r="I818" i="1" a="1"/>
  <c r="I818" i="1"/>
  <c r="I817" i="1" a="1"/>
  <c r="I817" i="1" s="1"/>
  <c r="I816" i="1" a="1"/>
  <c r="I816" i="1" s="1"/>
  <c r="I815" i="1" a="1"/>
  <c r="I815" i="1" s="1"/>
  <c r="I814" i="1" a="1"/>
  <c r="I814" i="1"/>
  <c r="I813" i="1" a="1"/>
  <c r="I813" i="1" s="1"/>
  <c r="I812" i="1" a="1"/>
  <c r="I812" i="1" s="1"/>
  <c r="I811" i="1" a="1"/>
  <c r="I811" i="1" s="1"/>
  <c r="I810" i="1" a="1"/>
  <c r="I810" i="1"/>
  <c r="I809" i="1" a="1"/>
  <c r="I809" i="1" s="1"/>
  <c r="I808" i="1" a="1"/>
  <c r="I808" i="1" s="1"/>
  <c r="I807" i="1" a="1"/>
  <c r="I807" i="1" s="1"/>
  <c r="I806" i="1" a="1"/>
  <c r="I806" i="1" s="1"/>
  <c r="I827" i="1" s="1" a="1"/>
  <c r="I827" i="1" s="1"/>
  <c r="G803" i="1" a="1"/>
  <c r="G803" i="1" s="1"/>
  <c r="F803" i="1" a="1"/>
  <c r="F803" i="1" s="1"/>
  <c r="I802" i="1" a="1"/>
  <c r="I802" i="1" s="1"/>
  <c r="I801" i="1" a="1"/>
  <c r="I801" i="1" s="1"/>
  <c r="I800" i="1" a="1"/>
  <c r="I800" i="1" s="1"/>
  <c r="I799" i="1" a="1"/>
  <c r="I799" i="1" s="1"/>
  <c r="I798" i="1" a="1"/>
  <c r="I798" i="1" s="1"/>
  <c r="I797" i="1" a="1"/>
  <c r="I797" i="1" s="1"/>
  <c r="I796" i="1" a="1"/>
  <c r="I796" i="1" s="1"/>
  <c r="I795" i="1" a="1"/>
  <c r="I795" i="1" s="1"/>
  <c r="I794" i="1" a="1"/>
  <c r="I794" i="1" s="1"/>
  <c r="I793" i="1" a="1"/>
  <c r="I793" i="1" s="1"/>
  <c r="I792" i="1" a="1"/>
  <c r="I792" i="1" s="1"/>
  <c r="I791" i="1" a="1"/>
  <c r="I791" i="1" s="1"/>
  <c r="I790" i="1" a="1"/>
  <c r="I790" i="1" s="1"/>
  <c r="I789" i="1" a="1"/>
  <c r="I789" i="1" s="1"/>
  <c r="I788" i="1" a="1"/>
  <c r="I788" i="1" s="1"/>
  <c r="I787" i="1" a="1"/>
  <c r="I787" i="1"/>
  <c r="I786" i="1" a="1"/>
  <c r="I786" i="1" s="1"/>
  <c r="I785" i="1" a="1"/>
  <c r="I785" i="1"/>
  <c r="I784" i="1" a="1"/>
  <c r="I784" i="1" s="1"/>
  <c r="I783" i="1" a="1"/>
  <c r="I783" i="1"/>
  <c r="I782" i="1" a="1"/>
  <c r="I782" i="1" s="1"/>
  <c r="I781" i="1" a="1"/>
  <c r="I781" i="1"/>
  <c r="I780" i="1" a="1"/>
  <c r="I780" i="1" s="1"/>
  <c r="I779" i="1" a="1"/>
  <c r="I779" i="1" s="1"/>
  <c r="I778" i="1" a="1"/>
  <c r="I778" i="1"/>
  <c r="I777" i="1" a="1"/>
  <c r="I777" i="1"/>
  <c r="I776" i="1" a="1"/>
  <c r="I776" i="1"/>
  <c r="I775" i="1" a="1"/>
  <c r="I775" i="1"/>
  <c r="I774" i="1" a="1"/>
  <c r="I774" i="1" s="1"/>
  <c r="I773" i="1" a="1"/>
  <c r="I773" i="1" s="1"/>
  <c r="I772" i="1" a="1"/>
  <c r="I772" i="1"/>
  <c r="I771" i="1" a="1"/>
  <c r="I771" i="1" s="1"/>
  <c r="I770" i="1" a="1"/>
  <c r="I770" i="1" s="1"/>
  <c r="I769" i="1" a="1"/>
  <c r="I769" i="1" s="1"/>
  <c r="I768" i="1" a="1"/>
  <c r="I768" i="1"/>
  <c r="I767" i="1" a="1"/>
  <c r="I767" i="1" s="1"/>
  <c r="I766" i="1" a="1"/>
  <c r="I766" i="1"/>
  <c r="I765" i="1" a="1"/>
  <c r="I765" i="1" s="1"/>
  <c r="I764" i="1" a="1"/>
  <c r="I764" i="1" s="1"/>
  <c r="I763" i="1" a="1"/>
  <c r="I763" i="1" s="1"/>
  <c r="I762" i="1" a="1"/>
  <c r="I762" i="1" s="1"/>
  <c r="I761" i="1" a="1"/>
  <c r="I761" i="1" s="1"/>
  <c r="I760" i="1" a="1"/>
  <c r="I760" i="1" s="1"/>
  <c r="I759" i="1" a="1"/>
  <c r="I759" i="1" s="1"/>
  <c r="I758" i="1" a="1"/>
  <c r="I758" i="1" s="1"/>
  <c r="I757" i="1" a="1"/>
  <c r="I757" i="1" s="1"/>
  <c r="I756" i="1" a="1"/>
  <c r="I756" i="1" s="1"/>
  <c r="I755" i="1" a="1"/>
  <c r="I755" i="1"/>
  <c r="I754" i="1" a="1"/>
  <c r="I754" i="1" s="1"/>
  <c r="I753" i="1" a="1"/>
  <c r="I753" i="1"/>
  <c r="I752" i="1" a="1"/>
  <c r="I752" i="1" s="1"/>
  <c r="I751" i="1" a="1"/>
  <c r="I751" i="1"/>
  <c r="I750" i="1" a="1"/>
  <c r="I750" i="1" s="1"/>
  <c r="I749" i="1" a="1"/>
  <c r="I749" i="1"/>
  <c r="I748" i="1" a="1"/>
  <c r="I748" i="1" s="1"/>
  <c r="I747" i="1" a="1"/>
  <c r="I747" i="1" s="1"/>
  <c r="I746" i="1" a="1"/>
  <c r="I746" i="1" s="1"/>
  <c r="I745" i="1" a="1"/>
  <c r="I745" i="1" s="1"/>
  <c r="I803" i="1" s="1" a="1"/>
  <c r="I803" i="1" s="1"/>
  <c r="G742" i="1" a="1"/>
  <c r="G742" i="1" s="1"/>
  <c r="F742" i="1" a="1"/>
  <c r="F742" i="1" s="1"/>
  <c r="I741" i="1" a="1"/>
  <c r="I741" i="1" s="1"/>
  <c r="I740" i="1" a="1"/>
  <c r="I740" i="1"/>
  <c r="I739" i="1" a="1"/>
  <c r="I739" i="1"/>
  <c r="I738" i="1" a="1"/>
  <c r="I738" i="1" s="1"/>
  <c r="I737" i="1" a="1"/>
  <c r="I737" i="1" s="1"/>
  <c r="I736" i="1" a="1"/>
  <c r="I736" i="1" s="1"/>
  <c r="I735" i="1" a="1"/>
  <c r="I735" i="1" s="1"/>
  <c r="I734" i="1" a="1"/>
  <c r="I734" i="1" s="1"/>
  <c r="I733" i="1" a="1"/>
  <c r="I733" i="1" s="1"/>
  <c r="I732" i="1" a="1"/>
  <c r="I732" i="1" s="1"/>
  <c r="I731" i="1" a="1"/>
  <c r="I731" i="1"/>
  <c r="I730" i="1" a="1"/>
  <c r="I730" i="1" s="1"/>
  <c r="I729" i="1" a="1"/>
  <c r="I729" i="1" s="1"/>
  <c r="I742" i="1" s="1" a="1"/>
  <c r="I742" i="1" s="1"/>
  <c r="G726" i="1" a="1"/>
  <c r="G726" i="1" s="1"/>
  <c r="F726" i="1" a="1"/>
  <c r="F726" i="1"/>
  <c r="I725" i="1" a="1"/>
  <c r="I725" i="1" s="1"/>
  <c r="I724" i="1" a="1"/>
  <c r="I724" i="1"/>
  <c r="I723" i="1" a="1"/>
  <c r="I723" i="1" s="1"/>
  <c r="I722" i="1" a="1"/>
  <c r="I722" i="1" s="1"/>
  <c r="I721" i="1" a="1"/>
  <c r="I721" i="1"/>
  <c r="I720" i="1" a="1"/>
  <c r="I720" i="1"/>
  <c r="I719" i="1" a="1"/>
  <c r="I719" i="1"/>
  <c r="I718" i="1" a="1"/>
  <c r="I718" i="1"/>
  <c r="I717" i="1" a="1"/>
  <c r="I717" i="1"/>
  <c r="I716" i="1" a="1"/>
  <c r="I716" i="1"/>
  <c r="I715" i="1" a="1"/>
  <c r="I715" i="1"/>
  <c r="I714" i="1" a="1"/>
  <c r="I714" i="1"/>
  <c r="I713" i="1" a="1"/>
  <c r="I713" i="1"/>
  <c r="I712" i="1" a="1"/>
  <c r="I712" i="1"/>
  <c r="I711" i="1" a="1"/>
  <c r="I711" i="1"/>
  <c r="I710" i="1" a="1"/>
  <c r="I710" i="1"/>
  <c r="I709" i="1" a="1"/>
  <c r="I709" i="1"/>
  <c r="I708" i="1" a="1"/>
  <c r="I708" i="1"/>
  <c r="I707" i="1" a="1"/>
  <c r="I707" i="1"/>
  <c r="I706" i="1" a="1"/>
  <c r="I706" i="1"/>
  <c r="I705" i="1" a="1"/>
  <c r="I705" i="1"/>
  <c r="I704" i="1" a="1"/>
  <c r="I704" i="1"/>
  <c r="I703" i="1" a="1"/>
  <c r="I703" i="1" s="1"/>
  <c r="I702" i="1" a="1"/>
  <c r="I702" i="1"/>
  <c r="I701" i="1" a="1"/>
  <c r="I701" i="1" s="1"/>
  <c r="I700" i="1" a="1"/>
  <c r="I700" i="1" s="1"/>
  <c r="I699" i="1" a="1"/>
  <c r="I699" i="1" s="1"/>
  <c r="I698" i="1" a="1"/>
  <c r="I698" i="1" s="1"/>
  <c r="I697" i="1" a="1"/>
  <c r="I697" i="1"/>
  <c r="I696" i="1" a="1"/>
  <c r="I696" i="1" s="1"/>
  <c r="I695" i="1" a="1"/>
  <c r="I695" i="1"/>
  <c r="I694" i="1" a="1"/>
  <c r="I694" i="1" s="1"/>
  <c r="I693" i="1" a="1"/>
  <c r="I693" i="1"/>
  <c r="I692" i="1" a="1"/>
  <c r="I692" i="1" s="1"/>
  <c r="I691" i="1" a="1"/>
  <c r="I691" i="1"/>
  <c r="I690" i="1" a="1"/>
  <c r="I690" i="1" s="1"/>
  <c r="I689" i="1" a="1"/>
  <c r="I689" i="1"/>
  <c r="I688" i="1" a="1"/>
  <c r="I688" i="1" s="1"/>
  <c r="I687" i="1" a="1"/>
  <c r="I687" i="1"/>
  <c r="I686" i="1" a="1"/>
  <c r="I686" i="1" s="1"/>
  <c r="I685" i="1" a="1"/>
  <c r="I685" i="1"/>
  <c r="I684" i="1" a="1"/>
  <c r="I684" i="1" s="1"/>
  <c r="I726" i="1" s="1" a="1"/>
  <c r="I726" i="1" s="1"/>
  <c r="G681" i="1" a="1"/>
  <c r="G681" i="1" s="1"/>
  <c r="G904" i="1" s="1" a="1"/>
  <c r="G904" i="1" s="1"/>
  <c r="F681" i="1" a="1"/>
  <c r="F681" i="1" s="1"/>
  <c r="F904" i="1" s="1" a="1"/>
  <c r="F904" i="1" s="1"/>
  <c r="I680" i="1" a="1"/>
  <c r="I680" i="1"/>
  <c r="I679" i="1" a="1"/>
  <c r="I679" i="1" s="1"/>
  <c r="I678" i="1" a="1"/>
  <c r="I678" i="1" s="1"/>
  <c r="I677" i="1" a="1"/>
  <c r="I677" i="1" s="1"/>
  <c r="I676" i="1" a="1"/>
  <c r="I676" i="1" s="1"/>
  <c r="I675" i="1" a="1"/>
  <c r="I675" i="1" s="1"/>
  <c r="I674" i="1" a="1"/>
  <c r="I674" i="1" s="1"/>
  <c r="I673" i="1" a="1"/>
  <c r="I673" i="1" s="1"/>
  <c r="I672" i="1" a="1"/>
  <c r="I672" i="1" s="1"/>
  <c r="I671" i="1" a="1"/>
  <c r="I671" i="1" s="1"/>
  <c r="I670" i="1" a="1"/>
  <c r="I670" i="1" s="1"/>
  <c r="I669" i="1" a="1"/>
  <c r="I669" i="1" s="1"/>
  <c r="I668" i="1" a="1"/>
  <c r="I668" i="1" s="1"/>
  <c r="I667" i="1" a="1"/>
  <c r="I667" i="1" s="1"/>
  <c r="I666" i="1" a="1"/>
  <c r="I666" i="1" s="1"/>
  <c r="I665" i="1" a="1"/>
  <c r="I665" i="1" s="1"/>
  <c r="I664" i="1" a="1"/>
  <c r="I664" i="1" s="1"/>
  <c r="I663" i="1" a="1"/>
  <c r="I663" i="1" s="1"/>
  <c r="I662" i="1" a="1"/>
  <c r="I662" i="1" s="1"/>
  <c r="I661" i="1" a="1"/>
  <c r="I661" i="1" s="1"/>
  <c r="I660" i="1" a="1"/>
  <c r="I660" i="1" s="1"/>
  <c r="I659" i="1" a="1"/>
  <c r="I659" i="1" s="1"/>
  <c r="I658" i="1" a="1"/>
  <c r="I658" i="1" s="1"/>
  <c r="I657" i="1" a="1"/>
  <c r="I657" i="1" s="1"/>
  <c r="I656" i="1" a="1"/>
  <c r="I656" i="1" s="1"/>
  <c r="I655" i="1" a="1"/>
  <c r="I655" i="1" s="1"/>
  <c r="I654" i="1" a="1"/>
  <c r="I654" i="1" s="1"/>
  <c r="I653" i="1" a="1"/>
  <c r="I653" i="1" s="1"/>
  <c r="I652" i="1" a="1"/>
  <c r="I652" i="1" s="1"/>
  <c r="I651" i="1" a="1"/>
  <c r="I651" i="1" s="1"/>
  <c r="I650" i="1" a="1"/>
  <c r="I650" i="1" s="1"/>
  <c r="I649" i="1" a="1"/>
  <c r="I649" i="1" s="1"/>
  <c r="I648" i="1" a="1"/>
  <c r="I648" i="1" s="1"/>
  <c r="I647" i="1" a="1"/>
  <c r="I647" i="1" s="1"/>
  <c r="I646" i="1" a="1"/>
  <c r="I646" i="1" s="1"/>
  <c r="I645" i="1" a="1"/>
  <c r="I645" i="1" s="1"/>
  <c r="I644" i="1" a="1"/>
  <c r="I644" i="1" s="1"/>
  <c r="I643" i="1" a="1"/>
  <c r="I643" i="1" s="1"/>
  <c r="I642" i="1" a="1"/>
  <c r="I642" i="1" s="1"/>
  <c r="I641" i="1" a="1"/>
  <c r="I641" i="1" s="1"/>
  <c r="I640" i="1" a="1"/>
  <c r="I640" i="1" s="1"/>
  <c r="I639" i="1" a="1"/>
  <c r="I639" i="1" s="1"/>
  <c r="I638" i="1" a="1"/>
  <c r="I638" i="1" s="1"/>
  <c r="I637" i="1" a="1"/>
  <c r="I637" i="1" s="1"/>
  <c r="I636" i="1" a="1"/>
  <c r="I636" i="1" s="1"/>
  <c r="I635" i="1" a="1"/>
  <c r="I635" i="1" s="1"/>
  <c r="I634" i="1" a="1"/>
  <c r="I634" i="1" s="1"/>
  <c r="I633" i="1" a="1"/>
  <c r="I633" i="1" s="1"/>
  <c r="I632" i="1" a="1"/>
  <c r="I632" i="1" s="1"/>
  <c r="I631" i="1" a="1"/>
  <c r="I631" i="1" s="1"/>
  <c r="I630" i="1" a="1"/>
  <c r="I630" i="1" s="1"/>
  <c r="I629" i="1" a="1"/>
  <c r="I629" i="1" s="1"/>
  <c r="I681" i="1" s="1" a="1"/>
  <c r="I681" i="1" s="1"/>
  <c r="C610" i="1" a="1"/>
  <c r="C610" i="1" s="1"/>
  <c r="L608" i="1" a="1"/>
  <c r="L608" i="1" s="1"/>
  <c r="E607" i="1" a="1"/>
  <c r="E607" i="1" s="1"/>
  <c r="D607" i="1" a="1"/>
  <c r="D607" i="1" s="1"/>
  <c r="E606" i="1" a="1"/>
  <c r="E606" i="1" s="1"/>
  <c r="D606" i="1" a="1"/>
  <c r="D606" i="1" s="1"/>
  <c r="E605" i="1" a="1"/>
  <c r="E605" i="1" s="1"/>
  <c r="D605" i="1" a="1"/>
  <c r="D605" i="1" s="1"/>
  <c r="E604" i="1" a="1"/>
  <c r="E604" i="1" s="1"/>
  <c r="D604" i="1" a="1"/>
  <c r="D604" i="1" s="1"/>
  <c r="E603" i="1" a="1"/>
  <c r="E603" i="1" s="1"/>
  <c r="D603" i="1" a="1"/>
  <c r="D603" i="1" s="1"/>
  <c r="E602" i="1" a="1"/>
  <c r="E602" i="1" s="1"/>
  <c r="D602" i="1" a="1"/>
  <c r="D602" i="1" s="1"/>
  <c r="E601" i="1" a="1"/>
  <c r="E601" i="1" s="1"/>
  <c r="D601" i="1" a="1"/>
  <c r="D601" i="1" s="1"/>
  <c r="E600" i="1" a="1"/>
  <c r="E600" i="1" s="1"/>
  <c r="D600" i="1" a="1"/>
  <c r="D600" i="1" s="1"/>
  <c r="E599" i="1" a="1"/>
  <c r="E599" i="1" s="1"/>
  <c r="D599" i="1" a="1"/>
  <c r="D599" i="1" s="1"/>
  <c r="E598" i="1" a="1"/>
  <c r="E598" i="1" s="1"/>
  <c r="D598" i="1" a="1"/>
  <c r="D598" i="1" s="1"/>
  <c r="E597" i="1" a="1"/>
  <c r="E597" i="1" s="1"/>
  <c r="D597" i="1" a="1"/>
  <c r="D597" i="1" s="1"/>
  <c r="E596" i="1" a="1"/>
  <c r="E596" i="1" s="1"/>
  <c r="D596" i="1" a="1"/>
  <c r="D596" i="1" s="1"/>
  <c r="E595" i="1" a="1"/>
  <c r="E595" i="1" s="1"/>
  <c r="D595" i="1" a="1"/>
  <c r="D595" i="1"/>
  <c r="E594" i="1" a="1"/>
  <c r="E594" i="1" s="1"/>
  <c r="D594" i="1" a="1"/>
  <c r="D594" i="1" s="1"/>
  <c r="E593" i="1" a="1"/>
  <c r="E593" i="1" s="1"/>
  <c r="D593" i="1" a="1"/>
  <c r="D593" i="1" s="1"/>
  <c r="E592" i="1" a="1"/>
  <c r="E592" i="1" s="1"/>
  <c r="D592" i="1" a="1"/>
  <c r="D592" i="1" s="1"/>
  <c r="E591" i="1" a="1"/>
  <c r="E591" i="1" s="1"/>
  <c r="D591" i="1" a="1"/>
  <c r="D591" i="1" s="1"/>
  <c r="E590" i="1" a="1"/>
  <c r="E590" i="1" s="1"/>
  <c r="D590" i="1" a="1"/>
  <c r="D590" i="1" s="1"/>
  <c r="E589" i="1" a="1"/>
  <c r="E589" i="1" s="1"/>
  <c r="D589" i="1" a="1"/>
  <c r="D589" i="1" s="1"/>
  <c r="E504" i="1" a="1"/>
  <c r="E504" i="1"/>
  <c r="D504" i="1" a="1"/>
  <c r="D504" i="1"/>
  <c r="H503" i="1" a="1"/>
  <c r="H503" i="1"/>
  <c r="G503" i="1" a="1"/>
  <c r="G503" i="1"/>
  <c r="I503" i="1" s="1" a="1"/>
  <c r="I503" i="1" s="1"/>
  <c r="F503" i="1" a="1"/>
  <c r="F503" i="1"/>
  <c r="C503" i="1" a="1"/>
  <c r="C503" i="1"/>
  <c r="B503" i="1" a="1"/>
  <c r="B503" i="1" s="1"/>
  <c r="L502" i="1" a="1"/>
  <c r="L502" i="1"/>
  <c r="H502" i="1" a="1"/>
  <c r="H502" i="1"/>
  <c r="G502" i="1" a="1"/>
  <c r="G502" i="1"/>
  <c r="I502" i="1" s="1" a="1"/>
  <c r="I502" i="1" s="1"/>
  <c r="F502" i="1" a="1"/>
  <c r="F502" i="1"/>
  <c r="C502" i="1" a="1"/>
  <c r="C502" i="1"/>
  <c r="B502" i="1" a="1"/>
  <c r="B502" i="1"/>
  <c r="L501" i="1" a="1"/>
  <c r="L501" i="1"/>
  <c r="H501" i="1" a="1"/>
  <c r="H501" i="1"/>
  <c r="G501" i="1" a="1"/>
  <c r="G501" i="1"/>
  <c r="I501" i="1" s="1" a="1"/>
  <c r="I501" i="1" s="1"/>
  <c r="F501" i="1" a="1"/>
  <c r="F501" i="1" s="1"/>
  <c r="C501" i="1" s="1" a="1"/>
  <c r="C501" i="1" s="1"/>
  <c r="B501" i="1" a="1"/>
  <c r="B501" i="1" s="1"/>
  <c r="L500" i="1" a="1"/>
  <c r="L500" i="1"/>
  <c r="H500" i="1" a="1"/>
  <c r="H500" i="1" s="1"/>
  <c r="G500" i="1" a="1"/>
  <c r="G500" i="1"/>
  <c r="F500" i="1" a="1"/>
  <c r="F500" i="1" s="1"/>
  <c r="C500" i="1" s="1" a="1"/>
  <c r="C500" i="1" s="1"/>
  <c r="B500" i="1" a="1"/>
  <c r="B500" i="1" s="1"/>
  <c r="L499" i="1" a="1"/>
  <c r="L499" i="1"/>
  <c r="H499" i="1" a="1"/>
  <c r="H499" i="1"/>
  <c r="G499" i="1" a="1"/>
  <c r="G499" i="1" s="1"/>
  <c r="F499" i="1" a="1"/>
  <c r="F499" i="1"/>
  <c r="B499" i="1" a="1"/>
  <c r="B499" i="1" s="1"/>
  <c r="L498" i="1" a="1"/>
  <c r="L498" i="1"/>
  <c r="H498" i="1" a="1"/>
  <c r="H498" i="1" s="1"/>
  <c r="G498" i="1" a="1"/>
  <c r="G498" i="1" s="1"/>
  <c r="I498" i="1" s="1" a="1"/>
  <c r="I498" i="1" s="1"/>
  <c r="F498" i="1" a="1"/>
  <c r="F498" i="1" s="1"/>
  <c r="C498" i="1" s="1" a="1"/>
  <c r="C498" i="1" s="1"/>
  <c r="B498" i="1" a="1"/>
  <c r="B498" i="1" s="1"/>
  <c r="L497" i="1" a="1"/>
  <c r="L497" i="1"/>
  <c r="H497" i="1" a="1"/>
  <c r="H497" i="1" s="1"/>
  <c r="G497" i="1" a="1"/>
  <c r="G497" i="1" s="1"/>
  <c r="I497" i="1" s="1" a="1"/>
  <c r="I497" i="1" s="1"/>
  <c r="F497" i="1" a="1"/>
  <c r="F497" i="1" s="1"/>
  <c r="C497" i="1" s="1" a="1"/>
  <c r="C497" i="1" s="1"/>
  <c r="B497" i="1" a="1"/>
  <c r="B497" i="1" s="1"/>
  <c r="L496" i="1" a="1"/>
  <c r="L496" i="1"/>
  <c r="H496" i="1" a="1"/>
  <c r="H496" i="1" s="1"/>
  <c r="G496" i="1" a="1"/>
  <c r="G496" i="1" s="1"/>
  <c r="I496" i="1" s="1" a="1"/>
  <c r="I496" i="1" s="1"/>
  <c r="F496" i="1" a="1"/>
  <c r="F496" i="1" s="1"/>
  <c r="C496" i="1" s="1" a="1"/>
  <c r="C496" i="1" s="1"/>
  <c r="B496" i="1" a="1"/>
  <c r="B496" i="1" s="1"/>
  <c r="L495" i="1" a="1"/>
  <c r="L495" i="1"/>
  <c r="H495" i="1" a="1"/>
  <c r="H495" i="1" s="1"/>
  <c r="G495" i="1" a="1"/>
  <c r="G495" i="1" s="1"/>
  <c r="I495" i="1" s="1" a="1"/>
  <c r="I495" i="1" s="1"/>
  <c r="F495" i="1" a="1"/>
  <c r="F495" i="1" s="1"/>
  <c r="C495" i="1" s="1" a="1"/>
  <c r="C495" i="1" s="1"/>
  <c r="B495" i="1" a="1"/>
  <c r="B495" i="1" s="1"/>
  <c r="L494" i="1" a="1"/>
  <c r="L494" i="1"/>
  <c r="H494" i="1" a="1"/>
  <c r="H494" i="1" s="1"/>
  <c r="G494" i="1" a="1"/>
  <c r="G494" i="1" s="1"/>
  <c r="F494" i="1" a="1"/>
  <c r="F494" i="1" s="1"/>
  <c r="B494" i="1" a="1"/>
  <c r="B494" i="1" s="1"/>
  <c r="C486" i="1" a="1"/>
  <c r="C486" i="1"/>
  <c r="L484" i="1" a="1"/>
  <c r="L484" i="1"/>
  <c r="E483" i="1" a="1"/>
  <c r="E483" i="1"/>
  <c r="D483" i="1" a="1"/>
  <c r="D483" i="1"/>
  <c r="E482" i="1" a="1"/>
  <c r="E482" i="1"/>
  <c r="D482" i="1" a="1"/>
  <c r="D482" i="1"/>
  <c r="E481" i="1" a="1"/>
  <c r="E481" i="1"/>
  <c r="D481" i="1" a="1"/>
  <c r="D481" i="1"/>
  <c r="E480" i="1" a="1"/>
  <c r="E480" i="1" s="1"/>
  <c r="D480" i="1" a="1"/>
  <c r="D480" i="1" s="1"/>
  <c r="E479" i="1" a="1"/>
  <c r="E479" i="1" s="1"/>
  <c r="D479" i="1" a="1"/>
  <c r="D479" i="1" s="1"/>
  <c r="E478" i="1" a="1"/>
  <c r="E478" i="1" s="1"/>
  <c r="D478" i="1" a="1"/>
  <c r="D478" i="1" s="1"/>
  <c r="E477" i="1" a="1"/>
  <c r="E477" i="1" s="1"/>
  <c r="D477" i="1" a="1"/>
  <c r="D477" i="1" s="1"/>
  <c r="E476" i="1" a="1"/>
  <c r="E476" i="1" s="1"/>
  <c r="D476" i="1" a="1"/>
  <c r="D476" i="1" s="1"/>
  <c r="E475" i="1" a="1"/>
  <c r="E475" i="1" s="1"/>
  <c r="D475" i="1" a="1"/>
  <c r="D475" i="1" s="1"/>
  <c r="E474" i="1" a="1"/>
  <c r="E474" i="1" s="1"/>
  <c r="D474" i="1" a="1"/>
  <c r="D474" i="1" s="1"/>
  <c r="E473" i="1" a="1"/>
  <c r="E473" i="1" s="1"/>
  <c r="D473" i="1" a="1"/>
  <c r="D473" i="1" s="1"/>
  <c r="E472" i="1" a="1"/>
  <c r="E472" i="1" s="1"/>
  <c r="D472" i="1" a="1"/>
  <c r="D472" i="1" s="1"/>
  <c r="E471" i="1" a="1"/>
  <c r="E471" i="1" s="1"/>
  <c r="D471" i="1" a="1"/>
  <c r="D471" i="1" s="1"/>
  <c r="E470" i="1" a="1"/>
  <c r="E470" i="1"/>
  <c r="D470" i="1" a="1"/>
  <c r="D470" i="1"/>
  <c r="E469" i="1" a="1"/>
  <c r="E469" i="1"/>
  <c r="D469" i="1" a="1"/>
  <c r="D469" i="1"/>
  <c r="E468" i="1" a="1"/>
  <c r="E468" i="1"/>
  <c r="D468" i="1" a="1"/>
  <c r="D468" i="1"/>
  <c r="E382" i="1" a="1"/>
  <c r="E382" i="1"/>
  <c r="D382" i="1" a="1"/>
  <c r="D382" i="1"/>
  <c r="H381" i="1" a="1"/>
  <c r="H381" i="1"/>
  <c r="G381" i="1" a="1"/>
  <c r="G381" i="1"/>
  <c r="I381" i="1" s="1" a="1"/>
  <c r="I381" i="1" s="1"/>
  <c r="F381" i="1" a="1"/>
  <c r="F381" i="1"/>
  <c r="C381" i="1" a="1"/>
  <c r="C381" i="1"/>
  <c r="B381" i="1" a="1"/>
  <c r="B381" i="1" s="1"/>
  <c r="L380" i="1" a="1"/>
  <c r="L380" i="1"/>
  <c r="H380" i="1" a="1"/>
  <c r="H380" i="1"/>
  <c r="G380" i="1" a="1"/>
  <c r="G380" i="1"/>
  <c r="I380" i="1" s="1" a="1"/>
  <c r="I380" i="1" s="1"/>
  <c r="F380" i="1" a="1"/>
  <c r="F380" i="1"/>
  <c r="C380" i="1" a="1"/>
  <c r="C380" i="1"/>
  <c r="B380" i="1" a="1"/>
  <c r="B380" i="1"/>
  <c r="L379" i="1" a="1"/>
  <c r="L379" i="1"/>
  <c r="H379" i="1" a="1"/>
  <c r="H379" i="1"/>
  <c r="G379" i="1" a="1"/>
  <c r="G379" i="1"/>
  <c r="I379" i="1" s="1" a="1"/>
  <c r="I379" i="1" s="1"/>
  <c r="F379" i="1" a="1"/>
  <c r="F379" i="1"/>
  <c r="C379" i="1" a="1"/>
  <c r="C379" i="1"/>
  <c r="B379" i="1" a="1"/>
  <c r="B379" i="1"/>
  <c r="L378" i="1" a="1"/>
  <c r="L378" i="1"/>
  <c r="H378" i="1" a="1"/>
  <c r="H378" i="1"/>
  <c r="G378" i="1" a="1"/>
  <c r="G378" i="1"/>
  <c r="I378" i="1" s="1" a="1"/>
  <c r="I378" i="1" s="1"/>
  <c r="F378" i="1" a="1"/>
  <c r="F378" i="1"/>
  <c r="C378" i="1" a="1"/>
  <c r="C378" i="1"/>
  <c r="B378" i="1" a="1"/>
  <c r="B378" i="1"/>
  <c r="L377" i="1" a="1"/>
  <c r="L377" i="1"/>
  <c r="H377" i="1" a="1"/>
  <c r="H377" i="1"/>
  <c r="G377" i="1" a="1"/>
  <c r="G377" i="1"/>
  <c r="I377" i="1" s="1" a="1"/>
  <c r="I377" i="1" s="1"/>
  <c r="F377" i="1" a="1"/>
  <c r="F377" i="1"/>
  <c r="C377" i="1" a="1"/>
  <c r="C377" i="1"/>
  <c r="B377" i="1" a="1"/>
  <c r="B377" i="1"/>
  <c r="L376" i="1" a="1"/>
  <c r="L376" i="1"/>
  <c r="H376" i="1" a="1"/>
  <c r="H376" i="1" s="1"/>
  <c r="G376" i="1" a="1"/>
  <c r="G376" i="1" s="1"/>
  <c r="F376" i="1" a="1"/>
  <c r="F376" i="1"/>
  <c r="B376" i="1" a="1"/>
  <c r="B376" i="1" s="1"/>
  <c r="L375" i="1" a="1"/>
  <c r="L375" i="1"/>
  <c r="H375" i="1" a="1"/>
  <c r="H375" i="1"/>
  <c r="G375" i="1" a="1"/>
  <c r="G375" i="1" s="1"/>
  <c r="F375" i="1" a="1"/>
  <c r="F375" i="1" s="1"/>
  <c r="C375" i="1" s="1" a="1"/>
  <c r="C375" i="1" s="1"/>
  <c r="B375" i="1" a="1"/>
  <c r="B375" i="1" s="1"/>
  <c r="L374" i="1" a="1"/>
  <c r="L374" i="1"/>
  <c r="H374" i="1" a="1"/>
  <c r="H374" i="1" s="1"/>
  <c r="G374" i="1" a="1"/>
  <c r="G374" i="1" s="1"/>
  <c r="F374" i="1" a="1"/>
  <c r="F374" i="1" s="1"/>
  <c r="C374" i="1" s="1" a="1"/>
  <c r="C374" i="1" s="1"/>
  <c r="B374" i="1" a="1"/>
  <c r="B374" i="1" s="1"/>
  <c r="L373" i="1" a="1"/>
  <c r="L373" i="1"/>
  <c r="H373" i="1" a="1"/>
  <c r="H373" i="1" s="1"/>
  <c r="G373" i="1" a="1"/>
  <c r="G373" i="1" s="1"/>
  <c r="F373" i="1" a="1"/>
  <c r="F373" i="1" s="1"/>
  <c r="C373" i="1" s="1" a="1"/>
  <c r="C373" i="1" s="1"/>
  <c r="B373" i="1" a="1"/>
  <c r="B373" i="1" s="1"/>
  <c r="L372" i="1" a="1"/>
  <c r="L372" i="1"/>
  <c r="H372" i="1" a="1"/>
  <c r="H372" i="1" s="1"/>
  <c r="G372" i="1" a="1"/>
  <c r="G372" i="1"/>
  <c r="F372" i="1" a="1"/>
  <c r="F372" i="1"/>
  <c r="F382" i="1" s="1" a="1"/>
  <c r="F382" i="1" s="1"/>
  <c r="C372" i="1" a="1"/>
  <c r="C372" i="1"/>
  <c r="B372" i="1" a="1"/>
  <c r="B372" i="1" s="1"/>
  <c r="C364" i="1" a="1"/>
  <c r="C364" i="1" s="1"/>
  <c r="G362" i="1" a="1"/>
  <c r="G362" i="1" s="1"/>
  <c r="G369" i="1" s="1" a="1"/>
  <c r="G369" i="1" s="1"/>
  <c r="F362" i="1" a="1"/>
  <c r="F362" i="1" s="1"/>
  <c r="F369" i="1" s="1" a="1"/>
  <c r="F369" i="1" s="1"/>
  <c r="E362" i="1" a="1"/>
  <c r="E362" i="1" s="1"/>
  <c r="E369" i="1" s="1" a="1"/>
  <c r="E369" i="1" s="1"/>
  <c r="D362" i="1" a="1"/>
  <c r="D362" i="1" s="1"/>
  <c r="D369" i="1" s="1" a="1"/>
  <c r="D369" i="1" s="1"/>
  <c r="K361" i="1" a="1"/>
  <c r="K361" i="1"/>
  <c r="J361" i="1" a="1"/>
  <c r="J361" i="1"/>
  <c r="I361" i="1" a="1"/>
  <c r="I361" i="1"/>
  <c r="H361" i="1" a="1"/>
  <c r="H361" i="1" s="1"/>
  <c r="C361" i="1" a="1"/>
  <c r="C361" i="1" s="1"/>
  <c r="K360" i="1" a="1"/>
  <c r="K360" i="1" s="1"/>
  <c r="J360" i="1" a="1"/>
  <c r="J360" i="1" s="1"/>
  <c r="I360" i="1" a="1"/>
  <c r="I360" i="1"/>
  <c r="H360" i="1" a="1"/>
  <c r="H360" i="1" s="1"/>
  <c r="C360" i="1" a="1"/>
  <c r="C360" i="1"/>
  <c r="K359" i="1" a="1"/>
  <c r="K359" i="1" s="1"/>
  <c r="J359" i="1" a="1"/>
  <c r="J359" i="1"/>
  <c r="I359" i="1" a="1"/>
  <c r="I359" i="1" s="1"/>
  <c r="H359" i="1" a="1"/>
  <c r="H359" i="1" s="1"/>
  <c r="C359" i="1" a="1"/>
  <c r="C359" i="1" s="1"/>
  <c r="K358" i="1" a="1"/>
  <c r="K358" i="1"/>
  <c r="J358" i="1" a="1"/>
  <c r="J358" i="1" s="1"/>
  <c r="I358" i="1" a="1"/>
  <c r="I358" i="1" s="1"/>
  <c r="H358" i="1" a="1"/>
  <c r="H358" i="1" s="1"/>
  <c r="C358" i="1" a="1"/>
  <c r="C358" i="1" s="1"/>
  <c r="K357" i="1" a="1"/>
  <c r="K357" i="1" s="1"/>
  <c r="J357" i="1" a="1"/>
  <c r="J357" i="1" s="1"/>
  <c r="I357" i="1" a="1"/>
  <c r="I357" i="1" s="1"/>
  <c r="H357" i="1" a="1"/>
  <c r="H357" i="1" s="1"/>
  <c r="C357" i="1" a="1"/>
  <c r="C357" i="1" s="1"/>
  <c r="K356" i="1" a="1"/>
  <c r="K356" i="1" s="1"/>
  <c r="J356" i="1" a="1"/>
  <c r="J356" i="1" s="1"/>
  <c r="I356" i="1" a="1"/>
  <c r="I356" i="1" s="1"/>
  <c r="H356" i="1" a="1"/>
  <c r="H356" i="1" s="1"/>
  <c r="C356" i="1" a="1"/>
  <c r="C356" i="1" s="1"/>
  <c r="K355" i="1" a="1"/>
  <c r="K355" i="1" s="1"/>
  <c r="J355" i="1" a="1"/>
  <c r="J355" i="1" s="1"/>
  <c r="I355" i="1" a="1"/>
  <c r="I355" i="1" s="1"/>
  <c r="H355" i="1" a="1"/>
  <c r="H355" i="1" s="1"/>
  <c r="C355" i="1" a="1"/>
  <c r="C355" i="1" s="1"/>
  <c r="K354" i="1" a="1"/>
  <c r="K354" i="1" s="1"/>
  <c r="J354" i="1" a="1"/>
  <c r="J354" i="1"/>
  <c r="I354" i="1" a="1"/>
  <c r="I354" i="1" s="1"/>
  <c r="H354" i="1" a="1"/>
  <c r="H354" i="1"/>
  <c r="C354" i="1" a="1"/>
  <c r="C354" i="1" s="1"/>
  <c r="K353" i="1" a="1"/>
  <c r="K353" i="1"/>
  <c r="J353" i="1" a="1"/>
  <c r="J353" i="1" s="1"/>
  <c r="I353" i="1" a="1"/>
  <c r="I353" i="1" s="1"/>
  <c r="H353" i="1" a="1"/>
  <c r="H353" i="1" s="1"/>
  <c r="C353" i="1" a="1"/>
  <c r="C353" i="1" s="1"/>
  <c r="K352" i="1" a="1"/>
  <c r="K352" i="1" s="1"/>
  <c r="J352" i="1" a="1"/>
  <c r="J352" i="1" s="1"/>
  <c r="I352" i="1" a="1"/>
  <c r="I352" i="1" s="1"/>
  <c r="H352" i="1" a="1"/>
  <c r="H352" i="1" s="1"/>
  <c r="C352" i="1" a="1"/>
  <c r="C352" i="1" s="1"/>
  <c r="K351" i="1" a="1"/>
  <c r="K351" i="1" s="1"/>
  <c r="J351" i="1" a="1"/>
  <c r="J351" i="1" s="1"/>
  <c r="I351" i="1" a="1"/>
  <c r="I351" i="1" s="1"/>
  <c r="H351" i="1" a="1"/>
  <c r="H351" i="1" s="1"/>
  <c r="C351" i="1" a="1"/>
  <c r="C351" i="1" s="1"/>
  <c r="K350" i="1" a="1"/>
  <c r="K350" i="1"/>
  <c r="J350" i="1" a="1"/>
  <c r="J350" i="1" s="1"/>
  <c r="I350" i="1" a="1"/>
  <c r="I350" i="1" s="1"/>
  <c r="H350" i="1" a="1"/>
  <c r="H350" i="1" s="1"/>
  <c r="C350" i="1" a="1"/>
  <c r="C350" i="1" s="1"/>
  <c r="K349" i="1" a="1"/>
  <c r="K349" i="1" s="1"/>
  <c r="J349" i="1" a="1"/>
  <c r="J349" i="1" s="1"/>
  <c r="I349" i="1" a="1"/>
  <c r="I349" i="1" s="1"/>
  <c r="H349" i="1" a="1"/>
  <c r="H349" i="1" s="1"/>
  <c r="C349" i="1" a="1"/>
  <c r="C349" i="1" s="1"/>
  <c r="K348" i="1" a="1"/>
  <c r="K348" i="1" s="1"/>
  <c r="J348" i="1" a="1"/>
  <c r="J348" i="1" s="1"/>
  <c r="I348" i="1" a="1"/>
  <c r="I348" i="1" s="1"/>
  <c r="H348" i="1" a="1"/>
  <c r="H348" i="1" s="1"/>
  <c r="C348" i="1" a="1"/>
  <c r="C348" i="1" s="1"/>
  <c r="K347" i="1" a="1"/>
  <c r="K347" i="1"/>
  <c r="J347" i="1" a="1"/>
  <c r="J347" i="1" s="1"/>
  <c r="I347" i="1" a="1"/>
  <c r="I347" i="1" s="1"/>
  <c r="H347" i="1" a="1"/>
  <c r="H347" i="1" s="1"/>
  <c r="C347" i="1" a="1"/>
  <c r="C347" i="1" s="1"/>
  <c r="K346" i="1" a="1"/>
  <c r="K346" i="1" s="1"/>
  <c r="J346" i="1" a="1"/>
  <c r="J346" i="1" s="1"/>
  <c r="I346" i="1" a="1"/>
  <c r="I346" i="1" s="1"/>
  <c r="H346" i="1" a="1"/>
  <c r="H346" i="1" s="1"/>
  <c r="C346" i="1" a="1"/>
  <c r="C346" i="1"/>
  <c r="K345" i="1" a="1"/>
  <c r="K345" i="1" s="1"/>
  <c r="J345" i="1" a="1"/>
  <c r="J345" i="1"/>
  <c r="I345" i="1" a="1"/>
  <c r="I345" i="1" s="1"/>
  <c r="H345" i="1" a="1"/>
  <c r="H345" i="1"/>
  <c r="C345" i="1" a="1"/>
  <c r="C345" i="1" s="1"/>
  <c r="K344" i="1" a="1"/>
  <c r="K344" i="1"/>
  <c r="J344" i="1" a="1"/>
  <c r="J344" i="1" s="1"/>
  <c r="I344" i="1" a="1"/>
  <c r="I344" i="1" s="1"/>
  <c r="H344" i="1" a="1"/>
  <c r="H344" i="1" s="1"/>
  <c r="C344" i="1" a="1"/>
  <c r="C344" i="1" s="1"/>
  <c r="K343" i="1" a="1"/>
  <c r="K343" i="1" s="1"/>
  <c r="J343" i="1" a="1"/>
  <c r="J343" i="1" s="1"/>
  <c r="I343" i="1" a="1"/>
  <c r="I343" i="1" s="1"/>
  <c r="H343" i="1" a="1"/>
  <c r="H343" i="1"/>
  <c r="C343" i="1" a="1"/>
  <c r="C343" i="1" s="1"/>
  <c r="K342" i="1" a="1"/>
  <c r="K342" i="1" s="1"/>
  <c r="J342" i="1" a="1"/>
  <c r="J342" i="1" s="1"/>
  <c r="I342" i="1" a="1"/>
  <c r="I342" i="1" s="1"/>
  <c r="H342" i="1" a="1"/>
  <c r="H342" i="1" s="1"/>
  <c r="C342" i="1" a="1"/>
  <c r="C342" i="1" s="1"/>
  <c r="K341" i="1" a="1"/>
  <c r="K341" i="1" s="1"/>
  <c r="J341" i="1" a="1"/>
  <c r="J341" i="1" s="1"/>
  <c r="I341" i="1" a="1"/>
  <c r="I341" i="1" s="1"/>
  <c r="H341" i="1" a="1"/>
  <c r="H341" i="1" s="1"/>
  <c r="C341" i="1" a="1"/>
  <c r="C341" i="1" s="1"/>
  <c r="K340" i="1" a="1"/>
  <c r="K340" i="1" s="1"/>
  <c r="J340" i="1" a="1"/>
  <c r="J340" i="1" s="1"/>
  <c r="I340" i="1" a="1"/>
  <c r="I340" i="1" s="1"/>
  <c r="H340" i="1" a="1"/>
  <c r="H340" i="1" s="1"/>
  <c r="C340" i="1" a="1"/>
  <c r="C340" i="1" s="1"/>
  <c r="K339" i="1" a="1"/>
  <c r="K339" i="1" s="1"/>
  <c r="J339" i="1" a="1"/>
  <c r="J339" i="1" s="1"/>
  <c r="I339" i="1" a="1"/>
  <c r="I339" i="1" s="1"/>
  <c r="H339" i="1" a="1"/>
  <c r="H339" i="1" s="1"/>
  <c r="C339" i="1" a="1"/>
  <c r="C339" i="1" s="1"/>
  <c r="K338" i="1" a="1"/>
  <c r="K338" i="1" s="1"/>
  <c r="J338" i="1" a="1"/>
  <c r="J338" i="1"/>
  <c r="I338" i="1" a="1"/>
  <c r="I338" i="1" s="1"/>
  <c r="H338" i="1" a="1"/>
  <c r="H338" i="1" s="1"/>
  <c r="C338" i="1" a="1"/>
  <c r="C338" i="1" s="1"/>
  <c r="K337" i="1" a="1"/>
  <c r="K337" i="1" s="1"/>
  <c r="J337" i="1" a="1"/>
  <c r="J337" i="1" s="1"/>
  <c r="I337" i="1" a="1"/>
  <c r="I337" i="1" s="1"/>
  <c r="H337" i="1" a="1"/>
  <c r="H337" i="1" s="1"/>
  <c r="C337" i="1" a="1"/>
  <c r="C337" i="1" s="1"/>
  <c r="K336" i="1" a="1"/>
  <c r="K336" i="1" s="1"/>
  <c r="J336" i="1" a="1"/>
  <c r="J336" i="1"/>
  <c r="I336" i="1" a="1"/>
  <c r="I336" i="1"/>
  <c r="H336" i="1" a="1"/>
  <c r="H336" i="1"/>
  <c r="C336" i="1" a="1"/>
  <c r="C336" i="1"/>
  <c r="K335" i="1" a="1"/>
  <c r="K335" i="1"/>
  <c r="J335" i="1" a="1"/>
  <c r="J335" i="1"/>
  <c r="I335" i="1" a="1"/>
  <c r="I335" i="1"/>
  <c r="H335" i="1" a="1"/>
  <c r="H335" i="1"/>
  <c r="C335" i="1" a="1"/>
  <c r="C335" i="1"/>
  <c r="K334" i="1" a="1"/>
  <c r="K334" i="1"/>
  <c r="J334" i="1" a="1"/>
  <c r="J334" i="1"/>
  <c r="I334" i="1" a="1"/>
  <c r="I334" i="1"/>
  <c r="H334" i="1" a="1"/>
  <c r="H334" i="1"/>
  <c r="C334" i="1" a="1"/>
  <c r="C334" i="1"/>
  <c r="K333" i="1" a="1"/>
  <c r="K333" i="1"/>
  <c r="J333" i="1" a="1"/>
  <c r="J333" i="1"/>
  <c r="I333" i="1" a="1"/>
  <c r="I333" i="1"/>
  <c r="H333" i="1" a="1"/>
  <c r="H333" i="1"/>
  <c r="C333" i="1" a="1"/>
  <c r="C333" i="1"/>
  <c r="K332" i="1" a="1"/>
  <c r="K332" i="1"/>
  <c r="J332" i="1" a="1"/>
  <c r="J332" i="1"/>
  <c r="I332" i="1" a="1"/>
  <c r="I332" i="1"/>
  <c r="H332" i="1" a="1"/>
  <c r="H332" i="1"/>
  <c r="C332" i="1" a="1"/>
  <c r="C332" i="1"/>
  <c r="K331" i="1" a="1"/>
  <c r="K331" i="1"/>
  <c r="J331" i="1" a="1"/>
  <c r="J331" i="1"/>
  <c r="I331" i="1" a="1"/>
  <c r="I331" i="1"/>
  <c r="H331" i="1" a="1"/>
  <c r="H331" i="1"/>
  <c r="C331" i="1" a="1"/>
  <c r="C331" i="1"/>
  <c r="K330" i="1" a="1"/>
  <c r="K330" i="1"/>
  <c r="J330" i="1" a="1"/>
  <c r="J330" i="1"/>
  <c r="I330" i="1" a="1"/>
  <c r="I330" i="1"/>
  <c r="H330" i="1" a="1"/>
  <c r="H330" i="1"/>
  <c r="C330" i="1" a="1"/>
  <c r="C330" i="1"/>
  <c r="K329" i="1" a="1"/>
  <c r="K329" i="1"/>
  <c r="J329" i="1" a="1"/>
  <c r="J329" i="1"/>
  <c r="I329" i="1" a="1"/>
  <c r="I329" i="1"/>
  <c r="H329" i="1" a="1"/>
  <c r="H329" i="1"/>
  <c r="C329" i="1" a="1"/>
  <c r="C329" i="1"/>
  <c r="K328" i="1" a="1"/>
  <c r="K328" i="1"/>
  <c r="J328" i="1" a="1"/>
  <c r="J328" i="1"/>
  <c r="I328" i="1" a="1"/>
  <c r="I328" i="1"/>
  <c r="H328" i="1" a="1"/>
  <c r="H328" i="1"/>
  <c r="C328" i="1" a="1"/>
  <c r="C328" i="1"/>
  <c r="K327" i="1" a="1"/>
  <c r="K327" i="1"/>
  <c r="J327" i="1" a="1"/>
  <c r="J327" i="1"/>
  <c r="I327" i="1" a="1"/>
  <c r="I327" i="1"/>
  <c r="H327" i="1" a="1"/>
  <c r="H327" i="1"/>
  <c r="C327" i="1" a="1"/>
  <c r="C327" i="1"/>
  <c r="K326" i="1" a="1"/>
  <c r="K326" i="1"/>
  <c r="J326" i="1" a="1"/>
  <c r="J326" i="1"/>
  <c r="I326" i="1" a="1"/>
  <c r="I326" i="1"/>
  <c r="H326" i="1" a="1"/>
  <c r="H326" i="1"/>
  <c r="C326" i="1" a="1"/>
  <c r="C326" i="1"/>
  <c r="K325" i="1" a="1"/>
  <c r="K325" i="1"/>
  <c r="J325" i="1" a="1"/>
  <c r="J325" i="1"/>
  <c r="I325" i="1" a="1"/>
  <c r="I325" i="1"/>
  <c r="H325" i="1" a="1"/>
  <c r="H325" i="1"/>
  <c r="C325" i="1" a="1"/>
  <c r="C325" i="1"/>
  <c r="K324" i="1" a="1"/>
  <c r="K324" i="1"/>
  <c r="J324" i="1" a="1"/>
  <c r="J324" i="1"/>
  <c r="I324" i="1" a="1"/>
  <c r="I324" i="1"/>
  <c r="H324" i="1" a="1"/>
  <c r="H324" i="1"/>
  <c r="C324" i="1" a="1"/>
  <c r="C324" i="1"/>
  <c r="K323" i="1" a="1"/>
  <c r="K323" i="1"/>
  <c r="J323" i="1" a="1"/>
  <c r="J323" i="1"/>
  <c r="I323" i="1" a="1"/>
  <c r="I323" i="1"/>
  <c r="H323" i="1" a="1"/>
  <c r="H323" i="1"/>
  <c r="C323" i="1" a="1"/>
  <c r="C323" i="1"/>
  <c r="K322" i="1" a="1"/>
  <c r="K322" i="1"/>
  <c r="J322" i="1" a="1"/>
  <c r="J322" i="1"/>
  <c r="I322" i="1" a="1"/>
  <c r="I322" i="1"/>
  <c r="H322" i="1" a="1"/>
  <c r="H322" i="1"/>
  <c r="C322" i="1" a="1"/>
  <c r="C322" i="1"/>
  <c r="K321" i="1" a="1"/>
  <c r="K321" i="1"/>
  <c r="J321" i="1" a="1"/>
  <c r="J321" i="1"/>
  <c r="I321" i="1" a="1"/>
  <c r="I321" i="1"/>
  <c r="H321" i="1" a="1"/>
  <c r="H321" i="1"/>
  <c r="C321" i="1" a="1"/>
  <c r="C321" i="1"/>
  <c r="K320" i="1" a="1"/>
  <c r="K320" i="1"/>
  <c r="J320" i="1" a="1"/>
  <c r="J320" i="1"/>
  <c r="I320" i="1" a="1"/>
  <c r="I320" i="1"/>
  <c r="H320" i="1" a="1"/>
  <c r="H320" i="1"/>
  <c r="C320" i="1" a="1"/>
  <c r="C320" i="1"/>
  <c r="K319" i="1" a="1"/>
  <c r="K319" i="1"/>
  <c r="J319" i="1" a="1"/>
  <c r="J319" i="1"/>
  <c r="I319" i="1" a="1"/>
  <c r="I319" i="1"/>
  <c r="H319" i="1" a="1"/>
  <c r="H319" i="1"/>
  <c r="C319" i="1" a="1"/>
  <c r="C319" i="1"/>
  <c r="K318" i="1" a="1"/>
  <c r="K318" i="1"/>
  <c r="J318" i="1" a="1"/>
  <c r="J318" i="1"/>
  <c r="I318" i="1" a="1"/>
  <c r="I318" i="1"/>
  <c r="H318" i="1" a="1"/>
  <c r="H318" i="1"/>
  <c r="C318" i="1" a="1"/>
  <c r="C318" i="1"/>
  <c r="K317" i="1" a="1"/>
  <c r="K317" i="1"/>
  <c r="J317" i="1" a="1"/>
  <c r="J317" i="1"/>
  <c r="I317" i="1" a="1"/>
  <c r="I317" i="1"/>
  <c r="H317" i="1" a="1"/>
  <c r="H317" i="1"/>
  <c r="C317" i="1" a="1"/>
  <c r="C317" i="1"/>
  <c r="K316" i="1" a="1"/>
  <c r="K316" i="1"/>
  <c r="J316" i="1" a="1"/>
  <c r="J316" i="1"/>
  <c r="I316" i="1" a="1"/>
  <c r="I316" i="1"/>
  <c r="H316" i="1" a="1"/>
  <c r="H316" i="1"/>
  <c r="C316" i="1" a="1"/>
  <c r="C316" i="1"/>
  <c r="K315" i="1" a="1"/>
  <c r="K315" i="1"/>
  <c r="J315" i="1" a="1"/>
  <c r="J315" i="1"/>
  <c r="I315" i="1" a="1"/>
  <c r="I315" i="1"/>
  <c r="H315" i="1" a="1"/>
  <c r="H315" i="1"/>
  <c r="C315" i="1" a="1"/>
  <c r="C315" i="1"/>
  <c r="K314" i="1" a="1"/>
  <c r="K314" i="1"/>
  <c r="J314" i="1" a="1"/>
  <c r="J314" i="1"/>
  <c r="I314" i="1" a="1"/>
  <c r="I314" i="1"/>
  <c r="H314" i="1" a="1"/>
  <c r="H314" i="1"/>
  <c r="C314" i="1" a="1"/>
  <c r="C314" i="1"/>
  <c r="K313" i="1" a="1"/>
  <c r="K313" i="1"/>
  <c r="J313" i="1" a="1"/>
  <c r="J313" i="1"/>
  <c r="I313" i="1" a="1"/>
  <c r="I313" i="1"/>
  <c r="H313" i="1" a="1"/>
  <c r="H313" i="1"/>
  <c r="C313" i="1" a="1"/>
  <c r="C313" i="1"/>
  <c r="K312" i="1" a="1"/>
  <c r="K312" i="1"/>
  <c r="J312" i="1" a="1"/>
  <c r="J312" i="1"/>
  <c r="I312" i="1" a="1"/>
  <c r="I312" i="1"/>
  <c r="H312" i="1" a="1"/>
  <c r="H312" i="1"/>
  <c r="C312" i="1" a="1"/>
  <c r="C312" i="1"/>
  <c r="K311" i="1" a="1"/>
  <c r="K311" i="1"/>
  <c r="J311" i="1" a="1"/>
  <c r="J311" i="1"/>
  <c r="I311" i="1" a="1"/>
  <c r="I311" i="1"/>
  <c r="H311" i="1" a="1"/>
  <c r="H311" i="1"/>
  <c r="C311" i="1" a="1"/>
  <c r="C311" i="1"/>
  <c r="K310" i="1" a="1"/>
  <c r="K310" i="1"/>
  <c r="J310" i="1" a="1"/>
  <c r="J310" i="1"/>
  <c r="I310" i="1" a="1"/>
  <c r="I310" i="1"/>
  <c r="H310" i="1" a="1"/>
  <c r="H310" i="1"/>
  <c r="C310" i="1" a="1"/>
  <c r="C310" i="1"/>
  <c r="K309" i="1" a="1"/>
  <c r="K309" i="1"/>
  <c r="J309" i="1" a="1"/>
  <c r="J309" i="1"/>
  <c r="I309" i="1" a="1"/>
  <c r="I309" i="1"/>
  <c r="H309" i="1" a="1"/>
  <c r="H309" i="1"/>
  <c r="C309" i="1" a="1"/>
  <c r="C309" i="1"/>
  <c r="K308" i="1" a="1"/>
  <c r="K308" i="1"/>
  <c r="J308" i="1" a="1"/>
  <c r="J308" i="1"/>
  <c r="I308" i="1" a="1"/>
  <c r="I308" i="1"/>
  <c r="H308" i="1" a="1"/>
  <c r="H308" i="1"/>
  <c r="C308" i="1" a="1"/>
  <c r="C308" i="1"/>
  <c r="K307" i="1" a="1"/>
  <c r="K307" i="1"/>
  <c r="J307" i="1" a="1"/>
  <c r="J307" i="1"/>
  <c r="I307" i="1" a="1"/>
  <c r="I307" i="1"/>
  <c r="H307" i="1" a="1"/>
  <c r="H307" i="1"/>
  <c r="C307" i="1" a="1"/>
  <c r="C307" i="1"/>
  <c r="K306" i="1" a="1"/>
  <c r="K306" i="1"/>
  <c r="J306" i="1" a="1"/>
  <c r="J306" i="1"/>
  <c r="I306" i="1" a="1"/>
  <c r="I306" i="1"/>
  <c r="H306" i="1" a="1"/>
  <c r="H306" i="1"/>
  <c r="C306" i="1" a="1"/>
  <c r="C306" i="1"/>
  <c r="K305" i="1" a="1"/>
  <c r="K305" i="1"/>
  <c r="J305" i="1" a="1"/>
  <c r="J305" i="1"/>
  <c r="I305" i="1" a="1"/>
  <c r="I305" i="1"/>
  <c r="H305" i="1" a="1"/>
  <c r="H305" i="1"/>
  <c r="C305" i="1" a="1"/>
  <c r="C305" i="1"/>
  <c r="K304" i="1" a="1"/>
  <c r="K304" i="1"/>
  <c r="J304" i="1" a="1"/>
  <c r="J304" i="1"/>
  <c r="I304" i="1" a="1"/>
  <c r="I304" i="1"/>
  <c r="H304" i="1" a="1"/>
  <c r="H304" i="1"/>
  <c r="C304" i="1" a="1"/>
  <c r="C304" i="1"/>
  <c r="K303" i="1" a="1"/>
  <c r="K303" i="1"/>
  <c r="J303" i="1" a="1"/>
  <c r="J303" i="1"/>
  <c r="I303" i="1" a="1"/>
  <c r="I303" i="1"/>
  <c r="H303" i="1" a="1"/>
  <c r="H303" i="1"/>
  <c r="C303" i="1" a="1"/>
  <c r="C303" i="1"/>
  <c r="K302" i="1" a="1"/>
  <c r="K302" i="1"/>
  <c r="J302" i="1" a="1"/>
  <c r="J302" i="1"/>
  <c r="I302" i="1" a="1"/>
  <c r="I302" i="1"/>
  <c r="H302" i="1" a="1"/>
  <c r="H302" i="1"/>
  <c r="C302" i="1" a="1"/>
  <c r="C302" i="1"/>
  <c r="K301" i="1" a="1"/>
  <c r="K301" i="1"/>
  <c r="J301" i="1" a="1"/>
  <c r="J301" i="1"/>
  <c r="I301" i="1" a="1"/>
  <c r="I301" i="1"/>
  <c r="H301" i="1" a="1"/>
  <c r="H301" i="1"/>
  <c r="C301" i="1" a="1"/>
  <c r="C301" i="1"/>
  <c r="K300" i="1" a="1"/>
  <c r="K300" i="1"/>
  <c r="J300" i="1" a="1"/>
  <c r="J300" i="1"/>
  <c r="I300" i="1" a="1"/>
  <c r="I300" i="1"/>
  <c r="H300" i="1" a="1"/>
  <c r="H300" i="1"/>
  <c r="C300" i="1" a="1"/>
  <c r="C300" i="1"/>
  <c r="K299" i="1" a="1"/>
  <c r="K299" i="1"/>
  <c r="J299" i="1" a="1"/>
  <c r="J299" i="1"/>
  <c r="I299" i="1" a="1"/>
  <c r="I299" i="1"/>
  <c r="H299" i="1" a="1"/>
  <c r="H299" i="1"/>
  <c r="C299" i="1" a="1"/>
  <c r="C299" i="1"/>
  <c r="K298" i="1" a="1"/>
  <c r="K298" i="1"/>
  <c r="J298" i="1" a="1"/>
  <c r="J298" i="1"/>
  <c r="I298" i="1" a="1"/>
  <c r="I298" i="1"/>
  <c r="H298" i="1" a="1"/>
  <c r="H298" i="1"/>
  <c r="C298" i="1" a="1"/>
  <c r="C298" i="1"/>
  <c r="K297" i="1" a="1"/>
  <c r="K297" i="1"/>
  <c r="J297" i="1" a="1"/>
  <c r="J297" i="1"/>
  <c r="I297" i="1" a="1"/>
  <c r="I297" i="1"/>
  <c r="H297" i="1" a="1"/>
  <c r="H297" i="1"/>
  <c r="C297" i="1" a="1"/>
  <c r="C297" i="1"/>
  <c r="K296" i="1" a="1"/>
  <c r="K296" i="1"/>
  <c r="J296" i="1" a="1"/>
  <c r="J296" i="1"/>
  <c r="I296" i="1" a="1"/>
  <c r="I296" i="1"/>
  <c r="H296" i="1" a="1"/>
  <c r="H296" i="1"/>
  <c r="C296" i="1" a="1"/>
  <c r="C296" i="1"/>
  <c r="K295" i="1" a="1"/>
  <c r="K295" i="1"/>
  <c r="J295" i="1" a="1"/>
  <c r="J295" i="1"/>
  <c r="I295" i="1" a="1"/>
  <c r="I295" i="1"/>
  <c r="H295" i="1" a="1"/>
  <c r="H295" i="1"/>
  <c r="C295" i="1" a="1"/>
  <c r="C295" i="1"/>
  <c r="K294" i="1" a="1"/>
  <c r="K294" i="1"/>
  <c r="J294" i="1" a="1"/>
  <c r="J294" i="1"/>
  <c r="I294" i="1" a="1"/>
  <c r="I294" i="1"/>
  <c r="H294" i="1" a="1"/>
  <c r="H294" i="1"/>
  <c r="C294" i="1" a="1"/>
  <c r="C294" i="1"/>
  <c r="K293" i="1" a="1"/>
  <c r="K293" i="1"/>
  <c r="J293" i="1" a="1"/>
  <c r="J293" i="1"/>
  <c r="I293" i="1" a="1"/>
  <c r="I293" i="1"/>
  <c r="H293" i="1" a="1"/>
  <c r="H293" i="1"/>
  <c r="C293" i="1" a="1"/>
  <c r="C293" i="1"/>
  <c r="K292" i="1" a="1"/>
  <c r="K292" i="1"/>
  <c r="J292" i="1" a="1"/>
  <c r="J292" i="1"/>
  <c r="I292" i="1" a="1"/>
  <c r="I292" i="1"/>
  <c r="H292" i="1" a="1"/>
  <c r="H292" i="1"/>
  <c r="C292" i="1" a="1"/>
  <c r="C292" i="1"/>
  <c r="K291" i="1" a="1"/>
  <c r="K291" i="1"/>
  <c r="J291" i="1" a="1"/>
  <c r="J291" i="1"/>
  <c r="I291" i="1" a="1"/>
  <c r="I291" i="1"/>
  <c r="H291" i="1" a="1"/>
  <c r="H291" i="1"/>
  <c r="C291" i="1" a="1"/>
  <c r="C291" i="1"/>
  <c r="K290" i="1" a="1"/>
  <c r="K290" i="1"/>
  <c r="J290" i="1" a="1"/>
  <c r="J290" i="1"/>
  <c r="I290" i="1" a="1"/>
  <c r="I290" i="1"/>
  <c r="H290" i="1" a="1"/>
  <c r="H290" i="1"/>
  <c r="C290" i="1" a="1"/>
  <c r="C290" i="1"/>
  <c r="K289" i="1" a="1"/>
  <c r="K289" i="1"/>
  <c r="J289" i="1" a="1"/>
  <c r="J289" i="1"/>
  <c r="I289" i="1" a="1"/>
  <c r="I289" i="1"/>
  <c r="H289" i="1" a="1"/>
  <c r="H289" i="1"/>
  <c r="C289" i="1" a="1"/>
  <c r="C289" i="1"/>
  <c r="K288" i="1" a="1"/>
  <c r="K288" i="1"/>
  <c r="J288" i="1" a="1"/>
  <c r="J288" i="1"/>
  <c r="I288" i="1" a="1"/>
  <c r="I288" i="1"/>
  <c r="H288" i="1" a="1"/>
  <c r="H288" i="1"/>
  <c r="C288" i="1" a="1"/>
  <c r="C288" i="1"/>
  <c r="K287" i="1" a="1"/>
  <c r="K287" i="1"/>
  <c r="J287" i="1" a="1"/>
  <c r="J287" i="1"/>
  <c r="I287" i="1" a="1"/>
  <c r="I287" i="1"/>
  <c r="H287" i="1" a="1"/>
  <c r="H287" i="1"/>
  <c r="C287" i="1" a="1"/>
  <c r="C287" i="1"/>
  <c r="K286" i="1" a="1"/>
  <c r="K286" i="1"/>
  <c r="J286" i="1" a="1"/>
  <c r="J286" i="1"/>
  <c r="I286" i="1" a="1"/>
  <c r="I286" i="1"/>
  <c r="H286" i="1" a="1"/>
  <c r="H286" i="1"/>
  <c r="C286" i="1" a="1"/>
  <c r="C286" i="1"/>
  <c r="K285" i="1" a="1"/>
  <c r="K285" i="1"/>
  <c r="J285" i="1" a="1"/>
  <c r="J285" i="1"/>
  <c r="I285" i="1" a="1"/>
  <c r="I285" i="1"/>
  <c r="H285" i="1" a="1"/>
  <c r="H285" i="1"/>
  <c r="C285" i="1" a="1"/>
  <c r="C285" i="1"/>
  <c r="K284" i="1" a="1"/>
  <c r="K284" i="1"/>
  <c r="J284" i="1" a="1"/>
  <c r="J284" i="1"/>
  <c r="I284" i="1" a="1"/>
  <c r="I284" i="1"/>
  <c r="H284" i="1" a="1"/>
  <c r="H284" i="1"/>
  <c r="C284" i="1" a="1"/>
  <c r="C284" i="1"/>
  <c r="K283" i="1" a="1"/>
  <c r="K283" i="1"/>
  <c r="J283" i="1" a="1"/>
  <c r="J283" i="1"/>
  <c r="I283" i="1" a="1"/>
  <c r="I283" i="1"/>
  <c r="H283" i="1" a="1"/>
  <c r="H283" i="1"/>
  <c r="C283" i="1" a="1"/>
  <c r="C283" i="1"/>
  <c r="K282" i="1" a="1"/>
  <c r="K282" i="1"/>
  <c r="J282" i="1" a="1"/>
  <c r="J282" i="1"/>
  <c r="I282" i="1" a="1"/>
  <c r="I282" i="1"/>
  <c r="H282" i="1" a="1"/>
  <c r="H282" i="1"/>
  <c r="C282" i="1" a="1"/>
  <c r="C282" i="1"/>
  <c r="K281" i="1" a="1"/>
  <c r="K281" i="1"/>
  <c r="J281" i="1" a="1"/>
  <c r="J281" i="1"/>
  <c r="I281" i="1" a="1"/>
  <c r="I281" i="1"/>
  <c r="H281" i="1" a="1"/>
  <c r="H281" i="1"/>
  <c r="C281" i="1" a="1"/>
  <c r="C281" i="1"/>
  <c r="K280" i="1" a="1"/>
  <c r="K280" i="1"/>
  <c r="J280" i="1" a="1"/>
  <c r="J280" i="1"/>
  <c r="I280" i="1" a="1"/>
  <c r="I280" i="1"/>
  <c r="H280" i="1" a="1"/>
  <c r="H280" i="1"/>
  <c r="C280" i="1" a="1"/>
  <c r="C280" i="1"/>
  <c r="K279" i="1" a="1"/>
  <c r="K279" i="1"/>
  <c r="J279" i="1" a="1"/>
  <c r="J279" i="1"/>
  <c r="I279" i="1" a="1"/>
  <c r="I279" i="1"/>
  <c r="H279" i="1" a="1"/>
  <c r="H279" i="1"/>
  <c r="C279" i="1" a="1"/>
  <c r="C279" i="1"/>
  <c r="K278" i="1" a="1"/>
  <c r="K278" i="1"/>
  <c r="J278" i="1" a="1"/>
  <c r="J278" i="1"/>
  <c r="I278" i="1" a="1"/>
  <c r="I278" i="1"/>
  <c r="H278" i="1" a="1"/>
  <c r="H278" i="1"/>
  <c r="C278" i="1" a="1"/>
  <c r="C278" i="1"/>
  <c r="K277" i="1" a="1"/>
  <c r="K277" i="1"/>
  <c r="J277" i="1" a="1"/>
  <c r="J277" i="1"/>
  <c r="I277" i="1" a="1"/>
  <c r="I277" i="1"/>
  <c r="H277" i="1" a="1"/>
  <c r="H277" i="1"/>
  <c r="C277" i="1" a="1"/>
  <c r="C277" i="1"/>
  <c r="K276" i="1" a="1"/>
  <c r="K276" i="1"/>
  <c r="J276" i="1" a="1"/>
  <c r="J276" i="1"/>
  <c r="I276" i="1" a="1"/>
  <c r="I276" i="1"/>
  <c r="H276" i="1" a="1"/>
  <c r="H276" i="1"/>
  <c r="C276" i="1" a="1"/>
  <c r="C276" i="1"/>
  <c r="K275" i="1" a="1"/>
  <c r="K275" i="1"/>
  <c r="J275" i="1" a="1"/>
  <c r="J275" i="1"/>
  <c r="I275" i="1" a="1"/>
  <c r="I275" i="1"/>
  <c r="H275" i="1" a="1"/>
  <c r="H275" i="1"/>
  <c r="C275" i="1" a="1"/>
  <c r="C275" i="1"/>
  <c r="K274" i="1" a="1"/>
  <c r="K274" i="1"/>
  <c r="J274" i="1" a="1"/>
  <c r="J274" i="1"/>
  <c r="I274" i="1" a="1"/>
  <c r="I274" i="1"/>
  <c r="H274" i="1" a="1"/>
  <c r="H274" i="1"/>
  <c r="C274" i="1" a="1"/>
  <c r="C274" i="1"/>
  <c r="K273" i="1" a="1"/>
  <c r="K273" i="1"/>
  <c r="J273" i="1" a="1"/>
  <c r="J273" i="1"/>
  <c r="I273" i="1" a="1"/>
  <c r="I273" i="1"/>
  <c r="H273" i="1" a="1"/>
  <c r="H273" i="1"/>
  <c r="C273" i="1" a="1"/>
  <c r="C273" i="1"/>
  <c r="K272" i="1" a="1"/>
  <c r="K272" i="1"/>
  <c r="J272" i="1" a="1"/>
  <c r="J272" i="1"/>
  <c r="I272" i="1" a="1"/>
  <c r="I272" i="1"/>
  <c r="H272" i="1" a="1"/>
  <c r="H272" i="1"/>
  <c r="C272" i="1" a="1"/>
  <c r="C272" i="1"/>
  <c r="K271" i="1" a="1"/>
  <c r="K271" i="1"/>
  <c r="J271" i="1" a="1"/>
  <c r="J271" i="1"/>
  <c r="I271" i="1" a="1"/>
  <c r="I271" i="1"/>
  <c r="H271" i="1" a="1"/>
  <c r="H271" i="1"/>
  <c r="C271" i="1" a="1"/>
  <c r="C271" i="1"/>
  <c r="K270" i="1" a="1"/>
  <c r="K270" i="1"/>
  <c r="J270" i="1" a="1"/>
  <c r="J270" i="1"/>
  <c r="I270" i="1" a="1"/>
  <c r="I270" i="1"/>
  <c r="H270" i="1" a="1"/>
  <c r="H270" i="1"/>
  <c r="C270" i="1" a="1"/>
  <c r="C270" i="1"/>
  <c r="K269" i="1" a="1"/>
  <c r="K269" i="1"/>
  <c r="J269" i="1" a="1"/>
  <c r="J269" i="1"/>
  <c r="I269" i="1" a="1"/>
  <c r="I269" i="1"/>
  <c r="H269" i="1" a="1"/>
  <c r="H269" i="1"/>
  <c r="C269" i="1" a="1"/>
  <c r="C269" i="1"/>
  <c r="K268" i="1" a="1"/>
  <c r="K268" i="1"/>
  <c r="J268" i="1" a="1"/>
  <c r="J268" i="1"/>
  <c r="I268" i="1" a="1"/>
  <c r="I268" i="1"/>
  <c r="H268" i="1" a="1"/>
  <c r="H268" i="1"/>
  <c r="C268" i="1" a="1"/>
  <c r="C268" i="1"/>
  <c r="K267" i="1" a="1"/>
  <c r="K267" i="1"/>
  <c r="J267" i="1" a="1"/>
  <c r="J267" i="1"/>
  <c r="I267" i="1" a="1"/>
  <c r="I267" i="1"/>
  <c r="H267" i="1" a="1"/>
  <c r="H267" i="1"/>
  <c r="C267" i="1" a="1"/>
  <c r="C267" i="1"/>
  <c r="K266" i="1" a="1"/>
  <c r="K266" i="1"/>
  <c r="J266" i="1" a="1"/>
  <c r="J266" i="1"/>
  <c r="I266" i="1" a="1"/>
  <c r="I266" i="1"/>
  <c r="H266" i="1" a="1"/>
  <c r="H266" i="1"/>
  <c r="C266" i="1" a="1"/>
  <c r="C266" i="1"/>
  <c r="K265" i="1" a="1"/>
  <c r="K265" i="1"/>
  <c r="J265" i="1" a="1"/>
  <c r="J265" i="1"/>
  <c r="I265" i="1" a="1"/>
  <c r="I265" i="1"/>
  <c r="H265" i="1" a="1"/>
  <c r="H265" i="1"/>
  <c r="C265" i="1" a="1"/>
  <c r="C265" i="1"/>
  <c r="K264" i="1" a="1"/>
  <c r="K264" i="1"/>
  <c r="J264" i="1" a="1"/>
  <c r="J264" i="1"/>
  <c r="I264" i="1" a="1"/>
  <c r="I264" i="1"/>
  <c r="H264" i="1" a="1"/>
  <c r="H264" i="1"/>
  <c r="C264" i="1" a="1"/>
  <c r="C264" i="1"/>
  <c r="K263" i="1" a="1"/>
  <c r="K263" i="1"/>
  <c r="J263" i="1" a="1"/>
  <c r="J263" i="1"/>
  <c r="I263" i="1" a="1"/>
  <c r="I263" i="1"/>
  <c r="H263" i="1" a="1"/>
  <c r="H263" i="1"/>
  <c r="C263" i="1" a="1"/>
  <c r="C263" i="1"/>
  <c r="K262" i="1" a="1"/>
  <c r="K262" i="1"/>
  <c r="J262" i="1" a="1"/>
  <c r="J262" i="1"/>
  <c r="I262" i="1" a="1"/>
  <c r="I262" i="1"/>
  <c r="H262" i="1" a="1"/>
  <c r="H262" i="1"/>
  <c r="C262" i="1" a="1"/>
  <c r="C262" i="1"/>
  <c r="G260" i="1" a="1"/>
  <c r="G260" i="1"/>
  <c r="I260" i="1" s="1" a="1"/>
  <c r="I260" i="1" s="1"/>
  <c r="F260" i="1" a="1"/>
  <c r="F260" i="1"/>
  <c r="E260" i="1" a="1"/>
  <c r="E260" i="1"/>
  <c r="D260" i="1" a="1"/>
  <c r="D260" i="1"/>
  <c r="J260" i="1" s="1" a="1"/>
  <c r="J260" i="1" s="1"/>
  <c r="G259" i="1" a="1"/>
  <c r="G259" i="1"/>
  <c r="I259" i="1" s="1" a="1"/>
  <c r="I259" i="1" s="1"/>
  <c r="F259" i="1" a="1"/>
  <c r="F259" i="1"/>
  <c r="E259" i="1" a="1"/>
  <c r="E259" i="1"/>
  <c r="H259" i="1" s="1" a="1"/>
  <c r="H259" i="1" s="1"/>
  <c r="D259" i="1" a="1"/>
  <c r="D259" i="1"/>
  <c r="C259" i="1" a="1"/>
  <c r="C259" i="1"/>
  <c r="K258" i="1" a="1"/>
  <c r="K258" i="1"/>
  <c r="J258" i="1" a="1"/>
  <c r="J258" i="1"/>
  <c r="I258" i="1" a="1"/>
  <c r="I258" i="1"/>
  <c r="H258" i="1" a="1"/>
  <c r="H258" i="1"/>
  <c r="C258" i="1" a="1"/>
  <c r="C258" i="1"/>
  <c r="G248" i="1" a="1"/>
  <c r="G248" i="1"/>
  <c r="F248" i="1" a="1"/>
  <c r="F248" i="1"/>
  <c r="E248" i="1" a="1"/>
  <c r="E248" i="1"/>
  <c r="K248" i="1" s="1" a="1"/>
  <c r="K248" i="1" s="1"/>
  <c r="D248" i="1" a="1"/>
  <c r="D248" i="1"/>
  <c r="J248" i="1" s="1" a="1"/>
  <c r="J248" i="1" s="1"/>
  <c r="C238" i="1" a="1"/>
  <c r="C238" i="1"/>
  <c r="L236" i="1" a="1"/>
  <c r="L236" i="1" s="1"/>
  <c r="J236" i="1" a="1"/>
  <c r="J236" i="1" s="1"/>
  <c r="I236" i="1" a="1"/>
  <c r="I236" i="1" s="1"/>
  <c r="H236" i="1" a="1"/>
  <c r="H236" i="1" s="1"/>
  <c r="J133" i="1" a="1"/>
  <c r="J133" i="1"/>
  <c r="I132" i="1" a="1"/>
  <c r="I132" i="1"/>
  <c r="H132" i="1" a="1"/>
  <c r="H132" i="1"/>
  <c r="G118" i="1" a="1"/>
  <c r="G118" i="1" s="1"/>
  <c r="F118" i="1" a="1"/>
  <c r="F118" i="1" s="1"/>
  <c r="E118" i="1" a="1"/>
  <c r="E118" i="1" s="1"/>
  <c r="D118" i="1" a="1"/>
  <c r="D118" i="1" s="1"/>
  <c r="K117" i="1" a="1"/>
  <c r="K117" i="1" s="1"/>
  <c r="J117" i="1" a="1"/>
  <c r="J117" i="1"/>
  <c r="I117" i="1" a="1"/>
  <c r="I117" i="1" s="1"/>
  <c r="H117" i="1" a="1"/>
  <c r="H117" i="1" s="1"/>
  <c r="C117" i="1" s="1" a="1"/>
  <c r="C117" i="1" s="1"/>
  <c r="K116" i="1" a="1"/>
  <c r="K116" i="1" s="1"/>
  <c r="J116" i="1" a="1"/>
  <c r="J116" i="1" s="1"/>
  <c r="I116" i="1" a="1"/>
  <c r="I116" i="1" s="1"/>
  <c r="H116" i="1" a="1"/>
  <c r="H116" i="1" s="1"/>
  <c r="K115" i="1" a="1"/>
  <c r="K115" i="1" s="1"/>
  <c r="J115" i="1" a="1"/>
  <c r="J115" i="1" s="1"/>
  <c r="I115" i="1" a="1"/>
  <c r="I115" i="1"/>
  <c r="H115" i="1" a="1"/>
  <c r="H115" i="1"/>
  <c r="C115" i="1" a="1"/>
  <c r="C115" i="1"/>
  <c r="K114" i="1" a="1"/>
  <c r="K114" i="1"/>
  <c r="J114" i="1" a="1"/>
  <c r="J114" i="1"/>
  <c r="I114" i="1" a="1"/>
  <c r="I114" i="1"/>
  <c r="H114" i="1" a="1"/>
  <c r="H114" i="1"/>
  <c r="C114" i="1" a="1"/>
  <c r="C114" i="1"/>
  <c r="K113" i="1" a="1"/>
  <c r="K113" i="1"/>
  <c r="J113" i="1" a="1"/>
  <c r="J113" i="1"/>
  <c r="I113" i="1" a="1"/>
  <c r="I113" i="1"/>
  <c r="H113" i="1" a="1"/>
  <c r="H113" i="1"/>
  <c r="C113" i="1" a="1"/>
  <c r="C113" i="1"/>
  <c r="K112" i="1" a="1"/>
  <c r="K112" i="1"/>
  <c r="J112" i="1" a="1"/>
  <c r="J112" i="1"/>
  <c r="I112" i="1" a="1"/>
  <c r="I112" i="1"/>
  <c r="H112" i="1" a="1"/>
  <c r="H112" i="1"/>
  <c r="C112" i="1" a="1"/>
  <c r="C112" i="1"/>
  <c r="K111" i="1" a="1"/>
  <c r="K111" i="1"/>
  <c r="J111" i="1" a="1"/>
  <c r="J111" i="1"/>
  <c r="I111" i="1" a="1"/>
  <c r="I111" i="1"/>
  <c r="H111" i="1" a="1"/>
  <c r="H111" i="1"/>
  <c r="C111" i="1" a="1"/>
  <c r="C111" i="1"/>
  <c r="K110" i="1" a="1"/>
  <c r="K110" i="1"/>
  <c r="J110" i="1" a="1"/>
  <c r="J110" i="1"/>
  <c r="I110" i="1" a="1"/>
  <c r="I110" i="1"/>
  <c r="H110" i="1" a="1"/>
  <c r="H110" i="1"/>
  <c r="C110" i="1" a="1"/>
  <c r="C110" i="1"/>
  <c r="K109" i="1" a="1"/>
  <c r="K109" i="1"/>
  <c r="J109" i="1" a="1"/>
  <c r="J109" i="1"/>
  <c r="I109" i="1" a="1"/>
  <c r="I109" i="1"/>
  <c r="H109" i="1" a="1"/>
  <c r="H109" i="1"/>
  <c r="C109" i="1" a="1"/>
  <c r="C109" i="1"/>
  <c r="K108" i="1" a="1"/>
  <c r="K108" i="1"/>
  <c r="J108" i="1" a="1"/>
  <c r="J108" i="1"/>
  <c r="I108" i="1" a="1"/>
  <c r="I108" i="1"/>
  <c r="H108" i="1" a="1"/>
  <c r="H108" i="1"/>
  <c r="C108" i="1" a="1"/>
  <c r="C108" i="1"/>
  <c r="K107" i="1" a="1"/>
  <c r="K107" i="1"/>
  <c r="J107" i="1" a="1"/>
  <c r="J107" i="1"/>
  <c r="I107" i="1" a="1"/>
  <c r="I107" i="1"/>
  <c r="H107" i="1" a="1"/>
  <c r="H107" i="1"/>
  <c r="C107" i="1" a="1"/>
  <c r="C107" i="1"/>
  <c r="K106" i="1" a="1"/>
  <c r="K106" i="1"/>
  <c r="J106" i="1" a="1"/>
  <c r="J106" i="1"/>
  <c r="I106" i="1" a="1"/>
  <c r="I106" i="1"/>
  <c r="H106" i="1" a="1"/>
  <c r="H106" i="1"/>
  <c r="C106" i="1" a="1"/>
  <c r="C106" i="1"/>
  <c r="K105" i="1" a="1"/>
  <c r="K105" i="1"/>
  <c r="J105" i="1" a="1"/>
  <c r="J105" i="1"/>
  <c r="I105" i="1" a="1"/>
  <c r="I105" i="1"/>
  <c r="H105" i="1" a="1"/>
  <c r="H105" i="1"/>
  <c r="C105" i="1" a="1"/>
  <c r="C105" i="1"/>
  <c r="K104" i="1" a="1"/>
  <c r="K104" i="1"/>
  <c r="J104" i="1" a="1"/>
  <c r="J104" i="1"/>
  <c r="I104" i="1" a="1"/>
  <c r="I104" i="1"/>
  <c r="H104" i="1" a="1"/>
  <c r="H104" i="1"/>
  <c r="C104" i="1" a="1"/>
  <c r="C104" i="1"/>
  <c r="K103" i="1" a="1"/>
  <c r="K103" i="1"/>
  <c r="J103" i="1" a="1"/>
  <c r="J103" i="1"/>
  <c r="I103" i="1" a="1"/>
  <c r="I103" i="1"/>
  <c r="H103" i="1" a="1"/>
  <c r="H103" i="1"/>
  <c r="C103" i="1" a="1"/>
  <c r="C103" i="1"/>
  <c r="K102" i="1" a="1"/>
  <c r="K102" i="1"/>
  <c r="J102" i="1" a="1"/>
  <c r="J102" i="1"/>
  <c r="I102" i="1" a="1"/>
  <c r="I102" i="1"/>
  <c r="H102" i="1" a="1"/>
  <c r="H102" i="1"/>
  <c r="C102" i="1" a="1"/>
  <c r="C102" i="1"/>
  <c r="K101" i="1" a="1"/>
  <c r="K101" i="1"/>
  <c r="J101" i="1" a="1"/>
  <c r="J101" i="1"/>
  <c r="I101" i="1" a="1"/>
  <c r="I101" i="1"/>
  <c r="H101" i="1" a="1"/>
  <c r="H101" i="1"/>
  <c r="C101" i="1" a="1"/>
  <c r="C101" i="1"/>
  <c r="K100" i="1" a="1"/>
  <c r="K100" i="1"/>
  <c r="J100" i="1" a="1"/>
  <c r="J100" i="1"/>
  <c r="I100" i="1" a="1"/>
  <c r="I100" i="1"/>
  <c r="H100" i="1" a="1"/>
  <c r="H100" i="1"/>
  <c r="C100" i="1" a="1"/>
  <c r="C100" i="1"/>
  <c r="K99" i="1" a="1"/>
  <c r="K99" i="1"/>
  <c r="J99" i="1" a="1"/>
  <c r="J99" i="1"/>
  <c r="I99" i="1" a="1"/>
  <c r="I99" i="1"/>
  <c r="H99" i="1" a="1"/>
  <c r="H99" i="1"/>
  <c r="C99" i="1" a="1"/>
  <c r="C99" i="1"/>
  <c r="K98" i="1" a="1"/>
  <c r="K98" i="1"/>
  <c r="J98" i="1" a="1"/>
  <c r="J98" i="1"/>
  <c r="I98" i="1" a="1"/>
  <c r="I98" i="1"/>
  <c r="H98" i="1" a="1"/>
  <c r="H98" i="1"/>
  <c r="C98" i="1" a="1"/>
  <c r="C98" i="1"/>
  <c r="K97" i="1" a="1"/>
  <c r="K97" i="1"/>
  <c r="J97" i="1" a="1"/>
  <c r="J97" i="1"/>
  <c r="I97" i="1" a="1"/>
  <c r="I97" i="1"/>
  <c r="H97" i="1" a="1"/>
  <c r="H97" i="1"/>
  <c r="C97" i="1" a="1"/>
  <c r="C97" i="1"/>
  <c r="K96" i="1" a="1"/>
  <c r="K96" i="1"/>
  <c r="J96" i="1" a="1"/>
  <c r="J96" i="1"/>
  <c r="I96" i="1" a="1"/>
  <c r="I96" i="1"/>
  <c r="H96" i="1" a="1"/>
  <c r="H96" i="1"/>
  <c r="C96" i="1" a="1"/>
  <c r="C96" i="1"/>
  <c r="K95" i="1" a="1"/>
  <c r="K95" i="1"/>
  <c r="J95" i="1" a="1"/>
  <c r="J95" i="1"/>
  <c r="I95" i="1" a="1"/>
  <c r="I95" i="1"/>
  <c r="H95" i="1" a="1"/>
  <c r="H95" i="1"/>
  <c r="C95" i="1" a="1"/>
  <c r="C95" i="1"/>
  <c r="K94" i="1" a="1"/>
  <c r="K94" i="1"/>
  <c r="J94" i="1" a="1"/>
  <c r="J94" i="1"/>
  <c r="I94" i="1" a="1"/>
  <c r="I94" i="1"/>
  <c r="H94" i="1" a="1"/>
  <c r="H94" i="1"/>
  <c r="C94" i="1" a="1"/>
  <c r="C94" i="1"/>
  <c r="K93" i="1" a="1"/>
  <c r="K93" i="1"/>
  <c r="J93" i="1" a="1"/>
  <c r="J93" i="1"/>
  <c r="I93" i="1" a="1"/>
  <c r="I93" i="1"/>
  <c r="H93" i="1" a="1"/>
  <c r="H93" i="1"/>
  <c r="C93" i="1" a="1"/>
  <c r="C93" i="1"/>
  <c r="K92" i="1" a="1"/>
  <c r="K92" i="1"/>
  <c r="J92" i="1" a="1"/>
  <c r="J92" i="1"/>
  <c r="I92" i="1" a="1"/>
  <c r="I92" i="1"/>
  <c r="H92" i="1" a="1"/>
  <c r="H92" i="1"/>
  <c r="C92" i="1" a="1"/>
  <c r="C92" i="1"/>
  <c r="K91" i="1" a="1"/>
  <c r="K91" i="1"/>
  <c r="J91" i="1" a="1"/>
  <c r="J91" i="1"/>
  <c r="I91" i="1" a="1"/>
  <c r="I91" i="1"/>
  <c r="H91" i="1" a="1"/>
  <c r="H91" i="1"/>
  <c r="C91" i="1" a="1"/>
  <c r="C91" i="1"/>
  <c r="K90" i="1" a="1"/>
  <c r="K90" i="1"/>
  <c r="J90" i="1" a="1"/>
  <c r="J90" i="1"/>
  <c r="I90" i="1" a="1"/>
  <c r="I90" i="1"/>
  <c r="H90" i="1" a="1"/>
  <c r="H90" i="1"/>
  <c r="C90" i="1" a="1"/>
  <c r="C90" i="1"/>
  <c r="K89" i="1" a="1"/>
  <c r="K89" i="1"/>
  <c r="J89" i="1" a="1"/>
  <c r="J89" i="1"/>
  <c r="I89" i="1" a="1"/>
  <c r="I89" i="1"/>
  <c r="H89" i="1" a="1"/>
  <c r="H89" i="1"/>
  <c r="C89" i="1" a="1"/>
  <c r="C89" i="1"/>
  <c r="K88" i="1" a="1"/>
  <c r="K88" i="1"/>
  <c r="J88" i="1" a="1"/>
  <c r="J88" i="1"/>
  <c r="I88" i="1" a="1"/>
  <c r="I88" i="1"/>
  <c r="H88" i="1" a="1"/>
  <c r="H88" i="1"/>
  <c r="C88" i="1" a="1"/>
  <c r="C88" i="1"/>
  <c r="K87" i="1" a="1"/>
  <c r="K87" i="1"/>
  <c r="J87" i="1" a="1"/>
  <c r="J87" i="1"/>
  <c r="I87" i="1" a="1"/>
  <c r="I87" i="1"/>
  <c r="H87" i="1" a="1"/>
  <c r="H87" i="1"/>
  <c r="C87" i="1" a="1"/>
  <c r="C87" i="1"/>
  <c r="K86" i="1" a="1"/>
  <c r="K86" i="1"/>
  <c r="J86" i="1" a="1"/>
  <c r="J86" i="1"/>
  <c r="I86" i="1" a="1"/>
  <c r="I86" i="1"/>
  <c r="H86" i="1" a="1"/>
  <c r="H86" i="1"/>
  <c r="C86" i="1" a="1"/>
  <c r="C86" i="1"/>
  <c r="K85" i="1" a="1"/>
  <c r="K85" i="1"/>
  <c r="J85" i="1" a="1"/>
  <c r="J85" i="1"/>
  <c r="I85" i="1" a="1"/>
  <c r="I85" i="1"/>
  <c r="H85" i="1" a="1"/>
  <c r="H85" i="1"/>
  <c r="C85" i="1" a="1"/>
  <c r="C85" i="1"/>
  <c r="K84" i="1" a="1"/>
  <c r="K84" i="1"/>
  <c r="J84" i="1" a="1"/>
  <c r="J84" i="1"/>
  <c r="I84" i="1" a="1"/>
  <c r="I84" i="1"/>
  <c r="H84" i="1" a="1"/>
  <c r="H84" i="1"/>
  <c r="C84" i="1" a="1"/>
  <c r="C84" i="1"/>
  <c r="K83" i="1" a="1"/>
  <c r="K83" i="1"/>
  <c r="J83" i="1" a="1"/>
  <c r="J83" i="1"/>
  <c r="I83" i="1" a="1"/>
  <c r="I83" i="1"/>
  <c r="H83" i="1" a="1"/>
  <c r="H83" i="1"/>
  <c r="C83" i="1" a="1"/>
  <c r="C83" i="1"/>
  <c r="K82" i="1" a="1"/>
  <c r="K82" i="1"/>
  <c r="J82" i="1" a="1"/>
  <c r="J82" i="1"/>
  <c r="I82" i="1" a="1"/>
  <c r="I82" i="1"/>
  <c r="H82" i="1" a="1"/>
  <c r="H82" i="1"/>
  <c r="C82" i="1" a="1"/>
  <c r="C82" i="1"/>
  <c r="K81" i="1" a="1"/>
  <c r="K81" i="1"/>
  <c r="J81" i="1" a="1"/>
  <c r="J81" i="1"/>
  <c r="I81" i="1" a="1"/>
  <c r="I81" i="1"/>
  <c r="H81" i="1" a="1"/>
  <c r="H81" i="1"/>
  <c r="C81" i="1" a="1"/>
  <c r="C81" i="1"/>
  <c r="K80" i="1" a="1"/>
  <c r="K80" i="1"/>
  <c r="J80" i="1" a="1"/>
  <c r="J80" i="1"/>
  <c r="I80" i="1" a="1"/>
  <c r="I80" i="1"/>
  <c r="H80" i="1" a="1"/>
  <c r="H80" i="1"/>
  <c r="C80" i="1" a="1"/>
  <c r="C80" i="1"/>
  <c r="K79" i="1" a="1"/>
  <c r="K79" i="1"/>
  <c r="J79" i="1" a="1"/>
  <c r="J79" i="1"/>
  <c r="I79" i="1" a="1"/>
  <c r="I79" i="1"/>
  <c r="H79" i="1" a="1"/>
  <c r="H79" i="1"/>
  <c r="C79" i="1" a="1"/>
  <c r="C79" i="1"/>
  <c r="K78" i="1" a="1"/>
  <c r="K78" i="1"/>
  <c r="J78" i="1" a="1"/>
  <c r="J78" i="1"/>
  <c r="I78" i="1" a="1"/>
  <c r="I78" i="1"/>
  <c r="H78" i="1" a="1"/>
  <c r="H78" i="1"/>
  <c r="C78" i="1" a="1"/>
  <c r="C78" i="1"/>
  <c r="K77" i="1" a="1"/>
  <c r="K77" i="1"/>
  <c r="J77" i="1" a="1"/>
  <c r="J77" i="1"/>
  <c r="I77" i="1" a="1"/>
  <c r="I77" i="1"/>
  <c r="H77" i="1" a="1"/>
  <c r="H77" i="1"/>
  <c r="C77" i="1" a="1"/>
  <c r="C77" i="1"/>
  <c r="K76" i="1" a="1"/>
  <c r="K76" i="1"/>
  <c r="J76" i="1" a="1"/>
  <c r="J76" i="1"/>
  <c r="I76" i="1" a="1"/>
  <c r="I76" i="1"/>
  <c r="H76" i="1" a="1"/>
  <c r="H76" i="1"/>
  <c r="C76" i="1" a="1"/>
  <c r="C76" i="1"/>
  <c r="K75" i="1" a="1"/>
  <c r="K75" i="1"/>
  <c r="J75" i="1" a="1"/>
  <c r="J75" i="1"/>
  <c r="I75" i="1" a="1"/>
  <c r="I75" i="1"/>
  <c r="H75" i="1" a="1"/>
  <c r="H75" i="1"/>
  <c r="C75" i="1" a="1"/>
  <c r="C75" i="1"/>
  <c r="K74" i="1" a="1"/>
  <c r="K74" i="1"/>
  <c r="J74" i="1" a="1"/>
  <c r="J74" i="1"/>
  <c r="I74" i="1" a="1"/>
  <c r="I74" i="1"/>
  <c r="H74" i="1" a="1"/>
  <c r="H74" i="1"/>
  <c r="C74" i="1" a="1"/>
  <c r="C74" i="1"/>
  <c r="K73" i="1" a="1"/>
  <c r="K73" i="1"/>
  <c r="J73" i="1" a="1"/>
  <c r="J73" i="1"/>
  <c r="I73" i="1" a="1"/>
  <c r="I73" i="1"/>
  <c r="H73" i="1" a="1"/>
  <c r="H73" i="1"/>
  <c r="C73" i="1" a="1"/>
  <c r="C73" i="1"/>
  <c r="K72" i="1" a="1"/>
  <c r="K72" i="1"/>
  <c r="J72" i="1" a="1"/>
  <c r="J72" i="1"/>
  <c r="I72" i="1" a="1"/>
  <c r="I72" i="1"/>
  <c r="H72" i="1" a="1"/>
  <c r="H72" i="1"/>
  <c r="C72" i="1" a="1"/>
  <c r="C72" i="1"/>
  <c r="K71" i="1" a="1"/>
  <c r="K71" i="1"/>
  <c r="J71" i="1" a="1"/>
  <c r="J71" i="1"/>
  <c r="I71" i="1" a="1"/>
  <c r="I71" i="1"/>
  <c r="H71" i="1" a="1"/>
  <c r="H71" i="1"/>
  <c r="C71" i="1" a="1"/>
  <c r="C71" i="1"/>
  <c r="K70" i="1" a="1"/>
  <c r="K70" i="1"/>
  <c r="J70" i="1" a="1"/>
  <c r="J70" i="1"/>
  <c r="I70" i="1" a="1"/>
  <c r="I70" i="1"/>
  <c r="H70" i="1" a="1"/>
  <c r="H70" i="1"/>
  <c r="C70" i="1" a="1"/>
  <c r="C70" i="1"/>
  <c r="K69" i="1" a="1"/>
  <c r="K69" i="1"/>
  <c r="J69" i="1" a="1"/>
  <c r="J69" i="1"/>
  <c r="I69" i="1" a="1"/>
  <c r="I69" i="1"/>
  <c r="H69" i="1" a="1"/>
  <c r="H69" i="1"/>
  <c r="C69" i="1" a="1"/>
  <c r="C69" i="1"/>
  <c r="K68" i="1" a="1"/>
  <c r="K68" i="1"/>
  <c r="J68" i="1" a="1"/>
  <c r="J68" i="1"/>
  <c r="I68" i="1" a="1"/>
  <c r="I68" i="1"/>
  <c r="H68" i="1" a="1"/>
  <c r="H68" i="1"/>
  <c r="C68" i="1" a="1"/>
  <c r="C68" i="1"/>
  <c r="K67" i="1" a="1"/>
  <c r="K67" i="1"/>
  <c r="J67" i="1" a="1"/>
  <c r="J67" i="1"/>
  <c r="I67" i="1" a="1"/>
  <c r="I67" i="1"/>
  <c r="H67" i="1" a="1"/>
  <c r="H67" i="1"/>
  <c r="C67" i="1" a="1"/>
  <c r="C67" i="1"/>
  <c r="K66" i="1" a="1"/>
  <c r="K66" i="1"/>
  <c r="J66" i="1" a="1"/>
  <c r="J66" i="1"/>
  <c r="I66" i="1" a="1"/>
  <c r="I66" i="1"/>
  <c r="H66" i="1" a="1"/>
  <c r="H66" i="1"/>
  <c r="C66" i="1" a="1"/>
  <c r="C66" i="1"/>
  <c r="K65" i="1" a="1"/>
  <c r="K65" i="1"/>
  <c r="J65" i="1" a="1"/>
  <c r="J65" i="1"/>
  <c r="I65" i="1" a="1"/>
  <c r="I65" i="1"/>
  <c r="H65" i="1" a="1"/>
  <c r="H65" i="1"/>
  <c r="C65" i="1" a="1"/>
  <c r="C65" i="1"/>
  <c r="K64" i="1" a="1"/>
  <c r="K64" i="1"/>
  <c r="J64" i="1" a="1"/>
  <c r="J64" i="1"/>
  <c r="I64" i="1" a="1"/>
  <c r="I64" i="1"/>
  <c r="H64" i="1" a="1"/>
  <c r="H64" i="1"/>
  <c r="C64" i="1" a="1"/>
  <c r="C64" i="1"/>
  <c r="K63" i="1" a="1"/>
  <c r="K63" i="1"/>
  <c r="J63" i="1" a="1"/>
  <c r="J63" i="1"/>
  <c r="I63" i="1" a="1"/>
  <c r="I63" i="1"/>
  <c r="H63" i="1" a="1"/>
  <c r="H63" i="1"/>
  <c r="C63" i="1" a="1"/>
  <c r="C63" i="1"/>
  <c r="K62" i="1" a="1"/>
  <c r="K62" i="1"/>
  <c r="J62" i="1" a="1"/>
  <c r="J62" i="1"/>
  <c r="I62" i="1" a="1"/>
  <c r="I62" i="1"/>
  <c r="H62" i="1" a="1"/>
  <c r="H62" i="1"/>
  <c r="C62" i="1" a="1"/>
  <c r="C62" i="1"/>
  <c r="K61" i="1" a="1"/>
  <c r="K61" i="1"/>
  <c r="J61" i="1" a="1"/>
  <c r="J61" i="1"/>
  <c r="I61" i="1" a="1"/>
  <c r="I61" i="1"/>
  <c r="H61" i="1" a="1"/>
  <c r="H61" i="1"/>
  <c r="C61" i="1" a="1"/>
  <c r="C61" i="1"/>
  <c r="K60" i="1" a="1"/>
  <c r="K60" i="1"/>
  <c r="J60" i="1" a="1"/>
  <c r="J60" i="1"/>
  <c r="I60" i="1" a="1"/>
  <c r="I60" i="1"/>
  <c r="H60" i="1" a="1"/>
  <c r="H60" i="1"/>
  <c r="C60" i="1" a="1"/>
  <c r="C60" i="1"/>
  <c r="K59" i="1" a="1"/>
  <c r="K59" i="1"/>
  <c r="J59" i="1" a="1"/>
  <c r="J59" i="1"/>
  <c r="I59" i="1" a="1"/>
  <c r="I59" i="1"/>
  <c r="H59" i="1" a="1"/>
  <c r="H59" i="1"/>
  <c r="C59" i="1" a="1"/>
  <c r="C59" i="1"/>
  <c r="K58" i="1" a="1"/>
  <c r="K58" i="1"/>
  <c r="J58" i="1" a="1"/>
  <c r="J58" i="1"/>
  <c r="I58" i="1" a="1"/>
  <c r="I58" i="1"/>
  <c r="H58" i="1" a="1"/>
  <c r="H58" i="1"/>
  <c r="C58" i="1" a="1"/>
  <c r="C58" i="1"/>
  <c r="K57" i="1" a="1"/>
  <c r="K57" i="1"/>
  <c r="J57" i="1" a="1"/>
  <c r="J57" i="1"/>
  <c r="I57" i="1" a="1"/>
  <c r="I57" i="1"/>
  <c r="H57" i="1" a="1"/>
  <c r="H57" i="1"/>
  <c r="C57" i="1" a="1"/>
  <c r="C57" i="1"/>
  <c r="K56" i="1" a="1"/>
  <c r="K56" i="1"/>
  <c r="J56" i="1" a="1"/>
  <c r="J56" i="1"/>
  <c r="I56" i="1" a="1"/>
  <c r="I56" i="1"/>
  <c r="H56" i="1" a="1"/>
  <c r="H56" i="1"/>
  <c r="C56" i="1" a="1"/>
  <c r="C56" i="1"/>
  <c r="K55" i="1" a="1"/>
  <c r="K55" i="1"/>
  <c r="J55" i="1" a="1"/>
  <c r="J55" i="1"/>
  <c r="I55" i="1" a="1"/>
  <c r="I55" i="1"/>
  <c r="H55" i="1" a="1"/>
  <c r="H55" i="1"/>
  <c r="C55" i="1" a="1"/>
  <c r="C55" i="1"/>
  <c r="K54" i="1" a="1"/>
  <c r="K54" i="1"/>
  <c r="J54" i="1" a="1"/>
  <c r="J54" i="1"/>
  <c r="I54" i="1" a="1"/>
  <c r="I54" i="1"/>
  <c r="H54" i="1" a="1"/>
  <c r="H54" i="1"/>
  <c r="C54" i="1" a="1"/>
  <c r="C54" i="1"/>
  <c r="K53" i="1" a="1"/>
  <c r="K53" i="1"/>
  <c r="J53" i="1" a="1"/>
  <c r="J53" i="1"/>
  <c r="I53" i="1" a="1"/>
  <c r="I53" i="1"/>
  <c r="H53" i="1" a="1"/>
  <c r="H53" i="1"/>
  <c r="C53" i="1" a="1"/>
  <c r="C53" i="1"/>
  <c r="K52" i="1" a="1"/>
  <c r="K52" i="1"/>
  <c r="J52" i="1" a="1"/>
  <c r="J52" i="1"/>
  <c r="I52" i="1" a="1"/>
  <c r="I52" i="1"/>
  <c r="H52" i="1" a="1"/>
  <c r="H52" i="1"/>
  <c r="C52" i="1" a="1"/>
  <c r="C52" i="1"/>
  <c r="K51" i="1" a="1"/>
  <c r="K51" i="1"/>
  <c r="J51" i="1" a="1"/>
  <c r="J51" i="1"/>
  <c r="I51" i="1" a="1"/>
  <c r="I51" i="1"/>
  <c r="H51" i="1" a="1"/>
  <c r="H51" i="1"/>
  <c r="C51" i="1" a="1"/>
  <c r="C51" i="1"/>
  <c r="K50" i="1" a="1"/>
  <c r="K50" i="1"/>
  <c r="J50" i="1" a="1"/>
  <c r="J50" i="1"/>
  <c r="I50" i="1" a="1"/>
  <c r="I50" i="1"/>
  <c r="H50" i="1" a="1"/>
  <c r="H50" i="1"/>
  <c r="C50" i="1" a="1"/>
  <c r="C50" i="1"/>
  <c r="K49" i="1" a="1"/>
  <c r="K49" i="1"/>
  <c r="J49" i="1" a="1"/>
  <c r="J49" i="1"/>
  <c r="I49" i="1" a="1"/>
  <c r="I49" i="1"/>
  <c r="H49" i="1" a="1"/>
  <c r="H49" i="1"/>
  <c r="C49" i="1" a="1"/>
  <c r="C49" i="1"/>
  <c r="K48" i="1" a="1"/>
  <c r="K48" i="1"/>
  <c r="J48" i="1" a="1"/>
  <c r="J48" i="1"/>
  <c r="I48" i="1" a="1"/>
  <c r="I48" i="1"/>
  <c r="H48" i="1" a="1"/>
  <c r="H48" i="1"/>
  <c r="C48" i="1" a="1"/>
  <c r="C48" i="1"/>
  <c r="K47" i="1" a="1"/>
  <c r="K47" i="1"/>
  <c r="J47" i="1" a="1"/>
  <c r="J47" i="1"/>
  <c r="I47" i="1" a="1"/>
  <c r="I47" i="1"/>
  <c r="H47" i="1" a="1"/>
  <c r="H47" i="1"/>
  <c r="C47" i="1" a="1"/>
  <c r="C47" i="1"/>
  <c r="K46" i="1" a="1"/>
  <c r="K46" i="1"/>
  <c r="J46" i="1" a="1"/>
  <c r="J46" i="1"/>
  <c r="I46" i="1" a="1"/>
  <c r="I46" i="1"/>
  <c r="H46" i="1" a="1"/>
  <c r="H46" i="1"/>
  <c r="C46" i="1" a="1"/>
  <c r="C46" i="1"/>
  <c r="K45" i="1" a="1"/>
  <c r="K45" i="1"/>
  <c r="J45" i="1" a="1"/>
  <c r="J45" i="1"/>
  <c r="I45" i="1" a="1"/>
  <c r="I45" i="1"/>
  <c r="H45" i="1" a="1"/>
  <c r="H45" i="1"/>
  <c r="C45" i="1" a="1"/>
  <c r="C45" i="1"/>
  <c r="K44" i="1" a="1"/>
  <c r="K44" i="1"/>
  <c r="J44" i="1" a="1"/>
  <c r="J44" i="1"/>
  <c r="I44" i="1" a="1"/>
  <c r="I44" i="1"/>
  <c r="H44" i="1" a="1"/>
  <c r="H44" i="1"/>
  <c r="C44" i="1" a="1"/>
  <c r="C44" i="1"/>
  <c r="K43" i="1" a="1"/>
  <c r="K43" i="1"/>
  <c r="J43" i="1" a="1"/>
  <c r="J43" i="1"/>
  <c r="I43" i="1" a="1"/>
  <c r="I43" i="1"/>
  <c r="H43" i="1" a="1"/>
  <c r="H43" i="1"/>
  <c r="C43" i="1" a="1"/>
  <c r="C43" i="1"/>
  <c r="K42" i="1" a="1"/>
  <c r="K42" i="1"/>
  <c r="J42" i="1" a="1"/>
  <c r="J42" i="1"/>
  <c r="I42" i="1" a="1"/>
  <c r="I42" i="1"/>
  <c r="H42" i="1" a="1"/>
  <c r="H42" i="1"/>
  <c r="C42" i="1" a="1"/>
  <c r="C42" i="1"/>
  <c r="K41" i="1" a="1"/>
  <c r="K41" i="1"/>
  <c r="J41" i="1" a="1"/>
  <c r="J41" i="1"/>
  <c r="I41" i="1" a="1"/>
  <c r="I41" i="1"/>
  <c r="H41" i="1" a="1"/>
  <c r="H41" i="1"/>
  <c r="C41" i="1" a="1"/>
  <c r="C41" i="1"/>
  <c r="K40" i="1" a="1"/>
  <c r="K40" i="1"/>
  <c r="J40" i="1" a="1"/>
  <c r="J40" i="1"/>
  <c r="I40" i="1" a="1"/>
  <c r="I40" i="1"/>
  <c r="H40" i="1" a="1"/>
  <c r="H40" i="1"/>
  <c r="C40" i="1" a="1"/>
  <c r="C40" i="1"/>
  <c r="K39" i="1" a="1"/>
  <c r="K39" i="1"/>
  <c r="J39" i="1" a="1"/>
  <c r="J39" i="1"/>
  <c r="I39" i="1" a="1"/>
  <c r="I39" i="1"/>
  <c r="H39" i="1" a="1"/>
  <c r="H39" i="1"/>
  <c r="C39" i="1" a="1"/>
  <c r="C39" i="1"/>
  <c r="K38" i="1" a="1"/>
  <c r="K38" i="1"/>
  <c r="J38" i="1" a="1"/>
  <c r="J38" i="1"/>
  <c r="I38" i="1" a="1"/>
  <c r="I38" i="1"/>
  <c r="H38" i="1" a="1"/>
  <c r="H38" i="1"/>
  <c r="C38" i="1" a="1"/>
  <c r="C38" i="1"/>
  <c r="K37" i="1" a="1"/>
  <c r="K37" i="1"/>
  <c r="J37" i="1" a="1"/>
  <c r="J37" i="1"/>
  <c r="I37" i="1" a="1"/>
  <c r="I37" i="1"/>
  <c r="H37" i="1" a="1"/>
  <c r="H37" i="1"/>
  <c r="C37" i="1" a="1"/>
  <c r="C37" i="1"/>
  <c r="K36" i="1" a="1"/>
  <c r="K36" i="1"/>
  <c r="J36" i="1" a="1"/>
  <c r="J36" i="1"/>
  <c r="I36" i="1" a="1"/>
  <c r="I36" i="1"/>
  <c r="H36" i="1" a="1"/>
  <c r="H36" i="1"/>
  <c r="C36" i="1" a="1"/>
  <c r="C36" i="1"/>
  <c r="K35" i="1" a="1"/>
  <c r="K35" i="1"/>
  <c r="J35" i="1" a="1"/>
  <c r="J35" i="1"/>
  <c r="I35" i="1" a="1"/>
  <c r="I35" i="1"/>
  <c r="H35" i="1" a="1"/>
  <c r="H35" i="1"/>
  <c r="C35" i="1" a="1"/>
  <c r="C35" i="1"/>
  <c r="K34" i="1" a="1"/>
  <c r="K34" i="1"/>
  <c r="J34" i="1" a="1"/>
  <c r="J34" i="1"/>
  <c r="I34" i="1" a="1"/>
  <c r="I34" i="1"/>
  <c r="H34" i="1" a="1"/>
  <c r="H34" i="1"/>
  <c r="C34" i="1" a="1"/>
  <c r="C34" i="1"/>
  <c r="K33" i="1" a="1"/>
  <c r="K33" i="1"/>
  <c r="J33" i="1" a="1"/>
  <c r="J33" i="1"/>
  <c r="I33" i="1" a="1"/>
  <c r="I33" i="1"/>
  <c r="H33" i="1" a="1"/>
  <c r="H33" i="1"/>
  <c r="C33" i="1" a="1"/>
  <c r="C33" i="1"/>
  <c r="K32" i="1" a="1"/>
  <c r="K32" i="1"/>
  <c r="J32" i="1" a="1"/>
  <c r="J32" i="1"/>
  <c r="I32" i="1" a="1"/>
  <c r="I32" i="1"/>
  <c r="H32" i="1" a="1"/>
  <c r="H32" i="1"/>
  <c r="C32" i="1" a="1"/>
  <c r="C32" i="1"/>
  <c r="K31" i="1" a="1"/>
  <c r="K31" i="1"/>
  <c r="J31" i="1" a="1"/>
  <c r="J31" i="1"/>
  <c r="I31" i="1" a="1"/>
  <c r="I31" i="1"/>
  <c r="H31" i="1" a="1"/>
  <c r="H31" i="1"/>
  <c r="C31" i="1" a="1"/>
  <c r="C31" i="1"/>
  <c r="K30" i="1" a="1"/>
  <c r="K30" i="1"/>
  <c r="J30" i="1" a="1"/>
  <c r="J30" i="1"/>
  <c r="I30" i="1" a="1"/>
  <c r="I30" i="1"/>
  <c r="H30" i="1" a="1"/>
  <c r="H30" i="1"/>
  <c r="C30" i="1" a="1"/>
  <c r="C30" i="1"/>
  <c r="K29" i="1" a="1"/>
  <c r="K29" i="1"/>
  <c r="J29" i="1" a="1"/>
  <c r="J29" i="1"/>
  <c r="I29" i="1" a="1"/>
  <c r="I29" i="1"/>
  <c r="H29" i="1" a="1"/>
  <c r="H29" i="1"/>
  <c r="C29" i="1" a="1"/>
  <c r="C29" i="1"/>
  <c r="K28" i="1" a="1"/>
  <c r="K28" i="1"/>
  <c r="J28" i="1" a="1"/>
  <c r="J28" i="1"/>
  <c r="I28" i="1" a="1"/>
  <c r="I28" i="1"/>
  <c r="H28" i="1" a="1"/>
  <c r="H28" i="1"/>
  <c r="C28" i="1" a="1"/>
  <c r="C28" i="1"/>
  <c r="K27" i="1" a="1"/>
  <c r="K27" i="1"/>
  <c r="J27" i="1" a="1"/>
  <c r="J27" i="1"/>
  <c r="I27" i="1" a="1"/>
  <c r="I27" i="1"/>
  <c r="H27" i="1" a="1"/>
  <c r="H27" i="1"/>
  <c r="C27" i="1" a="1"/>
  <c r="C27" i="1"/>
  <c r="K26" i="1" a="1"/>
  <c r="K26" i="1"/>
  <c r="J26" i="1" a="1"/>
  <c r="J26" i="1"/>
  <c r="I26" i="1" a="1"/>
  <c r="I26" i="1"/>
  <c r="H26" i="1" a="1"/>
  <c r="H26" i="1"/>
  <c r="C26" i="1" a="1"/>
  <c r="C26" i="1"/>
  <c r="K25" i="1" a="1"/>
  <c r="K25" i="1"/>
  <c r="J25" i="1" a="1"/>
  <c r="J25" i="1"/>
  <c r="I25" i="1" a="1"/>
  <c r="I25" i="1"/>
  <c r="H25" i="1" a="1"/>
  <c r="H25" i="1"/>
  <c r="C25" i="1" a="1"/>
  <c r="C25" i="1"/>
  <c r="K24" i="1" a="1"/>
  <c r="K24" i="1"/>
  <c r="J24" i="1" a="1"/>
  <c r="J24" i="1"/>
  <c r="I24" i="1" a="1"/>
  <c r="I24" i="1"/>
  <c r="H24" i="1" a="1"/>
  <c r="H24" i="1"/>
  <c r="C24" i="1" a="1"/>
  <c r="C24" i="1"/>
  <c r="K23" i="1" a="1"/>
  <c r="K23" i="1"/>
  <c r="J23" i="1" a="1"/>
  <c r="J23" i="1"/>
  <c r="I23" i="1" a="1"/>
  <c r="I23" i="1"/>
  <c r="H23" i="1" a="1"/>
  <c r="H23" i="1"/>
  <c r="C23" i="1" a="1"/>
  <c r="C23" i="1"/>
  <c r="K22" i="1" a="1"/>
  <c r="K22" i="1"/>
  <c r="J22" i="1" a="1"/>
  <c r="J22" i="1"/>
  <c r="I22" i="1" a="1"/>
  <c r="I22" i="1"/>
  <c r="H22" i="1" a="1"/>
  <c r="H22" i="1"/>
  <c r="C22" i="1" a="1"/>
  <c r="C22" i="1"/>
  <c r="K21" i="1" a="1"/>
  <c r="K21" i="1"/>
  <c r="J21" i="1" a="1"/>
  <c r="J21" i="1"/>
  <c r="I21" i="1" a="1"/>
  <c r="I21" i="1"/>
  <c r="H21" i="1" a="1"/>
  <c r="H21" i="1"/>
  <c r="C21" i="1" a="1"/>
  <c r="C21" i="1"/>
  <c r="K20" i="1" a="1"/>
  <c r="K20" i="1"/>
  <c r="J20" i="1" a="1"/>
  <c r="J20" i="1"/>
  <c r="I20" i="1" a="1"/>
  <c r="I20" i="1"/>
  <c r="H20" i="1" a="1"/>
  <c r="H20" i="1"/>
  <c r="C20" i="1" a="1"/>
  <c r="C20" i="1"/>
  <c r="K19" i="1" a="1"/>
  <c r="K19" i="1"/>
  <c r="J19" i="1" a="1"/>
  <c r="J19" i="1"/>
  <c r="I19" i="1" a="1"/>
  <c r="I19" i="1"/>
  <c r="H19" i="1" a="1"/>
  <c r="H19" i="1"/>
  <c r="C19" i="1" a="1"/>
  <c r="C19" i="1"/>
  <c r="K18" i="1" a="1"/>
  <c r="K18" i="1"/>
  <c r="J18" i="1" a="1"/>
  <c r="J18" i="1"/>
  <c r="I18" i="1" a="1"/>
  <c r="I18" i="1"/>
  <c r="H18" i="1" a="1"/>
  <c r="H18" i="1"/>
  <c r="C18" i="1" a="1"/>
  <c r="C18" i="1"/>
  <c r="H607" i="1" l="1" a="1"/>
  <c r="H607" i="1" s="1"/>
  <c r="H606" i="1" a="1"/>
  <c r="H606" i="1" s="1"/>
  <c r="H605" i="1" a="1"/>
  <c r="H605" i="1" s="1"/>
  <c r="H604" i="1" a="1"/>
  <c r="H604" i="1" s="1"/>
  <c r="H603" i="1" a="1"/>
  <c r="H603" i="1" s="1"/>
  <c r="H602" i="1" a="1"/>
  <c r="H602" i="1" s="1"/>
  <c r="H601" i="1" a="1"/>
  <c r="H601" i="1" s="1"/>
  <c r="H600" i="1" a="1"/>
  <c r="H600" i="1" s="1"/>
  <c r="H599" i="1" a="1"/>
  <c r="H599" i="1" s="1"/>
  <c r="H598" i="1" a="1"/>
  <c r="H598" i="1" s="1"/>
  <c r="H597" i="1" a="1"/>
  <c r="H597" i="1" s="1"/>
  <c r="H596" i="1" a="1"/>
  <c r="H596" i="1" s="1"/>
  <c r="H595" i="1" a="1"/>
  <c r="H595" i="1" s="1"/>
  <c r="H594" i="1" a="1"/>
  <c r="H594" i="1" s="1"/>
  <c r="H593" i="1" a="1"/>
  <c r="H593" i="1" s="1"/>
  <c r="H592" i="1" a="1"/>
  <c r="H592" i="1" s="1"/>
  <c r="H591" i="1" a="1"/>
  <c r="H591" i="1" s="1"/>
  <c r="H590" i="1" a="1"/>
  <c r="H590" i="1" s="1"/>
  <c r="H589" i="1" a="1"/>
  <c r="H589" i="1" s="1"/>
  <c r="E588" i="1" a="1"/>
  <c r="E588" i="1" s="1"/>
  <c r="E511" i="1" a="1"/>
  <c r="E511" i="1" s="1"/>
  <c r="E587" i="1" a="1"/>
  <c r="E587" i="1" s="1"/>
  <c r="E510" i="1" a="1"/>
  <c r="E510" i="1" s="1"/>
  <c r="E586" i="1" a="1"/>
  <c r="E586" i="1" s="1"/>
  <c r="E509" i="1" a="1"/>
  <c r="E509" i="1" s="1"/>
  <c r="E585" i="1" a="1"/>
  <c r="E585" i="1" s="1"/>
  <c r="E508" i="1" a="1"/>
  <c r="E508" i="1" s="1"/>
  <c r="E584" i="1" a="1"/>
  <c r="E584" i="1" s="1"/>
  <c r="E583" i="1" a="1"/>
  <c r="E583" i="1" s="1"/>
  <c r="H504" i="1" a="1"/>
  <c r="H504" i="1" s="1"/>
  <c r="E582" i="1" a="1"/>
  <c r="E582" i="1" s="1"/>
  <c r="E514" i="1" a="1"/>
  <c r="E514" i="1" s="1"/>
  <c r="E581" i="1" a="1"/>
  <c r="E581" i="1" s="1"/>
  <c r="E534" i="1" a="1"/>
  <c r="E534" i="1" s="1"/>
  <c r="E580" i="1" a="1"/>
  <c r="E580" i="1" s="1"/>
  <c r="E535" i="1" a="1"/>
  <c r="E535" i="1" s="1"/>
  <c r="E579" i="1" a="1"/>
  <c r="E579" i="1" s="1"/>
  <c r="E536" i="1" a="1"/>
  <c r="E536" i="1" s="1"/>
  <c r="E578" i="1" a="1"/>
  <c r="E578" i="1" s="1"/>
  <c r="E537" i="1" a="1"/>
  <c r="E537" i="1" s="1"/>
  <c r="E577" i="1" a="1"/>
  <c r="E577" i="1" s="1"/>
  <c r="E538" i="1" a="1"/>
  <c r="E538" i="1" s="1"/>
  <c r="E576" i="1" a="1"/>
  <c r="E576" i="1" s="1"/>
  <c r="E539" i="1" a="1"/>
  <c r="E539" i="1" s="1"/>
  <c r="E575" i="1" a="1"/>
  <c r="E575" i="1" s="1"/>
  <c r="E540" i="1" a="1"/>
  <c r="E540" i="1" s="1"/>
  <c r="E574" i="1" a="1"/>
  <c r="E574" i="1" s="1"/>
  <c r="E541" i="1" a="1"/>
  <c r="E541" i="1" s="1"/>
  <c r="E573" i="1" a="1"/>
  <c r="E573" i="1" s="1"/>
  <c r="E542" i="1" a="1"/>
  <c r="E542" i="1" s="1"/>
  <c r="E572" i="1" a="1"/>
  <c r="E572" i="1" s="1"/>
  <c r="E543" i="1" a="1"/>
  <c r="E543" i="1" s="1"/>
  <c r="E571" i="1" a="1"/>
  <c r="E571" i="1" s="1"/>
  <c r="E544" i="1" a="1"/>
  <c r="E544" i="1" s="1"/>
  <c r="E570" i="1" a="1"/>
  <c r="E570" i="1" s="1"/>
  <c r="E513" i="1" a="1"/>
  <c r="E513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33" i="1" a="1"/>
  <c r="E533" i="1" s="1"/>
  <c r="E557" i="1" a="1"/>
  <c r="E557" i="1" s="1"/>
  <c r="E532" i="1" a="1"/>
  <c r="E532" i="1" s="1"/>
  <c r="E558" i="1" a="1"/>
  <c r="E558" i="1" s="1"/>
  <c r="E531" i="1" a="1"/>
  <c r="E531" i="1" s="1"/>
  <c r="E559" i="1" a="1"/>
  <c r="E559" i="1" s="1"/>
  <c r="E530" i="1" a="1"/>
  <c r="E530" i="1" s="1"/>
  <c r="E560" i="1" a="1"/>
  <c r="E560" i="1" s="1"/>
  <c r="E529" i="1" a="1"/>
  <c r="E529" i="1" s="1"/>
  <c r="E561" i="1" a="1"/>
  <c r="E561" i="1" s="1"/>
  <c r="E528" i="1" a="1"/>
  <c r="E528" i="1" s="1"/>
  <c r="E562" i="1" a="1"/>
  <c r="E562" i="1" s="1"/>
  <c r="E527" i="1" a="1"/>
  <c r="E527" i="1" s="1"/>
  <c r="E563" i="1" a="1"/>
  <c r="E563" i="1" s="1"/>
  <c r="E526" i="1" a="1"/>
  <c r="E526" i="1" s="1"/>
  <c r="E564" i="1" a="1"/>
  <c r="E564" i="1" s="1"/>
  <c r="E525" i="1" a="1"/>
  <c r="E525" i="1" s="1"/>
  <c r="E565" i="1" a="1"/>
  <c r="E565" i="1" s="1"/>
  <c r="E524" i="1" a="1"/>
  <c r="E524" i="1" s="1"/>
  <c r="E566" i="1" a="1"/>
  <c r="E566" i="1" s="1"/>
  <c r="E523" i="1" a="1"/>
  <c r="E523" i="1" s="1"/>
  <c r="E567" i="1" a="1"/>
  <c r="E567" i="1" s="1"/>
  <c r="E522" i="1" a="1"/>
  <c r="E522" i="1" s="1"/>
  <c r="E568" i="1" a="1"/>
  <c r="E568" i="1" s="1"/>
  <c r="E521" i="1" a="1"/>
  <c r="E521" i="1" s="1"/>
  <c r="E569" i="1" a="1"/>
  <c r="E569" i="1" s="1"/>
  <c r="E520" i="1" a="1"/>
  <c r="E520" i="1" s="1"/>
  <c r="E519" i="1" a="1"/>
  <c r="E519" i="1" s="1"/>
  <c r="E518" i="1" a="1"/>
  <c r="E518" i="1" s="1"/>
  <c r="E517" i="1" a="1"/>
  <c r="E517" i="1" s="1"/>
  <c r="E516" i="1" a="1"/>
  <c r="E516" i="1" s="1"/>
  <c r="E515" i="1" a="1"/>
  <c r="E515" i="1" s="1"/>
  <c r="E512" i="1" a="1"/>
  <c r="E512" i="1" s="1"/>
  <c r="D588" i="1" a="1"/>
  <c r="D588" i="1" s="1"/>
  <c r="D587" i="1" a="1"/>
  <c r="D587" i="1" s="1"/>
  <c r="D586" i="1" a="1"/>
  <c r="D586" i="1" s="1"/>
  <c r="D585" i="1" a="1"/>
  <c r="D585" i="1" s="1"/>
  <c r="D584" i="1" a="1"/>
  <c r="D584" i="1" s="1"/>
  <c r="D583" i="1" a="1"/>
  <c r="D583" i="1" s="1"/>
  <c r="D582" i="1" a="1"/>
  <c r="D582" i="1" s="1"/>
  <c r="D581" i="1" a="1"/>
  <c r="D581" i="1" s="1"/>
  <c r="D580" i="1" a="1"/>
  <c r="D580" i="1" s="1"/>
  <c r="D579" i="1" a="1"/>
  <c r="D579" i="1" s="1"/>
  <c r="D578" i="1" a="1"/>
  <c r="D578" i="1" s="1"/>
  <c r="D577" i="1" a="1"/>
  <c r="D577" i="1" s="1"/>
  <c r="D576" i="1" a="1"/>
  <c r="D576" i="1" s="1"/>
  <c r="D575" i="1" a="1"/>
  <c r="D575" i="1" s="1"/>
  <c r="D574" i="1" a="1"/>
  <c r="D574" i="1" s="1"/>
  <c r="D573" i="1" a="1"/>
  <c r="D573" i="1" s="1"/>
  <c r="D572" i="1" a="1"/>
  <c r="D572" i="1" s="1"/>
  <c r="D571" i="1" a="1"/>
  <c r="D571" i="1" s="1"/>
  <c r="D543" i="1" a="1"/>
  <c r="D543" i="1" s="1"/>
  <c r="D526" i="1" a="1"/>
  <c r="D526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33" i="1" a="1"/>
  <c r="D533" i="1" s="1"/>
  <c r="D532" i="1" a="1"/>
  <c r="D532" i="1" s="1"/>
  <c r="D531" i="1" a="1"/>
  <c r="D531" i="1" s="1"/>
  <c r="D530" i="1" a="1"/>
  <c r="D530" i="1" s="1"/>
  <c r="D529" i="1" a="1"/>
  <c r="D529" i="1" s="1"/>
  <c r="D528" i="1" a="1"/>
  <c r="D528" i="1" s="1"/>
  <c r="D527" i="1" a="1"/>
  <c r="D527" i="1" s="1"/>
  <c r="D555" i="1" a="1"/>
  <c r="D555" i="1" s="1"/>
  <c r="D525" i="1" a="1"/>
  <c r="D525" i="1" s="1"/>
  <c r="D524" i="1" a="1"/>
  <c r="D524" i="1" s="1"/>
  <c r="D523" i="1" a="1"/>
  <c r="D523" i="1" s="1"/>
  <c r="D522" i="1" a="1"/>
  <c r="D522" i="1" s="1"/>
  <c r="D521" i="1" a="1"/>
  <c r="D521" i="1" s="1"/>
  <c r="D565" i="1" a="1"/>
  <c r="D56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6" i="1" a="1"/>
  <c r="D566" i="1" s="1"/>
  <c r="D508" i="1" a="1"/>
  <c r="D508" i="1" s="1"/>
  <c r="D567" i="1" a="1"/>
  <c r="D567" i="1" s="1"/>
  <c r="D509" i="1" a="1"/>
  <c r="D509" i="1" s="1"/>
  <c r="D568" i="1" a="1"/>
  <c r="D568" i="1" s="1"/>
  <c r="D510" i="1" a="1"/>
  <c r="D510" i="1" s="1"/>
  <c r="D569" i="1" a="1"/>
  <c r="D569" i="1" s="1"/>
  <c r="D511" i="1" a="1"/>
  <c r="D511" i="1" s="1"/>
  <c r="D570" i="1" a="1"/>
  <c r="D570" i="1" s="1"/>
  <c r="D512" i="1" a="1"/>
  <c r="D512" i="1" s="1"/>
  <c r="D514" i="1" a="1"/>
  <c r="D514" i="1" s="1"/>
  <c r="D515" i="1" a="1"/>
  <c r="D515" i="1" s="1"/>
  <c r="D516" i="1" a="1"/>
  <c r="D516" i="1" s="1"/>
  <c r="D517" i="1" a="1"/>
  <c r="D517" i="1" s="1"/>
  <c r="D534" i="1" a="1"/>
  <c r="D534" i="1" s="1"/>
  <c r="D518" i="1" a="1"/>
  <c r="D518" i="1" s="1"/>
  <c r="D535" i="1" a="1"/>
  <c r="D535" i="1" s="1"/>
  <c r="D519" i="1" a="1"/>
  <c r="D519" i="1" s="1"/>
  <c r="D536" i="1" a="1"/>
  <c r="D536" i="1" s="1"/>
  <c r="D520" i="1" a="1"/>
  <c r="D520" i="1" s="1"/>
  <c r="D537" i="1" a="1"/>
  <c r="D537" i="1" s="1"/>
  <c r="D539" i="1" a="1"/>
  <c r="D539" i="1" s="1"/>
  <c r="D538" i="1" a="1"/>
  <c r="D538" i="1" s="1"/>
  <c r="D513" i="1" a="1"/>
  <c r="D513" i="1" s="1"/>
  <c r="D540" i="1" a="1"/>
  <c r="D540" i="1" s="1"/>
  <c r="D541" i="1" a="1"/>
  <c r="D541" i="1" s="1"/>
  <c r="D542" i="1" a="1"/>
  <c r="D542" i="1" s="1"/>
  <c r="I499" i="1" a="1"/>
  <c r="I499" i="1" s="1"/>
  <c r="C499" i="1" a="1"/>
  <c r="C499" i="1" s="1"/>
  <c r="I494" i="1" a="1"/>
  <c r="I494" i="1" s="1"/>
  <c r="G504" i="1" a="1"/>
  <c r="G504" i="1" s="1"/>
  <c r="K504" i="1" s="1" a="1"/>
  <c r="K504" i="1" s="1"/>
  <c r="F504" i="1" a="1"/>
  <c r="F504" i="1" s="1"/>
  <c r="J504" i="1" s="1" a="1"/>
  <c r="J504" i="1" s="1"/>
  <c r="C494" i="1" a="1"/>
  <c r="C494" i="1" s="1"/>
  <c r="H483" i="1" a="1"/>
  <c r="H483" i="1" s="1"/>
  <c r="H482" i="1" a="1"/>
  <c r="H482" i="1" s="1"/>
  <c r="H481" i="1" a="1"/>
  <c r="H481" i="1" s="1"/>
  <c r="H480" i="1" a="1"/>
  <c r="H480" i="1" s="1"/>
  <c r="H479" i="1" a="1"/>
  <c r="H479" i="1" s="1"/>
  <c r="H478" i="1" a="1"/>
  <c r="H478" i="1" s="1"/>
  <c r="J478" i="1" a="1"/>
  <c r="J478" i="1" s="1"/>
  <c r="H477" i="1" a="1"/>
  <c r="H477" i="1" s="1"/>
  <c r="H476" i="1" a="1"/>
  <c r="H476" i="1" s="1"/>
  <c r="H475" i="1" a="1"/>
  <c r="H475" i="1" s="1"/>
  <c r="H474" i="1" a="1"/>
  <c r="H474" i="1" s="1"/>
  <c r="J474" i="1" a="1"/>
  <c r="J474" i="1" s="1"/>
  <c r="H473" i="1" a="1"/>
  <c r="H473" i="1" s="1"/>
  <c r="H472" i="1" a="1"/>
  <c r="H472" i="1" s="1"/>
  <c r="H471" i="1" a="1"/>
  <c r="H471" i="1" s="1"/>
  <c r="H470" i="1" a="1"/>
  <c r="H470" i="1" s="1"/>
  <c r="H469" i="1" a="1"/>
  <c r="H469" i="1" s="1"/>
  <c r="H468" i="1" a="1"/>
  <c r="H468" i="1" s="1"/>
  <c r="E506" i="1" a="1"/>
  <c r="E506" i="1" s="1"/>
  <c r="E467" i="1" a="1"/>
  <c r="E467" i="1" s="1"/>
  <c r="E466" i="1" a="1"/>
  <c r="E466" i="1" s="1"/>
  <c r="E465" i="1" a="1"/>
  <c r="E465" i="1" s="1"/>
  <c r="E464" i="1" a="1"/>
  <c r="E464" i="1" s="1"/>
  <c r="E463" i="1" a="1"/>
  <c r="E463" i="1" s="1"/>
  <c r="E462" i="1" a="1"/>
  <c r="E462" i="1" s="1"/>
  <c r="E461" i="1" a="1"/>
  <c r="E461" i="1" s="1"/>
  <c r="E460" i="1" a="1"/>
  <c r="E460" i="1" s="1"/>
  <c r="E459" i="1" a="1"/>
  <c r="E459" i="1" s="1"/>
  <c r="E458" i="1" a="1"/>
  <c r="E458" i="1" s="1"/>
  <c r="E457" i="1" a="1"/>
  <c r="E457" i="1" s="1"/>
  <c r="E456" i="1" a="1"/>
  <c r="E456" i="1" s="1"/>
  <c r="E455" i="1" a="1"/>
  <c r="E455" i="1" s="1"/>
  <c r="E454" i="1" a="1"/>
  <c r="E454" i="1" s="1"/>
  <c r="E453" i="1" a="1"/>
  <c r="E453" i="1" s="1"/>
  <c r="E452" i="1" a="1"/>
  <c r="E452" i="1" s="1"/>
  <c r="E451" i="1" a="1"/>
  <c r="E451" i="1" s="1"/>
  <c r="E450" i="1" a="1"/>
  <c r="E450" i="1" s="1"/>
  <c r="E449" i="1" a="1"/>
  <c r="E449" i="1" s="1"/>
  <c r="E448" i="1" a="1"/>
  <c r="E448" i="1" s="1"/>
  <c r="E447" i="1" a="1"/>
  <c r="E447" i="1" s="1"/>
  <c r="E446" i="1" a="1"/>
  <c r="E446" i="1" s="1"/>
  <c r="E445" i="1" a="1"/>
  <c r="E445" i="1" s="1"/>
  <c r="E444" i="1" a="1"/>
  <c r="E444" i="1" s="1"/>
  <c r="E443" i="1" a="1"/>
  <c r="E443" i="1" s="1"/>
  <c r="E442" i="1" a="1"/>
  <c r="E442" i="1" s="1"/>
  <c r="E441" i="1" a="1"/>
  <c r="E441" i="1" s="1"/>
  <c r="E440" i="1" a="1"/>
  <c r="E440" i="1" s="1"/>
  <c r="E439" i="1" a="1"/>
  <c r="E439" i="1" s="1"/>
  <c r="E438" i="1" a="1"/>
  <c r="E438" i="1" s="1"/>
  <c r="E437" i="1" a="1"/>
  <c r="E437" i="1" s="1"/>
  <c r="E436" i="1" a="1"/>
  <c r="E436" i="1" s="1"/>
  <c r="E435" i="1" a="1"/>
  <c r="E435" i="1" s="1"/>
  <c r="E434" i="1" a="1"/>
  <c r="E434" i="1" s="1"/>
  <c r="E433" i="1" a="1"/>
  <c r="E433" i="1" s="1"/>
  <c r="E432" i="1" a="1"/>
  <c r="E432" i="1" s="1"/>
  <c r="E431" i="1" a="1"/>
  <c r="E431" i="1" s="1"/>
  <c r="E430" i="1" a="1"/>
  <c r="E430" i="1" s="1"/>
  <c r="E429" i="1" a="1"/>
  <c r="E429" i="1" s="1"/>
  <c r="E428" i="1" a="1"/>
  <c r="E428" i="1" s="1"/>
  <c r="E427" i="1" a="1"/>
  <c r="E427" i="1" s="1"/>
  <c r="E426" i="1" a="1"/>
  <c r="E426" i="1" s="1"/>
  <c r="E425" i="1" a="1"/>
  <c r="E425" i="1" s="1"/>
  <c r="E424" i="1" a="1"/>
  <c r="E424" i="1" s="1"/>
  <c r="E423" i="1" a="1"/>
  <c r="E423" i="1" s="1"/>
  <c r="E422" i="1" a="1"/>
  <c r="E422" i="1" s="1"/>
  <c r="E421" i="1" a="1"/>
  <c r="E421" i="1" s="1"/>
  <c r="E420" i="1" a="1"/>
  <c r="E420" i="1" s="1"/>
  <c r="E419" i="1" a="1"/>
  <c r="E419" i="1" s="1"/>
  <c r="E418" i="1" a="1"/>
  <c r="E418" i="1" s="1"/>
  <c r="E417" i="1" a="1"/>
  <c r="E417" i="1" s="1"/>
  <c r="E416" i="1" a="1"/>
  <c r="E416" i="1" s="1"/>
  <c r="E415" i="1" a="1"/>
  <c r="E415" i="1" s="1"/>
  <c r="E414" i="1" a="1"/>
  <c r="E414" i="1" s="1"/>
  <c r="E413" i="1" a="1"/>
  <c r="E413" i="1" s="1"/>
  <c r="E412" i="1" a="1"/>
  <c r="E412" i="1" s="1"/>
  <c r="E411" i="1" a="1"/>
  <c r="E411" i="1" s="1"/>
  <c r="E410" i="1" a="1"/>
  <c r="E410" i="1" s="1"/>
  <c r="E409" i="1" a="1"/>
  <c r="E409" i="1" s="1"/>
  <c r="E408" i="1" a="1"/>
  <c r="E408" i="1" s="1"/>
  <c r="E407" i="1" a="1"/>
  <c r="E407" i="1" s="1"/>
  <c r="E406" i="1" a="1"/>
  <c r="E406" i="1" s="1"/>
  <c r="E405" i="1" a="1"/>
  <c r="E405" i="1" s="1"/>
  <c r="E404" i="1" a="1"/>
  <c r="E404" i="1" s="1"/>
  <c r="E403" i="1" a="1"/>
  <c r="E403" i="1" s="1"/>
  <c r="E402" i="1" a="1"/>
  <c r="E402" i="1" s="1"/>
  <c r="E401" i="1" a="1"/>
  <c r="E401" i="1" s="1"/>
  <c r="E400" i="1" a="1"/>
  <c r="E400" i="1" s="1"/>
  <c r="E399" i="1" a="1"/>
  <c r="E399" i="1" s="1"/>
  <c r="E398" i="1" a="1"/>
  <c r="E398" i="1" s="1"/>
  <c r="E397" i="1" a="1"/>
  <c r="E397" i="1" s="1"/>
  <c r="E396" i="1" a="1"/>
  <c r="E396" i="1" s="1"/>
  <c r="E395" i="1" a="1"/>
  <c r="E395" i="1" s="1"/>
  <c r="E394" i="1" a="1"/>
  <c r="E394" i="1" s="1"/>
  <c r="E393" i="1" a="1"/>
  <c r="E393" i="1" s="1"/>
  <c r="E392" i="1" a="1"/>
  <c r="E392" i="1" s="1"/>
  <c r="E391" i="1" a="1"/>
  <c r="E391" i="1" s="1"/>
  <c r="E390" i="1" a="1"/>
  <c r="E390" i="1" s="1"/>
  <c r="E389" i="1" a="1"/>
  <c r="E389" i="1" s="1"/>
  <c r="E388" i="1" a="1"/>
  <c r="E388" i="1" s="1"/>
  <c r="E387" i="1" a="1"/>
  <c r="E387" i="1" s="1"/>
  <c r="E386" i="1" a="1"/>
  <c r="E386" i="1" s="1"/>
  <c r="E385" i="1" a="1"/>
  <c r="E385" i="1" s="1"/>
  <c r="E384" i="1" a="1"/>
  <c r="E384" i="1" s="1"/>
  <c r="K382" i="1" a="1"/>
  <c r="K382" i="1" s="1"/>
  <c r="H382" i="1" a="1"/>
  <c r="H382" i="1" s="1"/>
  <c r="D466" i="1" a="1"/>
  <c r="D466" i="1" s="1"/>
  <c r="D467" i="1" a="1"/>
  <c r="D467" i="1" s="1"/>
  <c r="D463" i="1" a="1"/>
  <c r="D463" i="1" s="1"/>
  <c r="D433" i="1" a="1"/>
  <c r="D433" i="1" s="1"/>
  <c r="D413" i="1" a="1"/>
  <c r="D413" i="1" s="1"/>
  <c r="D450" i="1" a="1"/>
  <c r="D450" i="1" s="1"/>
  <c r="D412" i="1" a="1"/>
  <c r="D412" i="1" s="1"/>
  <c r="D432" i="1" a="1"/>
  <c r="D432" i="1" s="1"/>
  <c r="D411" i="1" a="1"/>
  <c r="D411" i="1" s="1"/>
  <c r="D442" i="1" a="1"/>
  <c r="D442" i="1" s="1"/>
  <c r="D410" i="1" a="1"/>
  <c r="D410" i="1" s="1"/>
  <c r="D431" i="1" a="1"/>
  <c r="D431" i="1" s="1"/>
  <c r="D409" i="1" a="1"/>
  <c r="D409" i="1" s="1"/>
  <c r="D447" i="1" a="1"/>
  <c r="D447" i="1" s="1"/>
  <c r="D408" i="1" a="1"/>
  <c r="D408" i="1" s="1"/>
  <c r="D430" i="1" a="1"/>
  <c r="D430" i="1" s="1"/>
  <c r="D407" i="1" a="1"/>
  <c r="D407" i="1" s="1"/>
  <c r="D441" i="1" a="1"/>
  <c r="D441" i="1" s="1"/>
  <c r="D406" i="1" a="1"/>
  <c r="D406" i="1" s="1"/>
  <c r="D429" i="1" a="1"/>
  <c r="D429" i="1" s="1"/>
  <c r="D405" i="1" a="1"/>
  <c r="D405" i="1" s="1"/>
  <c r="D451" i="1" a="1"/>
  <c r="D451" i="1" s="1"/>
  <c r="D404" i="1" a="1"/>
  <c r="D404" i="1" s="1"/>
  <c r="D428" i="1" a="1"/>
  <c r="D428" i="1" s="1"/>
  <c r="D403" i="1" a="1"/>
  <c r="D403" i="1" s="1"/>
  <c r="D440" i="1" a="1"/>
  <c r="D440" i="1" s="1"/>
  <c r="D402" i="1" a="1"/>
  <c r="D402" i="1" s="1"/>
  <c r="D427" i="1" a="1"/>
  <c r="D427" i="1" s="1"/>
  <c r="D401" i="1" a="1"/>
  <c r="D401" i="1" s="1"/>
  <c r="D446" i="1" a="1"/>
  <c r="D446" i="1" s="1"/>
  <c r="D400" i="1" a="1"/>
  <c r="D400" i="1" s="1"/>
  <c r="D426" i="1" a="1"/>
  <c r="D426" i="1" s="1"/>
  <c r="D399" i="1" a="1"/>
  <c r="D399" i="1" s="1"/>
  <c r="D439" i="1" a="1"/>
  <c r="D439" i="1" s="1"/>
  <c r="D398" i="1" a="1"/>
  <c r="D398" i="1" s="1"/>
  <c r="D425" i="1" a="1"/>
  <c r="D425" i="1" s="1"/>
  <c r="D397" i="1" a="1"/>
  <c r="D397" i="1" s="1"/>
  <c r="D449" i="1" a="1"/>
  <c r="D449" i="1" s="1"/>
  <c r="D396" i="1" a="1"/>
  <c r="D396" i="1" s="1"/>
  <c r="D424" i="1" a="1"/>
  <c r="D424" i="1" s="1"/>
  <c r="D395" i="1" a="1"/>
  <c r="D395" i="1" s="1"/>
  <c r="D438" i="1" a="1"/>
  <c r="D438" i="1" s="1"/>
  <c r="D394" i="1" a="1"/>
  <c r="D394" i="1" s="1"/>
  <c r="D423" i="1" a="1"/>
  <c r="D423" i="1" s="1"/>
  <c r="D393" i="1" a="1"/>
  <c r="D393" i="1" s="1"/>
  <c r="D445" i="1" a="1"/>
  <c r="D445" i="1" s="1"/>
  <c r="D414" i="1" a="1"/>
  <c r="D414" i="1" s="1"/>
  <c r="D422" i="1" a="1"/>
  <c r="D422" i="1" s="1"/>
  <c r="D391" i="1" a="1"/>
  <c r="D391" i="1" s="1"/>
  <c r="D437" i="1" a="1"/>
  <c r="D437" i="1" s="1"/>
  <c r="D390" i="1" a="1"/>
  <c r="D390" i="1" s="1"/>
  <c r="D421" i="1" a="1"/>
  <c r="D421" i="1" s="1"/>
  <c r="D389" i="1" a="1"/>
  <c r="D389" i="1" s="1"/>
  <c r="D452" i="1" a="1"/>
  <c r="D452" i="1" s="1"/>
  <c r="D388" i="1" a="1"/>
  <c r="D388" i="1" s="1"/>
  <c r="D420" i="1" a="1"/>
  <c r="D420" i="1" s="1"/>
  <c r="D387" i="1" a="1"/>
  <c r="D387" i="1" s="1"/>
  <c r="D436" i="1" a="1"/>
  <c r="D436" i="1" s="1"/>
  <c r="D386" i="1" a="1"/>
  <c r="D386" i="1" s="1"/>
  <c r="D419" i="1" a="1"/>
  <c r="D419" i="1" s="1"/>
  <c r="D385" i="1" a="1"/>
  <c r="D385" i="1" s="1"/>
  <c r="D444" i="1" a="1"/>
  <c r="D444" i="1" s="1"/>
  <c r="D384" i="1" a="1"/>
  <c r="D384" i="1" s="1"/>
  <c r="D418" i="1" a="1"/>
  <c r="D418" i="1" s="1"/>
  <c r="J382" i="1" a="1"/>
  <c r="J382" i="1" s="1"/>
  <c r="D435" i="1" a="1"/>
  <c r="D435" i="1" s="1"/>
  <c r="D506" i="1" a="1"/>
  <c r="D506" i="1" s="1"/>
  <c r="D392" i="1" a="1"/>
  <c r="D392" i="1" s="1"/>
  <c r="D417" i="1" a="1"/>
  <c r="D417" i="1" s="1"/>
  <c r="D448" i="1" a="1"/>
  <c r="D448" i="1" s="1"/>
  <c r="D416" i="1" a="1"/>
  <c r="D416" i="1" s="1"/>
  <c r="D434" i="1" a="1"/>
  <c r="D434" i="1" s="1"/>
  <c r="D415" i="1" a="1"/>
  <c r="D415" i="1" s="1"/>
  <c r="D443" i="1" a="1"/>
  <c r="D443" i="1" s="1"/>
  <c r="D464" i="1" a="1"/>
  <c r="D464" i="1" s="1"/>
  <c r="D465" i="1" a="1"/>
  <c r="D465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I376" i="1" a="1"/>
  <c r="I376" i="1" s="1"/>
  <c r="C376" i="1" a="1"/>
  <c r="C376" i="1" s="1"/>
  <c r="I372" i="1" a="1"/>
  <c r="I372" i="1" s="1"/>
  <c r="G382" i="1" a="1"/>
  <c r="G382" i="1" s="1"/>
  <c r="C382" i="1" s="1" a="1"/>
  <c r="C382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71" i="1" a="1"/>
  <c r="F471" i="1" s="1"/>
  <c r="F472" i="1" a="1"/>
  <c r="F472" i="1" s="1"/>
  <c r="F473" i="1" a="1"/>
  <c r="F473" i="1" s="1"/>
  <c r="F475" i="1" a="1"/>
  <c r="F475" i="1" s="1"/>
  <c r="F476" i="1" a="1"/>
  <c r="F476" i="1" s="1"/>
  <c r="F477" i="1" a="1"/>
  <c r="F477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506" i="1" a="1"/>
  <c r="F506" i="1" s="1"/>
  <c r="F468" i="1" a="1"/>
  <c r="F468" i="1" s="1"/>
  <c r="F469" i="1" a="1"/>
  <c r="F469" i="1" s="1"/>
  <c r="F470" i="1" a="1"/>
  <c r="F470" i="1" s="1"/>
  <c r="F474" i="1" a="1"/>
  <c r="F474" i="1" s="1"/>
  <c r="F478" i="1" a="1"/>
  <c r="F478" i="1" s="1"/>
  <c r="H260" i="1" a="1"/>
  <c r="H260" i="1" s="1"/>
  <c r="K260" i="1" a="1"/>
  <c r="K260" i="1" s="1"/>
  <c r="D131" i="1" a="1"/>
  <c r="D131" i="1" s="1"/>
  <c r="E131" i="1" a="1"/>
  <c r="E131" i="1" s="1"/>
  <c r="F131" i="1" a="1"/>
  <c r="F131" i="1" s="1"/>
  <c r="G131" i="1" a="1"/>
  <c r="G131" i="1" s="1"/>
  <c r="D133" i="1" a="1"/>
  <c r="D133" i="1" s="1"/>
  <c r="E133" i="1" a="1"/>
  <c r="E133" i="1" s="1"/>
  <c r="F133" i="1" a="1"/>
  <c r="F133" i="1" s="1"/>
  <c r="G133" i="1" a="1"/>
  <c r="G133" i="1" s="1"/>
  <c r="G225" i="1" a="1"/>
  <c r="G225" i="1" s="1"/>
  <c r="F229" i="1" a="1"/>
  <c r="F229" i="1" s="1"/>
  <c r="F231" i="1" a="1"/>
  <c r="F231" i="1" s="1"/>
  <c r="F232" i="1" a="1"/>
  <c r="F232" i="1" s="1"/>
  <c r="F234" i="1" a="1"/>
  <c r="F234" i="1" s="1"/>
  <c r="F225" i="1" a="1"/>
  <c r="F225" i="1" s="1"/>
  <c r="G226" i="1" a="1"/>
  <c r="G226" i="1" s="1"/>
  <c r="F228" i="1" a="1"/>
  <c r="F228" i="1" s="1"/>
  <c r="G229" i="1" a="1"/>
  <c r="G229" i="1" s="1"/>
  <c r="F230" i="1" a="1"/>
  <c r="F230" i="1" s="1"/>
  <c r="G233" i="1" a="1"/>
  <c r="G233" i="1" s="1"/>
  <c r="G235" i="1" a="1"/>
  <c r="G235" i="1" s="1"/>
  <c r="F224" i="1" a="1"/>
  <c r="F224" i="1" s="1"/>
  <c r="G224" i="1" a="1"/>
  <c r="G224" i="1" s="1"/>
  <c r="F227" i="1" a="1"/>
  <c r="F227" i="1" s="1"/>
  <c r="G228" i="1" a="1"/>
  <c r="G228" i="1" s="1"/>
  <c r="F233" i="1" a="1"/>
  <c r="F233" i="1" s="1"/>
  <c r="G234" i="1" a="1"/>
  <c r="G234" i="1" s="1"/>
  <c r="F130" i="1" a="1"/>
  <c r="F130" i="1" s="1"/>
  <c r="G130" i="1" a="1"/>
  <c r="G130" i="1" s="1"/>
  <c r="F132" i="1" a="1"/>
  <c r="F132" i="1" s="1"/>
  <c r="G132" i="1" a="1"/>
  <c r="G132" i="1" s="1"/>
  <c r="F136" i="1" a="1"/>
  <c r="F136" i="1" s="1"/>
  <c r="G136" i="1" a="1"/>
  <c r="G136" i="1" s="1"/>
  <c r="F137" i="1" a="1"/>
  <c r="F137" i="1" s="1"/>
  <c r="G137" i="1" a="1"/>
  <c r="G137" i="1" s="1"/>
  <c r="F138" i="1" a="1"/>
  <c r="F138" i="1" s="1"/>
  <c r="G138" i="1" a="1"/>
  <c r="G138" i="1" s="1"/>
  <c r="F139" i="1" a="1"/>
  <c r="F139" i="1" s="1"/>
  <c r="G139" i="1" a="1"/>
  <c r="G139" i="1" s="1"/>
  <c r="F140" i="1" a="1"/>
  <c r="F140" i="1" s="1"/>
  <c r="G140" i="1" a="1"/>
  <c r="G140" i="1" s="1"/>
  <c r="F141" i="1" a="1"/>
  <c r="F141" i="1" s="1"/>
  <c r="G141" i="1" a="1"/>
  <c r="G141" i="1" s="1"/>
  <c r="F142" i="1" a="1"/>
  <c r="F142" i="1" s="1"/>
  <c r="G142" i="1" a="1"/>
  <c r="G142" i="1" s="1"/>
  <c r="F143" i="1" a="1"/>
  <c r="F143" i="1" s="1"/>
  <c r="G143" i="1" a="1"/>
  <c r="G143" i="1" s="1"/>
  <c r="F144" i="1" a="1"/>
  <c r="F144" i="1" s="1"/>
  <c r="G144" i="1" a="1"/>
  <c r="G144" i="1" s="1"/>
  <c r="F145" i="1" a="1"/>
  <c r="F145" i="1" s="1"/>
  <c r="G145" i="1" a="1"/>
  <c r="G145" i="1" s="1"/>
  <c r="F146" i="1" a="1"/>
  <c r="F146" i="1" s="1"/>
  <c r="G146" i="1" a="1"/>
  <c r="G146" i="1" s="1"/>
  <c r="F147" i="1" a="1"/>
  <c r="F147" i="1" s="1"/>
  <c r="G147" i="1" a="1"/>
  <c r="G147" i="1" s="1"/>
  <c r="F148" i="1" a="1"/>
  <c r="F148" i="1" s="1"/>
  <c r="G148" i="1" a="1"/>
  <c r="G148" i="1" s="1"/>
  <c r="F149" i="1" a="1"/>
  <c r="F149" i="1" s="1"/>
  <c r="G149" i="1" a="1"/>
  <c r="G149" i="1" s="1"/>
  <c r="F150" i="1" a="1"/>
  <c r="F150" i="1" s="1"/>
  <c r="G150" i="1" a="1"/>
  <c r="G150" i="1" s="1"/>
  <c r="F151" i="1" a="1"/>
  <c r="F151" i="1" s="1"/>
  <c r="G151" i="1" a="1"/>
  <c r="G151" i="1" s="1"/>
  <c r="F152" i="1" a="1"/>
  <c r="F152" i="1" s="1"/>
  <c r="G152" i="1" a="1"/>
  <c r="G152" i="1" s="1"/>
  <c r="F153" i="1" a="1"/>
  <c r="F153" i="1" s="1"/>
  <c r="G153" i="1" a="1"/>
  <c r="G153" i="1" s="1"/>
  <c r="F154" i="1" a="1"/>
  <c r="F154" i="1" s="1"/>
  <c r="G154" i="1" a="1"/>
  <c r="G154" i="1" s="1"/>
  <c r="F155" i="1" a="1"/>
  <c r="F155" i="1" s="1"/>
  <c r="G155" i="1" a="1"/>
  <c r="G155" i="1" s="1"/>
  <c r="F156" i="1" a="1"/>
  <c r="F156" i="1" s="1"/>
  <c r="G156" i="1" a="1"/>
  <c r="G156" i="1" s="1"/>
  <c r="F157" i="1" a="1"/>
  <c r="F157" i="1" s="1"/>
  <c r="G157" i="1" a="1"/>
  <c r="G157" i="1" s="1"/>
  <c r="F158" i="1" a="1"/>
  <c r="F158" i="1" s="1"/>
  <c r="G158" i="1" a="1"/>
  <c r="G158" i="1" s="1"/>
  <c r="F159" i="1" a="1"/>
  <c r="F159" i="1" s="1"/>
  <c r="G159" i="1" a="1"/>
  <c r="G159" i="1" s="1"/>
  <c r="F160" i="1" a="1"/>
  <c r="F160" i="1" s="1"/>
  <c r="G160" i="1" a="1"/>
  <c r="G160" i="1" s="1"/>
  <c r="F161" i="1" a="1"/>
  <c r="F161" i="1" s="1"/>
  <c r="G161" i="1" a="1"/>
  <c r="G161" i="1" s="1"/>
  <c r="F162" i="1" a="1"/>
  <c r="F162" i="1" s="1"/>
  <c r="G162" i="1" a="1"/>
  <c r="G162" i="1" s="1"/>
  <c r="F163" i="1" a="1"/>
  <c r="F163" i="1" s="1"/>
  <c r="G163" i="1" a="1"/>
  <c r="G163" i="1" s="1"/>
  <c r="F164" i="1" a="1"/>
  <c r="F164" i="1" s="1"/>
  <c r="G164" i="1" a="1"/>
  <c r="G164" i="1" s="1"/>
  <c r="F165" i="1" a="1"/>
  <c r="F165" i="1" s="1"/>
  <c r="G165" i="1" a="1"/>
  <c r="G165" i="1" s="1"/>
  <c r="F166" i="1" a="1"/>
  <c r="F166" i="1" s="1"/>
  <c r="G166" i="1" a="1"/>
  <c r="G166" i="1" s="1"/>
  <c r="F167" i="1" a="1"/>
  <c r="F167" i="1" s="1"/>
  <c r="G167" i="1" a="1"/>
  <c r="G167" i="1" s="1"/>
  <c r="F168" i="1" a="1"/>
  <c r="F168" i="1" s="1"/>
  <c r="G168" i="1" a="1"/>
  <c r="G168" i="1" s="1"/>
  <c r="F169" i="1" a="1"/>
  <c r="F169" i="1" s="1"/>
  <c r="G169" i="1" a="1"/>
  <c r="G169" i="1" s="1"/>
  <c r="F170" i="1" a="1"/>
  <c r="F170" i="1" s="1"/>
  <c r="G170" i="1" a="1"/>
  <c r="G170" i="1" s="1"/>
  <c r="F171" i="1" a="1"/>
  <c r="F171" i="1" s="1"/>
  <c r="G171" i="1" a="1"/>
  <c r="G171" i="1" s="1"/>
  <c r="F172" i="1" a="1"/>
  <c r="F172" i="1" s="1"/>
  <c r="G172" i="1" a="1"/>
  <c r="G172" i="1" s="1"/>
  <c r="F173" i="1" a="1"/>
  <c r="F173" i="1" s="1"/>
  <c r="G173" i="1" a="1"/>
  <c r="G173" i="1" s="1"/>
  <c r="F174" i="1" a="1"/>
  <c r="F174" i="1" s="1"/>
  <c r="G174" i="1" a="1"/>
  <c r="G174" i="1" s="1"/>
  <c r="F175" i="1" a="1"/>
  <c r="F175" i="1" s="1"/>
  <c r="G175" i="1" a="1"/>
  <c r="G175" i="1" s="1"/>
  <c r="F176" i="1" a="1"/>
  <c r="F176" i="1" s="1"/>
  <c r="G176" i="1" a="1"/>
  <c r="G176" i="1" s="1"/>
  <c r="F177" i="1" a="1"/>
  <c r="F177" i="1" s="1"/>
  <c r="G177" i="1" a="1"/>
  <c r="G177" i="1" s="1"/>
  <c r="F178" i="1" a="1"/>
  <c r="F178" i="1" s="1"/>
  <c r="G178" i="1" a="1"/>
  <c r="G178" i="1" s="1"/>
  <c r="F179" i="1" a="1"/>
  <c r="F179" i="1" s="1"/>
  <c r="G179" i="1" a="1"/>
  <c r="G179" i="1" s="1"/>
  <c r="F180" i="1" a="1"/>
  <c r="F180" i="1" s="1"/>
  <c r="G180" i="1" a="1"/>
  <c r="G180" i="1" s="1"/>
  <c r="F181" i="1" a="1"/>
  <c r="F181" i="1" s="1"/>
  <c r="G181" i="1" a="1"/>
  <c r="G181" i="1" s="1"/>
  <c r="F182" i="1" a="1"/>
  <c r="F182" i="1" s="1"/>
  <c r="G182" i="1" a="1"/>
  <c r="G182" i="1" s="1"/>
  <c r="F183" i="1" a="1"/>
  <c r="F183" i="1" s="1"/>
  <c r="G183" i="1" a="1"/>
  <c r="G183" i="1" s="1"/>
  <c r="F184" i="1" a="1"/>
  <c r="F184" i="1" s="1"/>
  <c r="G184" i="1" a="1"/>
  <c r="G184" i="1" s="1"/>
  <c r="F185" i="1" a="1"/>
  <c r="F185" i="1" s="1"/>
  <c r="G185" i="1" a="1"/>
  <c r="G185" i="1" s="1"/>
  <c r="F186" i="1" a="1"/>
  <c r="F186" i="1" s="1"/>
  <c r="G186" i="1" a="1"/>
  <c r="G186" i="1" s="1"/>
  <c r="F187" i="1" a="1"/>
  <c r="F187" i="1" s="1"/>
  <c r="G187" i="1" a="1"/>
  <c r="G187" i="1" s="1"/>
  <c r="F188" i="1" a="1"/>
  <c r="F188" i="1" s="1"/>
  <c r="G188" i="1" a="1"/>
  <c r="G188" i="1" s="1"/>
  <c r="F189" i="1" a="1"/>
  <c r="F189" i="1" s="1"/>
  <c r="G189" i="1" a="1"/>
  <c r="G189" i="1" s="1"/>
  <c r="F190" i="1" a="1"/>
  <c r="F190" i="1" s="1"/>
  <c r="G190" i="1" a="1"/>
  <c r="G190" i="1" s="1"/>
  <c r="F191" i="1" a="1"/>
  <c r="F191" i="1" s="1"/>
  <c r="G191" i="1" a="1"/>
  <c r="G191" i="1" s="1"/>
  <c r="F192" i="1" a="1"/>
  <c r="F192" i="1" s="1"/>
  <c r="G192" i="1" a="1"/>
  <c r="G192" i="1" s="1"/>
  <c r="F193" i="1" a="1"/>
  <c r="F193" i="1" s="1"/>
  <c r="G193" i="1" a="1"/>
  <c r="G193" i="1" s="1"/>
  <c r="F194" i="1" a="1"/>
  <c r="F194" i="1" s="1"/>
  <c r="G194" i="1" a="1"/>
  <c r="G194" i="1" s="1"/>
  <c r="F195" i="1" a="1"/>
  <c r="F195" i="1" s="1"/>
  <c r="G195" i="1" a="1"/>
  <c r="G195" i="1" s="1"/>
  <c r="F196" i="1" a="1"/>
  <c r="F196" i="1" s="1"/>
  <c r="G196" i="1" a="1"/>
  <c r="G196" i="1" s="1"/>
  <c r="F197" i="1" a="1"/>
  <c r="F197" i="1" s="1"/>
  <c r="G197" i="1" a="1"/>
  <c r="G197" i="1" s="1"/>
  <c r="F198" i="1" a="1"/>
  <c r="F198" i="1" s="1"/>
  <c r="G198" i="1" a="1"/>
  <c r="G198" i="1" s="1"/>
  <c r="F199" i="1" a="1"/>
  <c r="F199" i="1" s="1"/>
  <c r="G199" i="1" a="1"/>
  <c r="G199" i="1" s="1"/>
  <c r="F200" i="1" a="1"/>
  <c r="F200" i="1" s="1"/>
  <c r="G200" i="1" a="1"/>
  <c r="G200" i="1" s="1"/>
  <c r="F201" i="1" a="1"/>
  <c r="F201" i="1" s="1"/>
  <c r="G201" i="1" a="1"/>
  <c r="G201" i="1" s="1"/>
  <c r="F202" i="1" a="1"/>
  <c r="F202" i="1" s="1"/>
  <c r="G202" i="1" a="1"/>
  <c r="G202" i="1" s="1"/>
  <c r="F203" i="1" a="1"/>
  <c r="F203" i="1" s="1"/>
  <c r="G203" i="1" a="1"/>
  <c r="G203" i="1" s="1"/>
  <c r="F204" i="1" a="1"/>
  <c r="F204" i="1" s="1"/>
  <c r="G204" i="1" a="1"/>
  <c r="G204" i="1" s="1"/>
  <c r="F205" i="1" a="1"/>
  <c r="F205" i="1" s="1"/>
  <c r="G205" i="1" a="1"/>
  <c r="G205" i="1" s="1"/>
  <c r="F206" i="1" a="1"/>
  <c r="F206" i="1" s="1"/>
  <c r="G206" i="1" a="1"/>
  <c r="G206" i="1" s="1"/>
  <c r="F207" i="1" a="1"/>
  <c r="F207" i="1" s="1"/>
  <c r="G207" i="1" a="1"/>
  <c r="G207" i="1" s="1"/>
  <c r="F208" i="1" a="1"/>
  <c r="F208" i="1" s="1"/>
  <c r="G208" i="1" a="1"/>
  <c r="G208" i="1" s="1"/>
  <c r="F209" i="1" a="1"/>
  <c r="F209" i="1" s="1"/>
  <c r="G209" i="1" a="1"/>
  <c r="G209" i="1" s="1"/>
  <c r="F210" i="1" a="1"/>
  <c r="F210" i="1" s="1"/>
  <c r="G210" i="1" a="1"/>
  <c r="G210" i="1" s="1"/>
  <c r="F211" i="1" a="1"/>
  <c r="F211" i="1" s="1"/>
  <c r="G211" i="1" a="1"/>
  <c r="G211" i="1" s="1"/>
  <c r="F212" i="1" a="1"/>
  <c r="F212" i="1" s="1"/>
  <c r="G212" i="1" a="1"/>
  <c r="G212" i="1" s="1"/>
  <c r="F213" i="1" a="1"/>
  <c r="F213" i="1" s="1"/>
  <c r="G213" i="1" a="1"/>
  <c r="G213" i="1" s="1"/>
  <c r="F214" i="1" a="1"/>
  <c r="F214" i="1" s="1"/>
  <c r="G214" i="1" a="1"/>
  <c r="G214" i="1" s="1"/>
  <c r="F215" i="1" a="1"/>
  <c r="F215" i="1" s="1"/>
  <c r="G215" i="1" a="1"/>
  <c r="G215" i="1" s="1"/>
  <c r="F216" i="1" a="1"/>
  <c r="F216" i="1" s="1"/>
  <c r="G216" i="1" a="1"/>
  <c r="G216" i="1" s="1"/>
  <c r="F217" i="1" a="1"/>
  <c r="F217" i="1" s="1"/>
  <c r="G217" i="1" a="1"/>
  <c r="G217" i="1" s="1"/>
  <c r="F218" i="1" a="1"/>
  <c r="F218" i="1" s="1"/>
  <c r="G218" i="1" a="1"/>
  <c r="G218" i="1" s="1"/>
  <c r="F219" i="1" a="1"/>
  <c r="F219" i="1" s="1"/>
  <c r="G219" i="1" a="1"/>
  <c r="G219" i="1" s="1"/>
  <c r="F220" i="1" a="1"/>
  <c r="F220" i="1" s="1"/>
  <c r="G220" i="1" a="1"/>
  <c r="G220" i="1" s="1"/>
  <c r="F221" i="1" a="1"/>
  <c r="F221" i="1" s="1"/>
  <c r="G221" i="1" a="1"/>
  <c r="G221" i="1" s="1"/>
  <c r="F222" i="1" a="1"/>
  <c r="F222" i="1" s="1"/>
  <c r="G222" i="1" a="1"/>
  <c r="G222" i="1" s="1"/>
  <c r="F223" i="1" a="1"/>
  <c r="F223" i="1" s="1"/>
  <c r="G223" i="1" a="1"/>
  <c r="G223" i="1" s="1"/>
  <c r="I243" i="1" a="1"/>
  <c r="I243" i="1" s="1"/>
  <c r="F226" i="1" a="1"/>
  <c r="F226" i="1" s="1"/>
  <c r="G227" i="1" a="1"/>
  <c r="G227" i="1" s="1"/>
  <c r="G230" i="1" a="1"/>
  <c r="G230" i="1" s="1"/>
  <c r="G231" i="1" a="1"/>
  <c r="G231" i="1" s="1"/>
  <c r="G232" i="1" a="1"/>
  <c r="G232" i="1" s="1"/>
  <c r="F235" i="1" a="1"/>
  <c r="F235" i="1" s="1"/>
  <c r="D228" i="1" a="1"/>
  <c r="D228" i="1" s="1"/>
  <c r="C228" i="1" s="1" a="1"/>
  <c r="C228" i="1" s="1"/>
  <c r="D229" i="1" a="1"/>
  <c r="D229" i="1" s="1"/>
  <c r="C229" i="1" s="1" a="1"/>
  <c r="C229" i="1" s="1"/>
  <c r="D232" i="1" a="1"/>
  <c r="D232" i="1" s="1"/>
  <c r="C232" i="1" s="1" a="1"/>
  <c r="C232" i="1" s="1"/>
  <c r="D234" i="1" a="1"/>
  <c r="D234" i="1" s="1"/>
  <c r="C234" i="1" s="1" a="1"/>
  <c r="C234" i="1" s="1"/>
  <c r="E235" i="1" a="1"/>
  <c r="E235" i="1" s="1"/>
  <c r="D130" i="1" a="1"/>
  <c r="D130" i="1" s="1"/>
  <c r="E130" i="1" a="1"/>
  <c r="E130" i="1" s="1"/>
  <c r="D132" i="1" a="1"/>
  <c r="D132" i="1" s="1"/>
  <c r="E132" i="1" a="1"/>
  <c r="E132" i="1" s="1"/>
  <c r="D136" i="1" a="1"/>
  <c r="D136" i="1" s="1"/>
  <c r="E136" i="1" a="1"/>
  <c r="E136" i="1" s="1"/>
  <c r="D137" i="1" a="1"/>
  <c r="D137" i="1" s="1"/>
  <c r="E137" i="1" a="1"/>
  <c r="E137" i="1" s="1"/>
  <c r="D138" i="1" a="1"/>
  <c r="D138" i="1" s="1"/>
  <c r="E138" i="1" a="1"/>
  <c r="E138" i="1" s="1"/>
  <c r="D139" i="1" a="1"/>
  <c r="D139" i="1" s="1"/>
  <c r="E139" i="1" a="1"/>
  <c r="E139" i="1" s="1"/>
  <c r="D140" i="1" a="1"/>
  <c r="D140" i="1" s="1"/>
  <c r="E140" i="1" a="1"/>
  <c r="E140" i="1" s="1"/>
  <c r="D141" i="1" a="1"/>
  <c r="D141" i="1" s="1"/>
  <c r="E141" i="1" a="1"/>
  <c r="E141" i="1" s="1"/>
  <c r="D142" i="1" a="1"/>
  <c r="D142" i="1" s="1"/>
  <c r="E142" i="1" a="1"/>
  <c r="E142" i="1" s="1"/>
  <c r="D143" i="1" a="1"/>
  <c r="D143" i="1" s="1"/>
  <c r="E143" i="1" a="1"/>
  <c r="E143" i="1" s="1"/>
  <c r="D144" i="1" a="1"/>
  <c r="D144" i="1" s="1"/>
  <c r="E144" i="1" a="1"/>
  <c r="E144" i="1" s="1"/>
  <c r="D145" i="1" a="1"/>
  <c r="D145" i="1" s="1"/>
  <c r="E145" i="1" a="1"/>
  <c r="E145" i="1" s="1"/>
  <c r="D146" i="1" a="1"/>
  <c r="D146" i="1" s="1"/>
  <c r="E146" i="1" a="1"/>
  <c r="E146" i="1" s="1"/>
  <c r="D147" i="1" a="1"/>
  <c r="D147" i="1" s="1"/>
  <c r="E147" i="1" a="1"/>
  <c r="E147" i="1" s="1"/>
  <c r="D148" i="1" a="1"/>
  <c r="D148" i="1" s="1"/>
  <c r="E148" i="1" a="1"/>
  <c r="E148" i="1" s="1"/>
  <c r="D149" i="1" a="1"/>
  <c r="D149" i="1" s="1"/>
  <c r="E149" i="1" a="1"/>
  <c r="E149" i="1" s="1"/>
  <c r="D150" i="1" a="1"/>
  <c r="D150" i="1" s="1"/>
  <c r="C150" i="1" s="1" a="1"/>
  <c r="C150" i="1" s="1"/>
  <c r="E150" i="1" a="1"/>
  <c r="E150" i="1" s="1"/>
  <c r="D151" i="1" a="1"/>
  <c r="D151" i="1" s="1"/>
  <c r="E151" i="1" a="1"/>
  <c r="E151" i="1" s="1"/>
  <c r="D152" i="1" a="1"/>
  <c r="D152" i="1" s="1"/>
  <c r="E152" i="1" a="1"/>
  <c r="E152" i="1" s="1"/>
  <c r="D153" i="1" a="1"/>
  <c r="D153" i="1" s="1"/>
  <c r="E153" i="1" a="1"/>
  <c r="E153" i="1" s="1"/>
  <c r="D154" i="1" a="1"/>
  <c r="D154" i="1" s="1"/>
  <c r="E154" i="1" a="1"/>
  <c r="E154" i="1" s="1"/>
  <c r="D155" i="1" a="1"/>
  <c r="D155" i="1" s="1"/>
  <c r="E155" i="1" a="1"/>
  <c r="E155" i="1" s="1"/>
  <c r="D156" i="1" a="1"/>
  <c r="D156" i="1" s="1"/>
  <c r="E156" i="1" a="1"/>
  <c r="E156" i="1" s="1"/>
  <c r="D157" i="1" a="1"/>
  <c r="D157" i="1" s="1"/>
  <c r="E157" i="1" a="1"/>
  <c r="E157" i="1" s="1"/>
  <c r="D158" i="1" a="1"/>
  <c r="D158" i="1" s="1"/>
  <c r="E158" i="1" a="1"/>
  <c r="E158" i="1" s="1"/>
  <c r="D159" i="1" a="1"/>
  <c r="D159" i="1" s="1"/>
  <c r="E159" i="1" a="1"/>
  <c r="E159" i="1" s="1"/>
  <c r="D160" i="1" a="1"/>
  <c r="D160" i="1" s="1"/>
  <c r="E160" i="1" a="1"/>
  <c r="E160" i="1" s="1"/>
  <c r="D161" i="1" a="1"/>
  <c r="D161" i="1" s="1"/>
  <c r="E161" i="1" a="1"/>
  <c r="E161" i="1" s="1"/>
  <c r="D162" i="1" a="1"/>
  <c r="D162" i="1" s="1"/>
  <c r="E162" i="1" a="1"/>
  <c r="E162" i="1" s="1"/>
  <c r="D163" i="1" a="1"/>
  <c r="D163" i="1" s="1"/>
  <c r="E163" i="1" a="1"/>
  <c r="E163" i="1" s="1"/>
  <c r="D164" i="1" a="1"/>
  <c r="D164" i="1" s="1"/>
  <c r="E164" i="1" a="1"/>
  <c r="E164" i="1" s="1"/>
  <c r="D165" i="1" a="1"/>
  <c r="D165" i="1" s="1"/>
  <c r="E165" i="1" a="1"/>
  <c r="E165" i="1" s="1"/>
  <c r="D166" i="1" a="1"/>
  <c r="D166" i="1" s="1"/>
  <c r="E166" i="1" a="1"/>
  <c r="E166" i="1" s="1"/>
  <c r="D167" i="1" a="1"/>
  <c r="D167" i="1" s="1"/>
  <c r="E167" i="1" a="1"/>
  <c r="E167" i="1" s="1"/>
  <c r="D168" i="1" a="1"/>
  <c r="D168" i="1" s="1"/>
  <c r="E168" i="1" a="1"/>
  <c r="E168" i="1" s="1"/>
  <c r="D169" i="1" a="1"/>
  <c r="D169" i="1" s="1"/>
  <c r="E169" i="1" a="1"/>
  <c r="E169" i="1" s="1"/>
  <c r="D170" i="1" a="1"/>
  <c r="D170" i="1" s="1"/>
  <c r="E170" i="1" a="1"/>
  <c r="E170" i="1" s="1"/>
  <c r="D171" i="1" a="1"/>
  <c r="D171" i="1" s="1"/>
  <c r="E171" i="1" a="1"/>
  <c r="E171" i="1" s="1"/>
  <c r="D172" i="1" a="1"/>
  <c r="D172" i="1" s="1"/>
  <c r="E172" i="1" a="1"/>
  <c r="E172" i="1" s="1"/>
  <c r="D173" i="1" a="1"/>
  <c r="D173" i="1" s="1"/>
  <c r="E173" i="1" a="1"/>
  <c r="E173" i="1" s="1"/>
  <c r="D174" i="1" a="1"/>
  <c r="D174" i="1" s="1"/>
  <c r="E174" i="1" a="1"/>
  <c r="E174" i="1" s="1"/>
  <c r="D175" i="1" a="1"/>
  <c r="D175" i="1" s="1"/>
  <c r="E175" i="1" a="1"/>
  <c r="E175" i="1" s="1"/>
  <c r="D176" i="1" a="1"/>
  <c r="D176" i="1" s="1"/>
  <c r="E176" i="1" a="1"/>
  <c r="E176" i="1" s="1"/>
  <c r="D177" i="1" a="1"/>
  <c r="D177" i="1" s="1"/>
  <c r="E177" i="1" a="1"/>
  <c r="E177" i="1" s="1"/>
  <c r="D178" i="1" a="1"/>
  <c r="D178" i="1" s="1"/>
  <c r="E178" i="1" a="1"/>
  <c r="E178" i="1" s="1"/>
  <c r="D179" i="1" a="1"/>
  <c r="D179" i="1" s="1"/>
  <c r="E179" i="1" a="1"/>
  <c r="E179" i="1" s="1"/>
  <c r="D180" i="1" a="1"/>
  <c r="D180" i="1" s="1"/>
  <c r="E180" i="1" a="1"/>
  <c r="E180" i="1" s="1"/>
  <c r="D181" i="1" a="1"/>
  <c r="D181" i="1" s="1"/>
  <c r="E181" i="1" a="1"/>
  <c r="E181" i="1" s="1"/>
  <c r="D182" i="1" a="1"/>
  <c r="D182" i="1" s="1"/>
  <c r="E182" i="1" a="1"/>
  <c r="E182" i="1" s="1"/>
  <c r="D183" i="1" a="1"/>
  <c r="D183" i="1" s="1"/>
  <c r="E183" i="1" a="1"/>
  <c r="E183" i="1" s="1"/>
  <c r="D184" i="1" a="1"/>
  <c r="D184" i="1" s="1"/>
  <c r="E184" i="1" a="1"/>
  <c r="E184" i="1" s="1"/>
  <c r="D185" i="1" a="1"/>
  <c r="D185" i="1" s="1"/>
  <c r="E185" i="1" a="1"/>
  <c r="E185" i="1" s="1"/>
  <c r="D186" i="1" a="1"/>
  <c r="D186" i="1" s="1"/>
  <c r="E186" i="1" a="1"/>
  <c r="E186" i="1" s="1"/>
  <c r="D187" i="1" a="1"/>
  <c r="D187" i="1" s="1"/>
  <c r="E187" i="1" a="1"/>
  <c r="E187" i="1" s="1"/>
  <c r="D188" i="1" a="1"/>
  <c r="D188" i="1" s="1"/>
  <c r="E188" i="1" a="1"/>
  <c r="E188" i="1" s="1"/>
  <c r="D189" i="1" a="1"/>
  <c r="D189" i="1" s="1"/>
  <c r="E189" i="1" a="1"/>
  <c r="E189" i="1" s="1"/>
  <c r="D190" i="1" a="1"/>
  <c r="D190" i="1" s="1"/>
  <c r="E190" i="1" a="1"/>
  <c r="E190" i="1" s="1"/>
  <c r="D191" i="1" a="1"/>
  <c r="D191" i="1" s="1"/>
  <c r="E191" i="1" a="1"/>
  <c r="E191" i="1" s="1"/>
  <c r="D192" i="1" a="1"/>
  <c r="D192" i="1" s="1"/>
  <c r="E192" i="1" a="1"/>
  <c r="E192" i="1" s="1"/>
  <c r="D193" i="1" a="1"/>
  <c r="D193" i="1" s="1"/>
  <c r="E193" i="1" a="1"/>
  <c r="E193" i="1" s="1"/>
  <c r="D194" i="1" a="1"/>
  <c r="D194" i="1" s="1"/>
  <c r="E194" i="1" a="1"/>
  <c r="E194" i="1" s="1"/>
  <c r="D195" i="1" a="1"/>
  <c r="D195" i="1" s="1"/>
  <c r="E195" i="1" a="1"/>
  <c r="E195" i="1" s="1"/>
  <c r="D196" i="1" a="1"/>
  <c r="D196" i="1" s="1"/>
  <c r="E196" i="1" a="1"/>
  <c r="E196" i="1" s="1"/>
  <c r="D197" i="1" a="1"/>
  <c r="D197" i="1" s="1"/>
  <c r="E197" i="1" a="1"/>
  <c r="E197" i="1" s="1"/>
  <c r="D198" i="1" a="1"/>
  <c r="D198" i="1" s="1"/>
  <c r="E198" i="1" a="1"/>
  <c r="E198" i="1" s="1"/>
  <c r="D199" i="1" a="1"/>
  <c r="D199" i="1" s="1"/>
  <c r="E199" i="1" a="1"/>
  <c r="E199" i="1" s="1"/>
  <c r="D200" i="1" a="1"/>
  <c r="D200" i="1" s="1"/>
  <c r="E200" i="1" a="1"/>
  <c r="E200" i="1" s="1"/>
  <c r="D201" i="1" a="1"/>
  <c r="D201" i="1" s="1"/>
  <c r="E201" i="1" a="1"/>
  <c r="E201" i="1" s="1"/>
  <c r="D202" i="1" a="1"/>
  <c r="D202" i="1" s="1"/>
  <c r="E202" i="1" a="1"/>
  <c r="E202" i="1" s="1"/>
  <c r="D203" i="1" a="1"/>
  <c r="D203" i="1" s="1"/>
  <c r="E203" i="1" a="1"/>
  <c r="E203" i="1" s="1"/>
  <c r="D204" i="1" a="1"/>
  <c r="D204" i="1" s="1"/>
  <c r="E204" i="1" a="1"/>
  <c r="E204" i="1" s="1"/>
  <c r="D205" i="1" a="1"/>
  <c r="D205" i="1" s="1"/>
  <c r="E205" i="1" a="1"/>
  <c r="E205" i="1" s="1"/>
  <c r="D206" i="1" a="1"/>
  <c r="D206" i="1" s="1"/>
  <c r="E206" i="1" a="1"/>
  <c r="E206" i="1" s="1"/>
  <c r="D207" i="1" a="1"/>
  <c r="D207" i="1" s="1"/>
  <c r="E207" i="1" a="1"/>
  <c r="E207" i="1" s="1"/>
  <c r="D208" i="1" a="1"/>
  <c r="D208" i="1" s="1"/>
  <c r="E208" i="1" a="1"/>
  <c r="E208" i="1" s="1"/>
  <c r="D209" i="1" a="1"/>
  <c r="D209" i="1" s="1"/>
  <c r="E209" i="1" a="1"/>
  <c r="E209" i="1" s="1"/>
  <c r="D210" i="1" a="1"/>
  <c r="D210" i="1" s="1"/>
  <c r="E210" i="1" a="1"/>
  <c r="E210" i="1" s="1"/>
  <c r="D211" i="1" a="1"/>
  <c r="D211" i="1" s="1"/>
  <c r="E211" i="1" a="1"/>
  <c r="E211" i="1" s="1"/>
  <c r="D212" i="1" a="1"/>
  <c r="D212" i="1" s="1"/>
  <c r="E212" i="1" a="1"/>
  <c r="E212" i="1" s="1"/>
  <c r="D213" i="1" a="1"/>
  <c r="D213" i="1" s="1"/>
  <c r="E213" i="1" a="1"/>
  <c r="E213" i="1" s="1"/>
  <c r="D214" i="1" a="1"/>
  <c r="D214" i="1" s="1"/>
  <c r="E214" i="1" a="1"/>
  <c r="E214" i="1" s="1"/>
  <c r="D215" i="1" a="1"/>
  <c r="D215" i="1" s="1"/>
  <c r="E215" i="1" a="1"/>
  <c r="E215" i="1" s="1"/>
  <c r="D216" i="1" a="1"/>
  <c r="D216" i="1" s="1"/>
  <c r="E216" i="1" a="1"/>
  <c r="E216" i="1" s="1"/>
  <c r="D217" i="1" a="1"/>
  <c r="D217" i="1" s="1"/>
  <c r="E217" i="1" a="1"/>
  <c r="E217" i="1" s="1"/>
  <c r="D218" i="1" a="1"/>
  <c r="D218" i="1" s="1"/>
  <c r="E218" i="1" a="1"/>
  <c r="E218" i="1" s="1"/>
  <c r="D219" i="1" a="1"/>
  <c r="D219" i="1" s="1"/>
  <c r="E219" i="1" a="1"/>
  <c r="E219" i="1" s="1"/>
  <c r="D220" i="1" a="1"/>
  <c r="D220" i="1" s="1"/>
  <c r="E220" i="1" a="1"/>
  <c r="E220" i="1" s="1"/>
  <c r="D221" i="1" a="1"/>
  <c r="D221" i="1" s="1"/>
  <c r="E221" i="1" a="1"/>
  <c r="E221" i="1" s="1"/>
  <c r="D222" i="1" a="1"/>
  <c r="D222" i="1" s="1"/>
  <c r="E222" i="1" a="1"/>
  <c r="E222" i="1" s="1"/>
  <c r="D223" i="1" a="1"/>
  <c r="D223" i="1" s="1"/>
  <c r="E223" i="1" a="1"/>
  <c r="E223" i="1" s="1"/>
  <c r="D224" i="1" a="1"/>
  <c r="D224" i="1" s="1"/>
  <c r="E224" i="1" a="1"/>
  <c r="E224" i="1" s="1"/>
  <c r="H243" i="1" a="1"/>
  <c r="H243" i="1" s="1"/>
  <c r="E225" i="1" a="1"/>
  <c r="E225" i="1" s="1"/>
  <c r="D227" i="1" a="1"/>
  <c r="D227" i="1" s="1"/>
  <c r="E228" i="1" a="1"/>
  <c r="E228" i="1" s="1"/>
  <c r="E229" i="1" a="1"/>
  <c r="E229" i="1" s="1"/>
  <c r="D231" i="1" a="1"/>
  <c r="D231" i="1" s="1"/>
  <c r="E232" i="1" a="1"/>
  <c r="E232" i="1" s="1"/>
  <c r="E233" i="1" a="1"/>
  <c r="E233" i="1" s="1"/>
  <c r="E234" i="1" a="1"/>
  <c r="E234" i="1" s="1"/>
  <c r="D226" i="1" a="1"/>
  <c r="D226" i="1" s="1"/>
  <c r="D230" i="1" a="1"/>
  <c r="D230" i="1" s="1"/>
  <c r="D235" i="1" a="1"/>
  <c r="D235" i="1" s="1"/>
  <c r="D225" i="1" a="1"/>
  <c r="D225" i="1" s="1"/>
  <c r="C225" i="1" s="1" a="1"/>
  <c r="C225" i="1" s="1"/>
  <c r="E226" i="1" a="1"/>
  <c r="E226" i="1" s="1"/>
  <c r="E227" i="1" a="1"/>
  <c r="E227" i="1" s="1"/>
  <c r="E230" i="1" a="1"/>
  <c r="E230" i="1" s="1"/>
  <c r="E231" i="1" a="1"/>
  <c r="E231" i="1" s="1"/>
  <c r="D233" i="1" a="1"/>
  <c r="D233" i="1" s="1"/>
  <c r="C233" i="1" s="1" a="1"/>
  <c r="C233" i="1" s="1"/>
  <c r="G905" i="1" a="1"/>
  <c r="G905" i="1" s="1"/>
  <c r="G244" i="1" a="1"/>
  <c r="G244" i="1" s="1"/>
  <c r="F905" i="1" a="1"/>
  <c r="F905" i="1" s="1"/>
  <c r="F244" i="1" a="1"/>
  <c r="F244" i="1" s="1"/>
  <c r="F249" i="1" a="1"/>
  <c r="F249" i="1" s="1"/>
  <c r="G249" i="1" a="1"/>
  <c r="G249" i="1" s="1"/>
  <c r="I249" i="1" a="1"/>
  <c r="I249" i="1" s="1"/>
  <c r="K118" i="1" a="1"/>
  <c r="K118" i="1" s="1"/>
  <c r="E244" i="1" a="1"/>
  <c r="E244" i="1" s="1"/>
  <c r="J118" i="1" a="1"/>
  <c r="J118" i="1" s="1"/>
  <c r="D244" i="1" a="1"/>
  <c r="D244" i="1" s="1"/>
  <c r="D249" i="1" a="1"/>
  <c r="D249" i="1" s="1"/>
  <c r="E249" i="1" a="1"/>
  <c r="E249" i="1" s="1"/>
  <c r="H249" i="1" a="1"/>
  <c r="H249" i="1" s="1"/>
  <c r="I619" i="1" a="1"/>
  <c r="I619" i="1" s="1"/>
  <c r="I905" i="1" a="1"/>
  <c r="I905" i="1" s="1"/>
  <c r="I244" i="1" a="1"/>
  <c r="I244" i="1" s="1"/>
  <c r="C127" i="1" a="1"/>
  <c r="C127" i="1" s="1"/>
  <c r="C116" i="1" a="1"/>
  <c r="C116" i="1" s="1"/>
  <c r="C118" i="1" s="1" a="1"/>
  <c r="C118" i="1" s="1"/>
  <c r="C244" i="1" s="1" a="1"/>
  <c r="C244" i="1" s="1"/>
  <c r="I375" i="1" a="1"/>
  <c r="I375" i="1" s="1"/>
  <c r="I374" i="1" a="1"/>
  <c r="I374" i="1" s="1"/>
  <c r="I373" i="1" a="1"/>
  <c r="I373" i="1" s="1"/>
  <c r="J362" i="1" a="1"/>
  <c r="J362" i="1" s="1"/>
  <c r="J369" i="1" s="1" a="1"/>
  <c r="J369" i="1" s="1"/>
  <c r="I362" i="1" a="1"/>
  <c r="I362" i="1" s="1"/>
  <c r="I369" i="1" s="1" a="1"/>
  <c r="I369" i="1" s="1"/>
  <c r="H362" i="1" a="1"/>
  <c r="H362" i="1" s="1"/>
  <c r="H369" i="1" s="1" a="1"/>
  <c r="H369" i="1" s="1"/>
  <c r="C362" i="1" a="1"/>
  <c r="C362" i="1" s="1"/>
  <c r="C369" i="1" s="1" a="1"/>
  <c r="C369" i="1" s="1"/>
  <c r="K362" i="1" a="1"/>
  <c r="K362" i="1" s="1"/>
  <c r="K369" i="1" s="1" a="1"/>
  <c r="K369" i="1" s="1"/>
  <c r="I904" i="1" a="1"/>
  <c r="I904" i="1" s="1"/>
  <c r="I500" i="1" a="1"/>
  <c r="I500" i="1" s="1"/>
  <c r="H588" i="1" l="1" a="1"/>
  <c r="H588" i="1" s="1"/>
  <c r="H511" i="1" a="1"/>
  <c r="H511" i="1" s="1"/>
  <c r="H587" i="1" a="1"/>
  <c r="H587" i="1" s="1"/>
  <c r="H510" i="1" a="1"/>
  <c r="H510" i="1" s="1"/>
  <c r="H586" i="1" a="1"/>
  <c r="H586" i="1" s="1"/>
  <c r="H509" i="1" a="1"/>
  <c r="H509" i="1" s="1"/>
  <c r="H585" i="1" a="1"/>
  <c r="H585" i="1" s="1"/>
  <c r="H508" i="1" a="1"/>
  <c r="H508" i="1" s="1"/>
  <c r="E608" i="1" a="1"/>
  <c r="E608" i="1" s="1"/>
  <c r="E615" i="1" s="1" a="1"/>
  <c r="E615" i="1" s="1"/>
  <c r="H584" i="1" a="1"/>
  <c r="H584" i="1" s="1"/>
  <c r="H583" i="1" a="1"/>
  <c r="H583" i="1" s="1"/>
  <c r="H582" i="1" a="1"/>
  <c r="H582" i="1" s="1"/>
  <c r="H514" i="1" a="1"/>
  <c r="H514" i="1" s="1"/>
  <c r="H581" i="1" a="1"/>
  <c r="H581" i="1" s="1"/>
  <c r="H534" i="1" a="1"/>
  <c r="H534" i="1" s="1"/>
  <c r="H580" i="1" a="1"/>
  <c r="H580" i="1" s="1"/>
  <c r="H535" i="1" a="1"/>
  <c r="H535" i="1" s="1"/>
  <c r="H579" i="1" a="1"/>
  <c r="H579" i="1" s="1"/>
  <c r="H536" i="1" a="1"/>
  <c r="H536" i="1" s="1"/>
  <c r="H578" i="1" a="1"/>
  <c r="H578" i="1" s="1"/>
  <c r="H537" i="1" a="1"/>
  <c r="H537" i="1" s="1"/>
  <c r="H577" i="1" a="1"/>
  <c r="H577" i="1" s="1"/>
  <c r="H538" i="1" a="1"/>
  <c r="H538" i="1" s="1"/>
  <c r="H576" i="1" a="1"/>
  <c r="H576" i="1" s="1"/>
  <c r="H539" i="1" a="1"/>
  <c r="H539" i="1" s="1"/>
  <c r="H575" i="1" a="1"/>
  <c r="H575" i="1" s="1"/>
  <c r="H540" i="1" a="1"/>
  <c r="H540" i="1" s="1"/>
  <c r="H574" i="1" a="1"/>
  <c r="H574" i="1" s="1"/>
  <c r="H541" i="1" a="1"/>
  <c r="H541" i="1" s="1"/>
  <c r="H573" i="1" a="1"/>
  <c r="H573" i="1" s="1"/>
  <c r="H542" i="1" a="1"/>
  <c r="H542" i="1" s="1"/>
  <c r="H572" i="1" a="1"/>
  <c r="H572" i="1" s="1"/>
  <c r="H543" i="1" a="1"/>
  <c r="H543" i="1" s="1"/>
  <c r="H571" i="1" a="1"/>
  <c r="H571" i="1" s="1"/>
  <c r="H544" i="1" a="1"/>
  <c r="H544" i="1" s="1"/>
  <c r="H570" i="1" a="1"/>
  <c r="H570" i="1" s="1"/>
  <c r="H513" i="1" a="1"/>
  <c r="H513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33" i="1" a="1"/>
  <c r="H533" i="1" s="1"/>
  <c r="H557" i="1" a="1"/>
  <c r="H557" i="1" s="1"/>
  <c r="H532" i="1" a="1"/>
  <c r="H532" i="1" s="1"/>
  <c r="H558" i="1" a="1"/>
  <c r="H558" i="1" s="1"/>
  <c r="H531" i="1" a="1"/>
  <c r="H531" i="1" s="1"/>
  <c r="H559" i="1" a="1"/>
  <c r="H559" i="1" s="1"/>
  <c r="H530" i="1" a="1"/>
  <c r="H530" i="1" s="1"/>
  <c r="H560" i="1" a="1"/>
  <c r="H560" i="1" s="1"/>
  <c r="H529" i="1" a="1"/>
  <c r="H529" i="1" s="1"/>
  <c r="H561" i="1" a="1"/>
  <c r="H561" i="1" s="1"/>
  <c r="H528" i="1" a="1"/>
  <c r="H528" i="1" s="1"/>
  <c r="H562" i="1" a="1"/>
  <c r="H562" i="1" s="1"/>
  <c r="H527" i="1" a="1"/>
  <c r="H527" i="1" s="1"/>
  <c r="H563" i="1" a="1"/>
  <c r="H563" i="1" s="1"/>
  <c r="H526" i="1" a="1"/>
  <c r="H526" i="1" s="1"/>
  <c r="H564" i="1" a="1"/>
  <c r="H564" i="1" s="1"/>
  <c r="H525" i="1" a="1"/>
  <c r="H525" i="1" s="1"/>
  <c r="H565" i="1" a="1"/>
  <c r="H565" i="1" s="1"/>
  <c r="H524" i="1" a="1"/>
  <c r="H524" i="1" s="1"/>
  <c r="H566" i="1" a="1"/>
  <c r="H566" i="1" s="1"/>
  <c r="H523" i="1" a="1"/>
  <c r="H523" i="1" s="1"/>
  <c r="H567" i="1" a="1"/>
  <c r="H567" i="1" s="1"/>
  <c r="H522" i="1" a="1"/>
  <c r="H522" i="1" s="1"/>
  <c r="H568" i="1" a="1"/>
  <c r="H568" i="1" s="1"/>
  <c r="K568" i="1" a="1"/>
  <c r="K568" i="1" s="1"/>
  <c r="H521" i="1" a="1"/>
  <c r="H521" i="1" s="1"/>
  <c r="H569" i="1" a="1"/>
  <c r="H569" i="1" s="1"/>
  <c r="K569" i="1" a="1"/>
  <c r="K569" i="1" s="1"/>
  <c r="H520" i="1" a="1"/>
  <c r="H520" i="1" s="1"/>
  <c r="H519" i="1" a="1"/>
  <c r="H519" i="1" s="1"/>
  <c r="H518" i="1" a="1"/>
  <c r="H518" i="1" s="1"/>
  <c r="H517" i="1" a="1"/>
  <c r="H517" i="1" s="1"/>
  <c r="H516" i="1" a="1"/>
  <c r="H516" i="1" s="1"/>
  <c r="H515" i="1" a="1"/>
  <c r="H515" i="1" s="1"/>
  <c r="H512" i="1" a="1"/>
  <c r="H512" i="1" s="1"/>
  <c r="D608" i="1" a="1"/>
  <c r="D608" i="1" s="1"/>
  <c r="D615" i="1" s="1" a="1"/>
  <c r="D615" i="1" s="1"/>
  <c r="G534" i="1" a="1"/>
  <c r="G534" i="1" s="1"/>
  <c r="K534" i="1" s="1" a="1"/>
  <c r="K534" i="1" s="1"/>
  <c r="G535" i="1" a="1"/>
  <c r="G535" i="1" s="1"/>
  <c r="K535" i="1" s="1" a="1"/>
  <c r="K535" i="1" s="1"/>
  <c r="G536" i="1" a="1"/>
  <c r="G536" i="1" s="1"/>
  <c r="K536" i="1" s="1" a="1"/>
  <c r="K536" i="1" s="1"/>
  <c r="G537" i="1" a="1"/>
  <c r="G537" i="1" s="1"/>
  <c r="K537" i="1" s="1" a="1"/>
  <c r="K537" i="1" s="1"/>
  <c r="G538" i="1" a="1"/>
  <c r="G538" i="1" s="1"/>
  <c r="K538" i="1" s="1" a="1"/>
  <c r="K538" i="1" s="1"/>
  <c r="G539" i="1" a="1"/>
  <c r="G539" i="1" s="1"/>
  <c r="K539" i="1" s="1" a="1"/>
  <c r="K539" i="1" s="1"/>
  <c r="G540" i="1" a="1"/>
  <c r="G540" i="1" s="1"/>
  <c r="K540" i="1" s="1" a="1"/>
  <c r="K540" i="1" s="1"/>
  <c r="G541" i="1" a="1"/>
  <c r="G541" i="1" s="1"/>
  <c r="K541" i="1" s="1" a="1"/>
  <c r="K541" i="1" s="1"/>
  <c r="G542" i="1" a="1"/>
  <c r="G542" i="1" s="1"/>
  <c r="K542" i="1" s="1" a="1"/>
  <c r="K542" i="1" s="1"/>
  <c r="G543" i="1" a="1"/>
  <c r="G543" i="1" s="1"/>
  <c r="K543" i="1" s="1" a="1"/>
  <c r="K543" i="1" s="1"/>
  <c r="G544" i="1" a="1"/>
  <c r="G544" i="1" s="1"/>
  <c r="K544" i="1" s="1" a="1"/>
  <c r="K544" i="1" s="1"/>
  <c r="G545" i="1" a="1"/>
  <c r="G545" i="1" s="1"/>
  <c r="K545" i="1" s="1" a="1"/>
  <c r="K545" i="1" s="1"/>
  <c r="G546" i="1" a="1"/>
  <c r="G546" i="1" s="1"/>
  <c r="K546" i="1" s="1" a="1"/>
  <c r="K546" i="1" s="1"/>
  <c r="G547" i="1" a="1"/>
  <c r="G547" i="1" s="1"/>
  <c r="K547" i="1" s="1" a="1"/>
  <c r="K547" i="1" s="1"/>
  <c r="G548" i="1" a="1"/>
  <c r="G548" i="1" s="1"/>
  <c r="K548" i="1" s="1" a="1"/>
  <c r="K548" i="1" s="1"/>
  <c r="G549" i="1" a="1"/>
  <c r="G549" i="1" s="1"/>
  <c r="K549" i="1" s="1" a="1"/>
  <c r="K549" i="1" s="1"/>
  <c r="G550" i="1" a="1"/>
  <c r="G550" i="1" s="1"/>
  <c r="K550" i="1" s="1" a="1"/>
  <c r="K550" i="1" s="1"/>
  <c r="G551" i="1" a="1"/>
  <c r="G551" i="1" s="1"/>
  <c r="K551" i="1" s="1" a="1"/>
  <c r="K551" i="1" s="1"/>
  <c r="G552" i="1" a="1"/>
  <c r="G552" i="1" s="1"/>
  <c r="K552" i="1" s="1" a="1"/>
  <c r="K552" i="1" s="1"/>
  <c r="G553" i="1" a="1"/>
  <c r="G553" i="1" s="1"/>
  <c r="K553" i="1" s="1" a="1"/>
  <c r="K553" i="1" s="1"/>
  <c r="G554" i="1" a="1"/>
  <c r="G554" i="1" s="1"/>
  <c r="K554" i="1" s="1" a="1"/>
  <c r="K554" i="1" s="1"/>
  <c r="G555" i="1" a="1"/>
  <c r="G555" i="1" s="1"/>
  <c r="K555" i="1" s="1" a="1"/>
  <c r="K555" i="1" s="1"/>
  <c r="G556" i="1" a="1"/>
  <c r="G556" i="1" s="1"/>
  <c r="K556" i="1" s="1" a="1"/>
  <c r="K556" i="1" s="1"/>
  <c r="G557" i="1" a="1"/>
  <c r="G557" i="1" s="1"/>
  <c r="K557" i="1" s="1" a="1"/>
  <c r="K557" i="1" s="1"/>
  <c r="G558" i="1" a="1"/>
  <c r="G558" i="1" s="1"/>
  <c r="K558" i="1" s="1" a="1"/>
  <c r="K558" i="1" s="1"/>
  <c r="G559" i="1" a="1"/>
  <c r="G559" i="1" s="1"/>
  <c r="K559" i="1" s="1" a="1"/>
  <c r="K559" i="1" s="1"/>
  <c r="G560" i="1" a="1"/>
  <c r="G560" i="1" s="1"/>
  <c r="K560" i="1" s="1" a="1"/>
  <c r="K560" i="1" s="1"/>
  <c r="G561" i="1" a="1"/>
  <c r="G561" i="1" s="1"/>
  <c r="K561" i="1" s="1" a="1"/>
  <c r="K561" i="1" s="1"/>
  <c r="G562" i="1" a="1"/>
  <c r="G562" i="1" s="1"/>
  <c r="K562" i="1" s="1" a="1"/>
  <c r="K562" i="1" s="1"/>
  <c r="G563" i="1" a="1"/>
  <c r="G563" i="1" s="1"/>
  <c r="K563" i="1" s="1" a="1"/>
  <c r="K563" i="1" s="1"/>
  <c r="G564" i="1" a="1"/>
  <c r="G564" i="1" s="1"/>
  <c r="K564" i="1" s="1" a="1"/>
  <c r="K564" i="1" s="1"/>
  <c r="G565" i="1" a="1"/>
  <c r="G565" i="1" s="1"/>
  <c r="K565" i="1" s="1" a="1"/>
  <c r="K565" i="1" s="1"/>
  <c r="G566" i="1" a="1"/>
  <c r="G566" i="1" s="1"/>
  <c r="K566" i="1" s="1" a="1"/>
  <c r="K566" i="1" s="1"/>
  <c r="G567" i="1" a="1"/>
  <c r="G567" i="1" s="1"/>
  <c r="K567" i="1" s="1" a="1"/>
  <c r="K567" i="1" s="1"/>
  <c r="G568" i="1" a="1"/>
  <c r="G568" i="1" s="1"/>
  <c r="G569" i="1" a="1"/>
  <c r="G569" i="1" s="1"/>
  <c r="G570" i="1" a="1"/>
  <c r="G570" i="1" s="1"/>
  <c r="K570" i="1" s="1" a="1"/>
  <c r="K570" i="1" s="1"/>
  <c r="G571" i="1" a="1"/>
  <c r="G571" i="1" s="1"/>
  <c r="K571" i="1" s="1" a="1"/>
  <c r="K571" i="1" s="1"/>
  <c r="G572" i="1" a="1"/>
  <c r="G572" i="1" s="1"/>
  <c r="K572" i="1" s="1" a="1"/>
  <c r="K572" i="1" s="1"/>
  <c r="G573" i="1" a="1"/>
  <c r="G573" i="1" s="1"/>
  <c r="K573" i="1" s="1" a="1"/>
  <c r="K573" i="1" s="1"/>
  <c r="G574" i="1" a="1"/>
  <c r="G574" i="1" s="1"/>
  <c r="K574" i="1" s="1" a="1"/>
  <c r="K574" i="1" s="1"/>
  <c r="G575" i="1" a="1"/>
  <c r="G575" i="1" s="1"/>
  <c r="K575" i="1" s="1" a="1"/>
  <c r="K575" i="1" s="1"/>
  <c r="G576" i="1" a="1"/>
  <c r="G576" i="1" s="1"/>
  <c r="K576" i="1" s="1" a="1"/>
  <c r="K576" i="1" s="1"/>
  <c r="G577" i="1" a="1"/>
  <c r="G577" i="1" s="1"/>
  <c r="K577" i="1" s="1" a="1"/>
  <c r="K577" i="1" s="1"/>
  <c r="G578" i="1" a="1"/>
  <c r="G578" i="1" s="1"/>
  <c r="K578" i="1" s="1" a="1"/>
  <c r="K578" i="1" s="1"/>
  <c r="G579" i="1" a="1"/>
  <c r="G579" i="1" s="1"/>
  <c r="K579" i="1" s="1" a="1"/>
  <c r="K579" i="1" s="1"/>
  <c r="G580" i="1" a="1"/>
  <c r="G580" i="1" s="1"/>
  <c r="K580" i="1" s="1" a="1"/>
  <c r="K580" i="1" s="1"/>
  <c r="G581" i="1" a="1"/>
  <c r="G581" i="1" s="1"/>
  <c r="K581" i="1" s="1" a="1"/>
  <c r="K581" i="1" s="1"/>
  <c r="G582" i="1" a="1"/>
  <c r="G582" i="1" s="1"/>
  <c r="K582" i="1" s="1" a="1"/>
  <c r="K582" i="1" s="1"/>
  <c r="G583" i="1" a="1"/>
  <c r="G583" i="1" s="1"/>
  <c r="K583" i="1" s="1" a="1"/>
  <c r="K583" i="1" s="1"/>
  <c r="G584" i="1" a="1"/>
  <c r="G584" i="1" s="1"/>
  <c r="K584" i="1" s="1" a="1"/>
  <c r="K584" i="1" s="1"/>
  <c r="G585" i="1" a="1"/>
  <c r="G585" i="1" s="1"/>
  <c r="K585" i="1" s="1" a="1"/>
  <c r="K585" i="1" s="1"/>
  <c r="G586" i="1" a="1"/>
  <c r="G586" i="1" s="1"/>
  <c r="K586" i="1" s="1" a="1"/>
  <c r="K586" i="1" s="1"/>
  <c r="G587" i="1" a="1"/>
  <c r="G587" i="1" s="1"/>
  <c r="K587" i="1" s="1" a="1"/>
  <c r="K587" i="1" s="1"/>
  <c r="G591" i="1" a="1"/>
  <c r="G591" i="1" s="1"/>
  <c r="G593" i="1" a="1"/>
  <c r="G593" i="1" s="1"/>
  <c r="G594" i="1" a="1"/>
  <c r="G594" i="1" s="1"/>
  <c r="G597" i="1" a="1"/>
  <c r="G597" i="1" s="1"/>
  <c r="G599" i="1" a="1"/>
  <c r="G599" i="1" s="1"/>
  <c r="G602" i="1" a="1"/>
  <c r="G602" i="1" s="1"/>
  <c r="G605" i="1" a="1"/>
  <c r="G605" i="1" s="1"/>
  <c r="G606" i="1" a="1"/>
  <c r="G606" i="1" s="1"/>
  <c r="G592" i="1" a="1"/>
  <c r="G592" i="1" s="1"/>
  <c r="G598" i="1" a="1"/>
  <c r="G598" i="1" s="1"/>
  <c r="G604" i="1" a="1"/>
  <c r="G604" i="1" s="1"/>
  <c r="G607" i="1" a="1"/>
  <c r="G607" i="1" s="1"/>
  <c r="G600" i="1" a="1"/>
  <c r="G600" i="1" s="1"/>
  <c r="G601" i="1" a="1"/>
  <c r="G601" i="1" s="1"/>
  <c r="G603" i="1" a="1"/>
  <c r="G603" i="1" s="1"/>
  <c r="G588" i="1" a="1"/>
  <c r="G588" i="1" s="1"/>
  <c r="K588" i="1" s="1" a="1"/>
  <c r="K588" i="1" s="1"/>
  <c r="G589" i="1" a="1"/>
  <c r="G589" i="1" s="1"/>
  <c r="G590" i="1" a="1"/>
  <c r="G590" i="1" s="1"/>
  <c r="G595" i="1" a="1"/>
  <c r="G595" i="1" s="1"/>
  <c r="G596" i="1" a="1"/>
  <c r="G596" i="1" s="1"/>
  <c r="I504" i="1" a="1"/>
  <c r="I504" i="1" s="1"/>
  <c r="G508" i="1" a="1"/>
  <c r="G508" i="1" s="1"/>
  <c r="K508" i="1" s="1" a="1"/>
  <c r="K508" i="1" s="1"/>
  <c r="G509" i="1" a="1"/>
  <c r="G509" i="1" s="1"/>
  <c r="K509" i="1" s="1" a="1"/>
  <c r="K509" i="1" s="1"/>
  <c r="G510" i="1" a="1"/>
  <c r="G510" i="1" s="1"/>
  <c r="K510" i="1" s="1" a="1"/>
  <c r="K510" i="1" s="1"/>
  <c r="G511" i="1" a="1"/>
  <c r="G511" i="1" s="1"/>
  <c r="K511" i="1" s="1" a="1"/>
  <c r="K511" i="1" s="1"/>
  <c r="G512" i="1" a="1"/>
  <c r="G512" i="1" s="1"/>
  <c r="K512" i="1" s="1" a="1"/>
  <c r="K512" i="1" s="1"/>
  <c r="G513" i="1" a="1"/>
  <c r="G513" i="1" s="1"/>
  <c r="K513" i="1" s="1" a="1"/>
  <c r="K513" i="1" s="1"/>
  <c r="G514" i="1" a="1"/>
  <c r="G514" i="1" s="1"/>
  <c r="K514" i="1" s="1" a="1"/>
  <c r="K514" i="1" s="1"/>
  <c r="G515" i="1" a="1"/>
  <c r="G515" i="1" s="1"/>
  <c r="K515" i="1" s="1" a="1"/>
  <c r="K515" i="1" s="1"/>
  <c r="G516" i="1" a="1"/>
  <c r="G516" i="1" s="1"/>
  <c r="K516" i="1" s="1" a="1"/>
  <c r="K516" i="1" s="1"/>
  <c r="G517" i="1" a="1"/>
  <c r="G517" i="1" s="1"/>
  <c r="K517" i="1" s="1" a="1"/>
  <c r="K517" i="1" s="1"/>
  <c r="G518" i="1" a="1"/>
  <c r="G518" i="1" s="1"/>
  <c r="K518" i="1" s="1" a="1"/>
  <c r="K518" i="1" s="1"/>
  <c r="G519" i="1" a="1"/>
  <c r="G519" i="1" s="1"/>
  <c r="K519" i="1" s="1" a="1"/>
  <c r="K519" i="1" s="1"/>
  <c r="G520" i="1" a="1"/>
  <c r="G520" i="1" s="1"/>
  <c r="K520" i="1" s="1" a="1"/>
  <c r="K520" i="1" s="1"/>
  <c r="G521" i="1" a="1"/>
  <c r="G521" i="1" s="1"/>
  <c r="K521" i="1" s="1" a="1"/>
  <c r="K521" i="1" s="1"/>
  <c r="G522" i="1" a="1"/>
  <c r="G522" i="1" s="1"/>
  <c r="K522" i="1" s="1" a="1"/>
  <c r="K522" i="1" s="1"/>
  <c r="G523" i="1" a="1"/>
  <c r="G523" i="1" s="1"/>
  <c r="K523" i="1" s="1" a="1"/>
  <c r="K523" i="1" s="1"/>
  <c r="G524" i="1" a="1"/>
  <c r="G524" i="1" s="1"/>
  <c r="K524" i="1" s="1" a="1"/>
  <c r="K524" i="1" s="1"/>
  <c r="G525" i="1" a="1"/>
  <c r="G525" i="1" s="1"/>
  <c r="K525" i="1" s="1" a="1"/>
  <c r="K525" i="1" s="1"/>
  <c r="G526" i="1" a="1"/>
  <c r="G526" i="1" s="1"/>
  <c r="K526" i="1" s="1" a="1"/>
  <c r="K526" i="1" s="1"/>
  <c r="G527" i="1" a="1"/>
  <c r="G527" i="1" s="1"/>
  <c r="K527" i="1" s="1" a="1"/>
  <c r="K527" i="1" s="1"/>
  <c r="G528" i="1" a="1"/>
  <c r="G528" i="1" s="1"/>
  <c r="K528" i="1" s="1" a="1"/>
  <c r="K528" i="1" s="1"/>
  <c r="G529" i="1" a="1"/>
  <c r="G529" i="1" s="1"/>
  <c r="K529" i="1" s="1" a="1"/>
  <c r="K529" i="1" s="1"/>
  <c r="G530" i="1" a="1"/>
  <c r="G530" i="1" s="1"/>
  <c r="K530" i="1" s="1" a="1"/>
  <c r="K530" i="1" s="1"/>
  <c r="G531" i="1" a="1"/>
  <c r="G531" i="1" s="1"/>
  <c r="K531" i="1" s="1" a="1"/>
  <c r="K531" i="1" s="1"/>
  <c r="G532" i="1" a="1"/>
  <c r="G532" i="1" s="1"/>
  <c r="K532" i="1" s="1" a="1"/>
  <c r="K532" i="1" s="1"/>
  <c r="G533" i="1" a="1"/>
  <c r="G533" i="1" s="1"/>
  <c r="K533" i="1" s="1" a="1"/>
  <c r="K533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2" i="1" a="1"/>
  <c r="F592" i="1" s="1"/>
  <c r="F596" i="1" a="1"/>
  <c r="F596" i="1" s="1"/>
  <c r="F600" i="1" a="1"/>
  <c r="F600" i="1" s="1"/>
  <c r="F601" i="1" a="1"/>
  <c r="F601" i="1" s="1"/>
  <c r="F604" i="1" a="1"/>
  <c r="F604" i="1" s="1"/>
  <c r="F595" i="1" a="1"/>
  <c r="F595" i="1" s="1"/>
  <c r="F599" i="1" a="1"/>
  <c r="F599" i="1" s="1"/>
  <c r="F597" i="1" a="1"/>
  <c r="F597" i="1" s="1"/>
  <c r="F598" i="1" a="1"/>
  <c r="F598" i="1" s="1"/>
  <c r="F602" i="1" a="1"/>
  <c r="F602" i="1" s="1"/>
  <c r="F605" i="1" a="1"/>
  <c r="F605" i="1" s="1"/>
  <c r="F607" i="1" a="1"/>
  <c r="F607" i="1" s="1"/>
  <c r="F591" i="1" a="1"/>
  <c r="F591" i="1" s="1"/>
  <c r="F593" i="1" a="1"/>
  <c r="F593" i="1" s="1"/>
  <c r="F594" i="1" a="1"/>
  <c r="F594" i="1" s="1"/>
  <c r="F603" i="1" a="1"/>
  <c r="F603" i="1" s="1"/>
  <c r="F606" i="1" a="1"/>
  <c r="F606" i="1" s="1"/>
  <c r="C504" i="1" a="1"/>
  <c r="C504" i="1" s="1"/>
  <c r="H506" i="1" a="1"/>
  <c r="H506" i="1" s="1"/>
  <c r="K506" i="1" a="1"/>
  <c r="K506" i="1" s="1"/>
  <c r="H467" i="1" a="1"/>
  <c r="H467" i="1" s="1"/>
  <c r="K467" i="1" a="1"/>
  <c r="K467" i="1" s="1"/>
  <c r="H466" i="1" a="1"/>
  <c r="H466" i="1" s="1"/>
  <c r="K466" i="1" a="1"/>
  <c r="K466" i="1" s="1"/>
  <c r="H465" i="1" a="1"/>
  <c r="H465" i="1" s="1"/>
  <c r="K465" i="1" a="1"/>
  <c r="K465" i="1" s="1"/>
  <c r="H464" i="1" a="1"/>
  <c r="H464" i="1" s="1"/>
  <c r="K464" i="1" a="1"/>
  <c r="K464" i="1" s="1"/>
  <c r="H463" i="1" a="1"/>
  <c r="H463" i="1" s="1"/>
  <c r="K463" i="1" a="1"/>
  <c r="K463" i="1" s="1"/>
  <c r="H462" i="1" a="1"/>
  <c r="H462" i="1" s="1"/>
  <c r="K462" i="1" a="1"/>
  <c r="K462" i="1" s="1"/>
  <c r="H461" i="1" a="1"/>
  <c r="H461" i="1" s="1"/>
  <c r="K461" i="1" a="1"/>
  <c r="K461" i="1" s="1"/>
  <c r="H460" i="1" a="1"/>
  <c r="H460" i="1" s="1"/>
  <c r="K460" i="1" a="1"/>
  <c r="K460" i="1" s="1"/>
  <c r="H459" i="1" a="1"/>
  <c r="H459" i="1" s="1"/>
  <c r="K459" i="1" a="1"/>
  <c r="K459" i="1" s="1"/>
  <c r="H458" i="1" a="1"/>
  <c r="H458" i="1" s="1"/>
  <c r="K458" i="1" a="1"/>
  <c r="K458" i="1" s="1"/>
  <c r="H457" i="1" a="1"/>
  <c r="H457" i="1" s="1"/>
  <c r="K457" i="1" a="1"/>
  <c r="K457" i="1" s="1"/>
  <c r="H456" i="1" a="1"/>
  <c r="H456" i="1" s="1"/>
  <c r="K456" i="1" a="1"/>
  <c r="K456" i="1" s="1"/>
  <c r="H455" i="1" a="1"/>
  <c r="H455" i="1" s="1"/>
  <c r="K455" i="1" a="1"/>
  <c r="K455" i="1" s="1"/>
  <c r="H454" i="1" a="1"/>
  <c r="H454" i="1" s="1"/>
  <c r="K454" i="1" a="1"/>
  <c r="K454" i="1" s="1"/>
  <c r="H453" i="1" a="1"/>
  <c r="H453" i="1" s="1"/>
  <c r="H452" i="1" a="1"/>
  <c r="H452" i="1" s="1"/>
  <c r="H451" i="1" a="1"/>
  <c r="H451" i="1" s="1"/>
  <c r="H450" i="1" a="1"/>
  <c r="H450" i="1" s="1"/>
  <c r="H449" i="1" a="1"/>
  <c r="H449" i="1" s="1"/>
  <c r="H448" i="1" a="1"/>
  <c r="H448" i="1" s="1"/>
  <c r="H447" i="1" a="1"/>
  <c r="H447" i="1" s="1"/>
  <c r="H446" i="1" a="1"/>
  <c r="H446" i="1" s="1"/>
  <c r="H445" i="1" a="1"/>
  <c r="H445" i="1" s="1"/>
  <c r="H444" i="1" a="1"/>
  <c r="H444" i="1" s="1"/>
  <c r="H443" i="1" a="1"/>
  <c r="H443" i="1" s="1"/>
  <c r="H442" i="1" a="1"/>
  <c r="H442" i="1" s="1"/>
  <c r="H441" i="1" a="1"/>
  <c r="H441" i="1" s="1"/>
  <c r="H440" i="1" a="1"/>
  <c r="H440" i="1" s="1"/>
  <c r="H439" i="1" a="1"/>
  <c r="H439" i="1" s="1"/>
  <c r="H438" i="1" a="1"/>
  <c r="H438" i="1" s="1"/>
  <c r="H437" i="1" a="1"/>
  <c r="H437" i="1" s="1"/>
  <c r="H436" i="1" a="1"/>
  <c r="H436" i="1" s="1"/>
  <c r="H435" i="1" a="1"/>
  <c r="H435" i="1" s="1"/>
  <c r="H434" i="1" a="1"/>
  <c r="H434" i="1" s="1"/>
  <c r="H433" i="1" a="1"/>
  <c r="H433" i="1" s="1"/>
  <c r="H432" i="1" a="1"/>
  <c r="H432" i="1" s="1"/>
  <c r="H431" i="1" a="1"/>
  <c r="H431" i="1" s="1"/>
  <c r="H430" i="1" a="1"/>
  <c r="H430" i="1" s="1"/>
  <c r="H429" i="1" a="1"/>
  <c r="H429" i="1" s="1"/>
  <c r="H428" i="1" a="1"/>
  <c r="H428" i="1" s="1"/>
  <c r="H427" i="1" a="1"/>
  <c r="H427" i="1" s="1"/>
  <c r="H426" i="1" a="1"/>
  <c r="H426" i="1" s="1"/>
  <c r="H425" i="1" a="1"/>
  <c r="H425" i="1" s="1"/>
  <c r="H424" i="1" a="1"/>
  <c r="H424" i="1" s="1"/>
  <c r="H423" i="1" a="1"/>
  <c r="H423" i="1" s="1"/>
  <c r="H422" i="1" a="1"/>
  <c r="H422" i="1" s="1"/>
  <c r="H421" i="1" a="1"/>
  <c r="H421" i="1" s="1"/>
  <c r="H420" i="1" a="1"/>
  <c r="H420" i="1" s="1"/>
  <c r="H419" i="1" a="1"/>
  <c r="H419" i="1" s="1"/>
  <c r="H418" i="1" a="1"/>
  <c r="H418" i="1" s="1"/>
  <c r="H417" i="1" a="1"/>
  <c r="H417" i="1" s="1"/>
  <c r="H416" i="1" a="1"/>
  <c r="H416" i="1" s="1"/>
  <c r="H415" i="1" a="1"/>
  <c r="H415" i="1" s="1"/>
  <c r="H414" i="1" a="1"/>
  <c r="H414" i="1" s="1"/>
  <c r="H413" i="1" a="1"/>
  <c r="H413" i="1" s="1"/>
  <c r="H412" i="1" a="1"/>
  <c r="H412" i="1" s="1"/>
  <c r="K412" i="1" a="1"/>
  <c r="K412" i="1" s="1"/>
  <c r="H411" i="1" a="1"/>
  <c r="H411" i="1" s="1"/>
  <c r="K411" i="1" a="1"/>
  <c r="K411" i="1" s="1"/>
  <c r="H410" i="1" a="1"/>
  <c r="H410" i="1" s="1"/>
  <c r="K410" i="1" a="1"/>
  <c r="K410" i="1" s="1"/>
  <c r="H409" i="1" a="1"/>
  <c r="H409" i="1" s="1"/>
  <c r="K409" i="1" a="1"/>
  <c r="K409" i="1" s="1"/>
  <c r="H408" i="1" a="1"/>
  <c r="H408" i="1" s="1"/>
  <c r="K408" i="1" a="1"/>
  <c r="K408" i="1" s="1"/>
  <c r="H407" i="1" a="1"/>
  <c r="H407" i="1" s="1"/>
  <c r="K407" i="1" a="1"/>
  <c r="K407" i="1" s="1"/>
  <c r="H406" i="1" a="1"/>
  <c r="H406" i="1" s="1"/>
  <c r="K406" i="1" a="1"/>
  <c r="K406" i="1" s="1"/>
  <c r="H405" i="1" a="1"/>
  <c r="H405" i="1" s="1"/>
  <c r="K405" i="1" a="1"/>
  <c r="K405" i="1" s="1"/>
  <c r="H404" i="1" a="1"/>
  <c r="H404" i="1" s="1"/>
  <c r="K404" i="1" a="1"/>
  <c r="K404" i="1" s="1"/>
  <c r="H403" i="1" a="1"/>
  <c r="H403" i="1" s="1"/>
  <c r="K403" i="1" a="1"/>
  <c r="K403" i="1" s="1"/>
  <c r="H402" i="1" a="1"/>
  <c r="H402" i="1" s="1"/>
  <c r="H401" i="1" a="1"/>
  <c r="H401" i="1" s="1"/>
  <c r="H400" i="1" a="1"/>
  <c r="H400" i="1" s="1"/>
  <c r="H399" i="1" a="1"/>
  <c r="H399" i="1" s="1"/>
  <c r="H398" i="1" a="1"/>
  <c r="H398" i="1" s="1"/>
  <c r="H397" i="1" a="1"/>
  <c r="H397" i="1" s="1"/>
  <c r="H396" i="1" a="1"/>
  <c r="H396" i="1" s="1"/>
  <c r="H395" i="1" a="1"/>
  <c r="H395" i="1" s="1"/>
  <c r="H394" i="1" a="1"/>
  <c r="H394" i="1" s="1"/>
  <c r="H393" i="1" a="1"/>
  <c r="H393" i="1" s="1"/>
  <c r="H392" i="1" a="1"/>
  <c r="H392" i="1" s="1"/>
  <c r="H391" i="1" a="1"/>
  <c r="H391" i="1" s="1"/>
  <c r="H390" i="1" a="1"/>
  <c r="H390" i="1" s="1"/>
  <c r="H389" i="1" a="1"/>
  <c r="H389" i="1" s="1"/>
  <c r="H388" i="1" a="1"/>
  <c r="H388" i="1" s="1"/>
  <c r="H387" i="1" a="1"/>
  <c r="H387" i="1" s="1"/>
  <c r="H386" i="1" a="1"/>
  <c r="H386" i="1" s="1"/>
  <c r="H385" i="1" a="1"/>
  <c r="H385" i="1" s="1"/>
  <c r="H384" i="1" a="1"/>
  <c r="H384" i="1" s="1"/>
  <c r="E484" i="1" a="1"/>
  <c r="E484" i="1" s="1"/>
  <c r="E491" i="1" s="1" a="1"/>
  <c r="E491" i="1" s="1"/>
  <c r="J466" i="1" a="1"/>
  <c r="J466" i="1" s="1"/>
  <c r="J467" i="1" a="1"/>
  <c r="J467" i="1" s="1"/>
  <c r="J463" i="1" a="1"/>
  <c r="J463" i="1" s="1"/>
  <c r="J433" i="1" a="1"/>
  <c r="J433" i="1" s="1"/>
  <c r="J413" i="1" a="1"/>
  <c r="J413" i="1" s="1"/>
  <c r="J450" i="1" a="1"/>
  <c r="J450" i="1" s="1"/>
  <c r="J412" i="1" a="1"/>
  <c r="J412" i="1" s="1"/>
  <c r="C412" i="1" a="1"/>
  <c r="C412" i="1" s="1"/>
  <c r="J432" i="1" a="1"/>
  <c r="J432" i="1" s="1"/>
  <c r="J411" i="1" a="1"/>
  <c r="J411" i="1" s="1"/>
  <c r="J442" i="1" a="1"/>
  <c r="J442" i="1" s="1"/>
  <c r="J410" i="1" a="1"/>
  <c r="J410" i="1" s="1"/>
  <c r="J431" i="1" a="1"/>
  <c r="J431" i="1" s="1"/>
  <c r="J409" i="1" a="1"/>
  <c r="J409" i="1" s="1"/>
  <c r="J447" i="1" a="1"/>
  <c r="J447" i="1" s="1"/>
  <c r="J408" i="1" a="1"/>
  <c r="J408" i="1" s="1"/>
  <c r="J430" i="1" a="1"/>
  <c r="J430" i="1" s="1"/>
  <c r="J407" i="1" a="1"/>
  <c r="J407" i="1" s="1"/>
  <c r="J441" i="1" a="1"/>
  <c r="J441" i="1" s="1"/>
  <c r="J406" i="1" a="1"/>
  <c r="J406" i="1" s="1"/>
  <c r="J429" i="1" a="1"/>
  <c r="J429" i="1" s="1"/>
  <c r="J405" i="1" a="1"/>
  <c r="J405" i="1" s="1"/>
  <c r="J451" i="1" a="1"/>
  <c r="J451" i="1" s="1"/>
  <c r="J404" i="1" a="1"/>
  <c r="J404" i="1" s="1"/>
  <c r="C404" i="1" a="1"/>
  <c r="C404" i="1" s="1"/>
  <c r="J428" i="1" a="1"/>
  <c r="J428" i="1" s="1"/>
  <c r="J403" i="1" a="1"/>
  <c r="J403" i="1" s="1"/>
  <c r="C403" i="1" a="1"/>
  <c r="C403" i="1" s="1"/>
  <c r="J440" i="1" a="1"/>
  <c r="J440" i="1" s="1"/>
  <c r="J402" i="1" a="1"/>
  <c r="J402" i="1" s="1"/>
  <c r="J427" i="1" a="1"/>
  <c r="J427" i="1" s="1"/>
  <c r="J401" i="1" a="1"/>
  <c r="J401" i="1" s="1"/>
  <c r="J446" i="1" a="1"/>
  <c r="J446" i="1" s="1"/>
  <c r="J400" i="1" a="1"/>
  <c r="J400" i="1" s="1"/>
  <c r="J426" i="1" a="1"/>
  <c r="J426" i="1" s="1"/>
  <c r="J399" i="1" a="1"/>
  <c r="J399" i="1" s="1"/>
  <c r="J439" i="1" a="1"/>
  <c r="J439" i="1" s="1"/>
  <c r="J398" i="1" a="1"/>
  <c r="J398" i="1" s="1"/>
  <c r="J425" i="1" a="1"/>
  <c r="J425" i="1" s="1"/>
  <c r="J397" i="1" a="1"/>
  <c r="J397" i="1" s="1"/>
  <c r="J449" i="1" a="1"/>
  <c r="J449" i="1" s="1"/>
  <c r="J396" i="1" a="1"/>
  <c r="J396" i="1" s="1"/>
  <c r="J424" i="1" a="1"/>
  <c r="J424" i="1" s="1"/>
  <c r="J395" i="1" a="1"/>
  <c r="J395" i="1" s="1"/>
  <c r="J438" i="1" a="1"/>
  <c r="J438" i="1" s="1"/>
  <c r="J394" i="1" a="1"/>
  <c r="J394" i="1" s="1"/>
  <c r="J423" i="1" a="1"/>
  <c r="J423" i="1" s="1"/>
  <c r="J393" i="1" a="1"/>
  <c r="J393" i="1" s="1"/>
  <c r="J445" i="1" a="1"/>
  <c r="J445" i="1" s="1"/>
  <c r="J414" i="1" a="1"/>
  <c r="J414" i="1" s="1"/>
  <c r="J422" i="1" a="1"/>
  <c r="J422" i="1" s="1"/>
  <c r="J391" i="1" a="1"/>
  <c r="J391" i="1" s="1"/>
  <c r="J437" i="1" a="1"/>
  <c r="J437" i="1" s="1"/>
  <c r="J390" i="1" a="1"/>
  <c r="J390" i="1" s="1"/>
  <c r="J421" i="1" a="1"/>
  <c r="J421" i="1" s="1"/>
  <c r="J389" i="1" a="1"/>
  <c r="J389" i="1" s="1"/>
  <c r="J452" i="1" a="1"/>
  <c r="J452" i="1" s="1"/>
  <c r="J388" i="1" a="1"/>
  <c r="J388" i="1" s="1"/>
  <c r="J420" i="1" a="1"/>
  <c r="J420" i="1" s="1"/>
  <c r="J387" i="1" a="1"/>
  <c r="J387" i="1" s="1"/>
  <c r="J436" i="1" a="1"/>
  <c r="J436" i="1" s="1"/>
  <c r="J386" i="1" a="1"/>
  <c r="J386" i="1" s="1"/>
  <c r="J419" i="1" a="1"/>
  <c r="J419" i="1" s="1"/>
  <c r="J385" i="1" a="1"/>
  <c r="J385" i="1" s="1"/>
  <c r="J444" i="1" a="1"/>
  <c r="J444" i="1" s="1"/>
  <c r="J384" i="1" a="1"/>
  <c r="J384" i="1" s="1"/>
  <c r="D484" i="1" a="1"/>
  <c r="D484" i="1" s="1"/>
  <c r="D491" i="1" s="1" a="1"/>
  <c r="D491" i="1" s="1"/>
  <c r="J418" i="1" a="1"/>
  <c r="J418" i="1" s="1"/>
  <c r="J435" i="1" a="1"/>
  <c r="J435" i="1" s="1"/>
  <c r="J506" i="1" a="1"/>
  <c r="J506" i="1" s="1"/>
  <c r="J392" i="1" a="1"/>
  <c r="J392" i="1" s="1"/>
  <c r="J417" i="1" a="1"/>
  <c r="J417" i="1" s="1"/>
  <c r="J448" i="1" a="1"/>
  <c r="J448" i="1" s="1"/>
  <c r="J416" i="1" a="1"/>
  <c r="J416" i="1" s="1"/>
  <c r="J434" i="1" a="1"/>
  <c r="J434" i="1" s="1"/>
  <c r="J415" i="1" a="1"/>
  <c r="J415" i="1" s="1"/>
  <c r="J443" i="1" a="1"/>
  <c r="J443" i="1" s="1"/>
  <c r="J464" i="1" a="1"/>
  <c r="J464" i="1" s="1"/>
  <c r="J465" i="1" a="1"/>
  <c r="J465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74" i="1" a="1"/>
  <c r="G474" i="1" s="1"/>
  <c r="G477" i="1" a="1"/>
  <c r="G477" i="1" s="1"/>
  <c r="G478" i="1" a="1"/>
  <c r="G478" i="1" s="1"/>
  <c r="G480" i="1" a="1"/>
  <c r="G480" i="1" s="1"/>
  <c r="G481" i="1" a="1"/>
  <c r="G481" i="1" s="1"/>
  <c r="C481" i="1" s="1" a="1"/>
  <c r="C481" i="1" s="1"/>
  <c r="G482" i="1" a="1"/>
  <c r="G482" i="1" s="1"/>
  <c r="C482" i="1" s="1" a="1"/>
  <c r="C482" i="1" s="1"/>
  <c r="G483" i="1" a="1"/>
  <c r="G483" i="1" s="1"/>
  <c r="C483" i="1" s="1" a="1"/>
  <c r="C483" i="1" s="1"/>
  <c r="G506" i="1" a="1"/>
  <c r="G506" i="1" s="1"/>
  <c r="G468" i="1" a="1"/>
  <c r="G468" i="1" s="1"/>
  <c r="C468" i="1" s="1" a="1"/>
  <c r="C468" i="1" s="1"/>
  <c r="G469" i="1" a="1"/>
  <c r="G469" i="1" s="1"/>
  <c r="C469" i="1" s="1" a="1"/>
  <c r="C469" i="1" s="1"/>
  <c r="G470" i="1" a="1"/>
  <c r="G470" i="1" s="1"/>
  <c r="C470" i="1" s="1" a="1"/>
  <c r="C470" i="1" s="1"/>
  <c r="G471" i="1" a="1"/>
  <c r="G471" i="1" s="1"/>
  <c r="C471" i="1" s="1" a="1"/>
  <c r="C471" i="1" s="1"/>
  <c r="G472" i="1" a="1"/>
  <c r="G472" i="1" s="1"/>
  <c r="C472" i="1" s="1" a="1"/>
  <c r="C472" i="1" s="1"/>
  <c r="G473" i="1" a="1"/>
  <c r="G473" i="1" s="1"/>
  <c r="C473" i="1" s="1" a="1"/>
  <c r="C473" i="1" s="1"/>
  <c r="G475" i="1" a="1"/>
  <c r="G475" i="1" s="1"/>
  <c r="C475" i="1" s="1" a="1"/>
  <c r="C475" i="1" s="1"/>
  <c r="G476" i="1" a="1"/>
  <c r="G476" i="1" s="1"/>
  <c r="C476" i="1" s="1" a="1"/>
  <c r="C476" i="1" s="1"/>
  <c r="G479" i="1" a="1"/>
  <c r="G479" i="1" s="1"/>
  <c r="C479" i="1" s="1" a="1"/>
  <c r="C479" i="1" s="1"/>
  <c r="I382" i="1" a="1"/>
  <c r="I382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I403" i="1" s="1" a="1"/>
  <c r="I403" i="1" s="1"/>
  <c r="G404" i="1" a="1"/>
  <c r="G404" i="1" s="1"/>
  <c r="I404" i="1" s="1" a="1"/>
  <c r="I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I412" i="1" s="1" a="1"/>
  <c r="I412" i="1" s="1"/>
  <c r="J481" i="1" a="1"/>
  <c r="J481" i="1" s="1"/>
  <c r="J482" i="1" a="1"/>
  <c r="J482" i="1" s="1"/>
  <c r="J483" i="1" a="1"/>
  <c r="J483" i="1" s="1"/>
  <c r="J468" i="1" a="1"/>
  <c r="J468" i="1" s="1"/>
  <c r="J469" i="1" a="1"/>
  <c r="J469" i="1" s="1"/>
  <c r="J470" i="1" a="1"/>
  <c r="J470" i="1" s="1"/>
  <c r="D236" i="1" a="1"/>
  <c r="D236" i="1" s="1"/>
  <c r="D243" i="1" s="1" a="1"/>
  <c r="D243" i="1" s="1"/>
  <c r="C136" i="1" a="1"/>
  <c r="C136" i="1" s="1"/>
  <c r="K244" i="1" a="1"/>
  <c r="K244" i="1" s="1"/>
  <c r="K619" i="1" a="1"/>
  <c r="K619" i="1" s="1"/>
  <c r="J244" i="1" a="1"/>
  <c r="J244" i="1" s="1"/>
  <c r="J619" i="1" a="1"/>
  <c r="J619" i="1" s="1"/>
  <c r="H244" i="1" a="1"/>
  <c r="H244" i="1" s="1"/>
  <c r="H619" i="1" a="1"/>
  <c r="H619" i="1" s="1"/>
  <c r="F484" i="1" a="1"/>
  <c r="F484" i="1" s="1"/>
  <c r="C131" i="1" a="1"/>
  <c r="C131" i="1" s="1"/>
  <c r="C133" i="1" a="1"/>
  <c r="C133" i="1" s="1"/>
  <c r="F236" i="1" a="1"/>
  <c r="F236" i="1" s="1"/>
  <c r="F243" i="1" s="1" a="1"/>
  <c r="F243" i="1" s="1"/>
  <c r="G236" i="1" a="1"/>
  <c r="G236" i="1" s="1"/>
  <c r="G243" i="1" s="1" a="1"/>
  <c r="G243" i="1" s="1"/>
  <c r="C130" i="1" a="1"/>
  <c r="C130" i="1" s="1"/>
  <c r="C132" i="1" a="1"/>
  <c r="C132" i="1" s="1"/>
  <c r="E236" i="1" a="1"/>
  <c r="E236" i="1" s="1"/>
  <c r="E243" i="1" s="1" a="1"/>
  <c r="E243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7" i="1" a="1"/>
  <c r="C227" i="1" s="1"/>
  <c r="C231" i="1" a="1"/>
  <c r="C231" i="1" s="1"/>
  <c r="C226" i="1" a="1"/>
  <c r="C226" i="1" s="1"/>
  <c r="C230" i="1" a="1"/>
  <c r="C230" i="1" s="1"/>
  <c r="C235" i="1" a="1"/>
  <c r="C235" i="1" s="1"/>
  <c r="J471" i="1" a="1"/>
  <c r="J471" i="1" s="1"/>
  <c r="J472" i="1" a="1"/>
  <c r="J472" i="1" s="1"/>
  <c r="J473" i="1" a="1"/>
  <c r="J473" i="1" s="1"/>
  <c r="J475" i="1" a="1"/>
  <c r="J475" i="1" s="1"/>
  <c r="J476" i="1" a="1"/>
  <c r="J476" i="1" s="1"/>
  <c r="C477" i="1" a="1"/>
  <c r="C477" i="1" s="1"/>
  <c r="J477" i="1" a="1"/>
  <c r="J477" i="1" s="1"/>
  <c r="J479" i="1" a="1"/>
  <c r="J479" i="1" s="1"/>
  <c r="J480" i="1" a="1"/>
  <c r="J480" i="1" s="1"/>
  <c r="C480" i="1" a="1"/>
  <c r="C480" i="1" s="1"/>
  <c r="K591" i="1" l="1" a="1"/>
  <c r="K591" i="1" s="1"/>
  <c r="I591" i="1" a="1"/>
  <c r="I591" i="1" s="1"/>
  <c r="K593" i="1" a="1"/>
  <c r="K593" i="1" s="1"/>
  <c r="I593" i="1" a="1"/>
  <c r="I593" i="1" s="1"/>
  <c r="K594" i="1" a="1"/>
  <c r="K594" i="1" s="1"/>
  <c r="I594" i="1" a="1"/>
  <c r="I594" i="1" s="1"/>
  <c r="K597" i="1" a="1"/>
  <c r="K597" i="1" s="1"/>
  <c r="I597" i="1" a="1"/>
  <c r="I597" i="1" s="1"/>
  <c r="K599" i="1" a="1"/>
  <c r="K599" i="1" s="1"/>
  <c r="I599" i="1" a="1"/>
  <c r="I599" i="1" s="1"/>
  <c r="K602" i="1" a="1"/>
  <c r="K602" i="1" s="1"/>
  <c r="I602" i="1" a="1"/>
  <c r="I602" i="1" s="1"/>
  <c r="K605" i="1" a="1"/>
  <c r="K605" i="1" s="1"/>
  <c r="I605" i="1" a="1"/>
  <c r="I605" i="1" s="1"/>
  <c r="K606" i="1" a="1"/>
  <c r="K606" i="1" s="1"/>
  <c r="I606" i="1" a="1"/>
  <c r="I606" i="1" s="1"/>
  <c r="K592" i="1" a="1"/>
  <c r="K592" i="1" s="1"/>
  <c r="I592" i="1" a="1"/>
  <c r="I592" i="1" s="1"/>
  <c r="K598" i="1" a="1"/>
  <c r="K598" i="1" s="1"/>
  <c r="I598" i="1" a="1"/>
  <c r="I598" i="1" s="1"/>
  <c r="K604" i="1" a="1"/>
  <c r="K604" i="1" s="1"/>
  <c r="I604" i="1" a="1"/>
  <c r="I604" i="1" s="1"/>
  <c r="K607" i="1" a="1"/>
  <c r="K607" i="1" s="1"/>
  <c r="I607" i="1" a="1"/>
  <c r="I607" i="1" s="1"/>
  <c r="K600" i="1" a="1"/>
  <c r="K600" i="1" s="1"/>
  <c r="I600" i="1" a="1"/>
  <c r="I600" i="1" s="1"/>
  <c r="K601" i="1" a="1"/>
  <c r="K601" i="1" s="1"/>
  <c r="I601" i="1" a="1"/>
  <c r="I601" i="1" s="1"/>
  <c r="K603" i="1" a="1"/>
  <c r="K603" i="1" s="1"/>
  <c r="I603" i="1" a="1"/>
  <c r="I603" i="1" s="1"/>
  <c r="K589" i="1" a="1"/>
  <c r="K589" i="1" s="1"/>
  <c r="I589" i="1" a="1"/>
  <c r="I589" i="1" s="1"/>
  <c r="K590" i="1" a="1"/>
  <c r="K590" i="1" s="1"/>
  <c r="I590" i="1" a="1"/>
  <c r="I590" i="1" s="1"/>
  <c r="K595" i="1" a="1"/>
  <c r="K595" i="1" s="1"/>
  <c r="I595" i="1" a="1"/>
  <c r="I595" i="1" s="1"/>
  <c r="K596" i="1" a="1"/>
  <c r="K596" i="1" s="1"/>
  <c r="I596" i="1" a="1"/>
  <c r="I596" i="1" s="1"/>
  <c r="I508" i="1" a="1"/>
  <c r="I508" i="1" s="1"/>
  <c r="G608" i="1" a="1"/>
  <c r="G608" i="1" s="1"/>
  <c r="G615" i="1" s="1" a="1"/>
  <c r="G615" i="1" s="1"/>
  <c r="C589" i="1" a="1"/>
  <c r="C589" i="1" s="1"/>
  <c r="J589" i="1" a="1"/>
  <c r="J589" i="1" s="1"/>
  <c r="J590" i="1" a="1"/>
  <c r="J590" i="1" s="1"/>
  <c r="C590" i="1" a="1"/>
  <c r="C590" i="1" s="1"/>
  <c r="J592" i="1" a="1"/>
  <c r="J592" i="1" s="1"/>
  <c r="C592" i="1" a="1"/>
  <c r="C592" i="1" s="1"/>
  <c r="C596" i="1" a="1"/>
  <c r="C596" i="1" s="1"/>
  <c r="J596" i="1" a="1"/>
  <c r="J596" i="1" s="1"/>
  <c r="J600" i="1" a="1"/>
  <c r="J600" i="1" s="1"/>
  <c r="C600" i="1" a="1"/>
  <c r="C600" i="1" s="1"/>
  <c r="C601" i="1" a="1"/>
  <c r="C601" i="1" s="1"/>
  <c r="J601" i="1" a="1"/>
  <c r="J601" i="1" s="1"/>
  <c r="C604" i="1" a="1"/>
  <c r="C604" i="1" s="1"/>
  <c r="J604" i="1" a="1"/>
  <c r="J604" i="1" s="1"/>
  <c r="C595" i="1" a="1"/>
  <c r="C595" i="1" s="1"/>
  <c r="J595" i="1" a="1"/>
  <c r="J595" i="1" s="1"/>
  <c r="J599" i="1" a="1"/>
  <c r="J599" i="1" s="1"/>
  <c r="C599" i="1" a="1"/>
  <c r="C599" i="1" s="1"/>
  <c r="J597" i="1" a="1"/>
  <c r="J597" i="1" s="1"/>
  <c r="C597" i="1" a="1"/>
  <c r="C597" i="1" s="1"/>
  <c r="C598" i="1" a="1"/>
  <c r="C598" i="1" s="1"/>
  <c r="J598" i="1" a="1"/>
  <c r="J598" i="1" s="1"/>
  <c r="J602" i="1" a="1"/>
  <c r="J602" i="1" s="1"/>
  <c r="C602" i="1" a="1"/>
  <c r="C602" i="1" s="1"/>
  <c r="C605" i="1" a="1"/>
  <c r="C605" i="1" s="1"/>
  <c r="J605" i="1" a="1"/>
  <c r="J605" i="1" s="1"/>
  <c r="C607" i="1" a="1"/>
  <c r="C607" i="1" s="1"/>
  <c r="J607" i="1" a="1"/>
  <c r="J607" i="1" s="1"/>
  <c r="J591" i="1" a="1"/>
  <c r="J591" i="1" s="1"/>
  <c r="C591" i="1" a="1"/>
  <c r="C591" i="1" s="1"/>
  <c r="C593" i="1" a="1"/>
  <c r="C593" i="1" s="1"/>
  <c r="J593" i="1" a="1"/>
  <c r="J593" i="1" s="1"/>
  <c r="J594" i="1" a="1"/>
  <c r="J594" i="1" s="1"/>
  <c r="C594" i="1" a="1"/>
  <c r="C594" i="1" s="1"/>
  <c r="C603" i="1" a="1"/>
  <c r="C603" i="1" s="1"/>
  <c r="J603" i="1" a="1"/>
  <c r="J603" i="1" s="1"/>
  <c r="J606" i="1" a="1"/>
  <c r="J606" i="1" s="1"/>
  <c r="C606" i="1" a="1"/>
  <c r="C606" i="1" s="1"/>
  <c r="C474" i="1" a="1"/>
  <c r="C474" i="1" s="1"/>
  <c r="K474" i="1" a="1"/>
  <c r="K474" i="1" s="1"/>
  <c r="I474" i="1" a="1"/>
  <c r="I474" i="1" s="1"/>
  <c r="K477" i="1" a="1"/>
  <c r="K477" i="1" s="1"/>
  <c r="I477" i="1" a="1"/>
  <c r="I477" i="1" s="1"/>
  <c r="C478" i="1" a="1"/>
  <c r="C478" i="1" s="1"/>
  <c r="K478" i="1" a="1"/>
  <c r="K478" i="1" s="1"/>
  <c r="I478" i="1" a="1"/>
  <c r="I478" i="1" s="1"/>
  <c r="K480" i="1" a="1"/>
  <c r="K480" i="1" s="1"/>
  <c r="I480" i="1" a="1"/>
  <c r="I480" i="1" s="1"/>
  <c r="K481" i="1" a="1"/>
  <c r="K481" i="1" s="1"/>
  <c r="I481" i="1" a="1"/>
  <c r="I481" i="1" s="1"/>
  <c r="K482" i="1" a="1"/>
  <c r="K482" i="1" s="1"/>
  <c r="I482" i="1" a="1"/>
  <c r="I482" i="1" s="1"/>
  <c r="K483" i="1" a="1"/>
  <c r="K483" i="1" s="1"/>
  <c r="I483" i="1" a="1"/>
  <c r="I483" i="1" s="1"/>
  <c r="K468" i="1" a="1"/>
  <c r="K468" i="1" s="1"/>
  <c r="I468" i="1" a="1"/>
  <c r="I468" i="1" s="1"/>
  <c r="K469" i="1" a="1"/>
  <c r="K469" i="1" s="1"/>
  <c r="I469" i="1" a="1"/>
  <c r="I469" i="1" s="1"/>
  <c r="K470" i="1" a="1"/>
  <c r="K470" i="1" s="1"/>
  <c r="I470" i="1" a="1"/>
  <c r="I470" i="1" s="1"/>
  <c r="K471" i="1" a="1"/>
  <c r="K471" i="1" s="1"/>
  <c r="I471" i="1" a="1"/>
  <c r="I471" i="1" s="1"/>
  <c r="K472" i="1" a="1"/>
  <c r="K472" i="1" s="1"/>
  <c r="I472" i="1" a="1"/>
  <c r="I472" i="1" s="1"/>
  <c r="K473" i="1" a="1"/>
  <c r="K473" i="1" s="1"/>
  <c r="I473" i="1" a="1"/>
  <c r="I473" i="1" s="1"/>
  <c r="K475" i="1" a="1"/>
  <c r="K475" i="1" s="1"/>
  <c r="I475" i="1" a="1"/>
  <c r="I475" i="1" s="1"/>
  <c r="K476" i="1" a="1"/>
  <c r="K476" i="1" s="1"/>
  <c r="I476" i="1" a="1"/>
  <c r="I476" i="1" s="1"/>
  <c r="K479" i="1" a="1"/>
  <c r="K479" i="1" s="1"/>
  <c r="I479" i="1" a="1"/>
  <c r="I479" i="1" s="1"/>
  <c r="I384" i="1" a="1"/>
  <c r="I384" i="1" s="1"/>
  <c r="I484" i="1" s="1" a="1"/>
  <c r="I484" i="1" s="1"/>
  <c r="G484" i="1" a="1"/>
  <c r="G484" i="1" s="1"/>
  <c r="F906" i="1" a="1"/>
  <c r="F906" i="1" s="1"/>
  <c r="F491" i="1" a="1"/>
  <c r="F491" i="1" s="1"/>
  <c r="H608" i="1" a="1"/>
  <c r="H608" i="1" s="1"/>
  <c r="H615" i="1" s="1" a="1"/>
  <c r="H615" i="1" s="1"/>
  <c r="I579" i="1" a="1"/>
  <c r="I579" i="1" s="1"/>
  <c r="I580" i="1" a="1"/>
  <c r="I580" i="1" s="1"/>
  <c r="I583" i="1" a="1"/>
  <c r="I583" i="1" s="1"/>
  <c r="I584" i="1" a="1"/>
  <c r="I584" i="1" s="1"/>
  <c r="I586" i="1" a="1"/>
  <c r="I586" i="1" s="1"/>
  <c r="I510" i="1" a="1"/>
  <c r="I510" i="1" s="1"/>
  <c r="I512" i="1" a="1"/>
  <c r="I512" i="1" s="1"/>
  <c r="I514" i="1" a="1"/>
  <c r="I514" i="1" s="1"/>
  <c r="I516" i="1" a="1"/>
  <c r="I516" i="1" s="1"/>
  <c r="I518" i="1" a="1"/>
  <c r="I518" i="1" s="1"/>
  <c r="I520" i="1" a="1"/>
  <c r="I520" i="1" s="1"/>
  <c r="I522" i="1" a="1"/>
  <c r="I522" i="1" s="1"/>
  <c r="I524" i="1" a="1"/>
  <c r="I524" i="1" s="1"/>
  <c r="I526" i="1" a="1"/>
  <c r="I526" i="1" s="1"/>
  <c r="I528" i="1" a="1"/>
  <c r="I528" i="1" s="1"/>
  <c r="I530" i="1" a="1"/>
  <c r="I530" i="1" s="1"/>
  <c r="I532" i="1" a="1"/>
  <c r="I532" i="1" s="1"/>
  <c r="F608" i="1" a="1"/>
  <c r="F608" i="1" s="1"/>
  <c r="F615" i="1" s="1" a="1"/>
  <c r="F615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81" i="1" a="1"/>
  <c r="I581" i="1" s="1"/>
  <c r="I582" i="1" a="1"/>
  <c r="I582" i="1" s="1"/>
  <c r="I585" i="1" a="1"/>
  <c r="I585" i="1" s="1"/>
  <c r="I587" i="1" a="1"/>
  <c r="I587" i="1" s="1"/>
  <c r="I588" i="1" a="1"/>
  <c r="I588" i="1" s="1"/>
  <c r="I509" i="1" a="1"/>
  <c r="I509" i="1" s="1"/>
  <c r="I511" i="1" a="1"/>
  <c r="I511" i="1" s="1"/>
  <c r="I513" i="1" a="1"/>
  <c r="I513" i="1" s="1"/>
  <c r="I515" i="1" a="1"/>
  <c r="I515" i="1" s="1"/>
  <c r="I517" i="1" a="1"/>
  <c r="I517" i="1" s="1"/>
  <c r="I519" i="1" a="1"/>
  <c r="I519" i="1" s="1"/>
  <c r="I521" i="1" a="1"/>
  <c r="I521" i="1" s="1"/>
  <c r="I523" i="1" a="1"/>
  <c r="I523" i="1" s="1"/>
  <c r="I525" i="1" a="1"/>
  <c r="I525" i="1" s="1"/>
  <c r="I527" i="1" a="1"/>
  <c r="I527" i="1" s="1"/>
  <c r="I529" i="1" a="1"/>
  <c r="I529" i="1" s="1"/>
  <c r="I531" i="1" a="1"/>
  <c r="I531" i="1" s="1"/>
  <c r="I533" i="1" a="1"/>
  <c r="I533" i="1" s="1"/>
  <c r="H484" i="1" a="1"/>
  <c r="H484" i="1" s="1"/>
  <c r="H491" i="1" s="1" a="1"/>
  <c r="H491" i="1" s="1"/>
  <c r="J484" i="1" a="1"/>
  <c r="J484" i="1" s="1"/>
  <c r="J491" i="1" s="1" a="1"/>
  <c r="J491" i="1" s="1"/>
  <c r="C236" i="1" a="1"/>
  <c r="C236" i="1" s="1"/>
  <c r="J508" i="1" a="1"/>
  <c r="J508" i="1" s="1"/>
  <c r="C508" i="1" a="1"/>
  <c r="C508" i="1" s="1"/>
  <c r="J509" i="1" a="1"/>
  <c r="J509" i="1" s="1"/>
  <c r="C509" i="1" a="1"/>
  <c r="C509" i="1" s="1"/>
  <c r="J510" i="1" a="1"/>
  <c r="J510" i="1" s="1"/>
  <c r="C510" i="1" a="1"/>
  <c r="C510" i="1" s="1"/>
  <c r="C511" i="1" a="1"/>
  <c r="C511" i="1" s="1"/>
  <c r="J511" i="1" a="1"/>
  <c r="J511" i="1" s="1"/>
  <c r="C512" i="1" a="1"/>
  <c r="C512" i="1" s="1"/>
  <c r="J512" i="1" a="1"/>
  <c r="J512" i="1" s="1"/>
  <c r="C513" i="1" a="1"/>
  <c r="C513" i="1" s="1"/>
  <c r="J513" i="1" a="1"/>
  <c r="J513" i="1" s="1"/>
  <c r="C514" i="1" a="1"/>
  <c r="C514" i="1" s="1"/>
  <c r="J514" i="1" a="1"/>
  <c r="J514" i="1" s="1"/>
  <c r="C515" i="1" a="1"/>
  <c r="C515" i="1" s="1"/>
  <c r="J515" i="1" a="1"/>
  <c r="J515" i="1" s="1"/>
  <c r="C516" i="1" a="1"/>
  <c r="C516" i="1" s="1"/>
  <c r="J516" i="1" a="1"/>
  <c r="J516" i="1" s="1"/>
  <c r="J517" i="1" a="1"/>
  <c r="J517" i="1" s="1"/>
  <c r="C517" i="1" a="1"/>
  <c r="C517" i="1" s="1"/>
  <c r="J518" i="1" a="1"/>
  <c r="J518" i="1" s="1"/>
  <c r="C518" i="1" a="1"/>
  <c r="C518" i="1" s="1"/>
  <c r="J519" i="1" a="1"/>
  <c r="J519" i="1" s="1"/>
  <c r="C519" i="1" a="1"/>
  <c r="C519" i="1" s="1"/>
  <c r="J520" i="1" a="1"/>
  <c r="J520" i="1" s="1"/>
  <c r="C520" i="1" a="1"/>
  <c r="C520" i="1" s="1"/>
  <c r="C521" i="1" a="1"/>
  <c r="C521" i="1" s="1"/>
  <c r="J521" i="1" a="1"/>
  <c r="J521" i="1" s="1"/>
  <c r="C522" i="1" a="1"/>
  <c r="C522" i="1" s="1"/>
  <c r="J522" i="1" a="1"/>
  <c r="J522" i="1" s="1"/>
  <c r="J523" i="1" a="1"/>
  <c r="J523" i="1" s="1"/>
  <c r="C523" i="1" a="1"/>
  <c r="C523" i="1" s="1"/>
  <c r="J524" i="1" a="1"/>
  <c r="J524" i="1" s="1"/>
  <c r="C524" i="1" a="1"/>
  <c r="C524" i="1" s="1"/>
  <c r="J525" i="1" a="1"/>
  <c r="J525" i="1" s="1"/>
  <c r="C525" i="1" a="1"/>
  <c r="C525" i="1" s="1"/>
  <c r="J526" i="1" a="1"/>
  <c r="J526" i="1" s="1"/>
  <c r="C526" i="1" a="1"/>
  <c r="C526" i="1" s="1"/>
  <c r="J527" i="1" a="1"/>
  <c r="J527" i="1" s="1"/>
  <c r="C527" i="1" a="1"/>
  <c r="C527" i="1" s="1"/>
  <c r="C528" i="1" a="1"/>
  <c r="C528" i="1" s="1"/>
  <c r="J528" i="1" a="1"/>
  <c r="J528" i="1" s="1"/>
  <c r="J529" i="1" a="1"/>
  <c r="J529" i="1" s="1"/>
  <c r="C529" i="1" a="1"/>
  <c r="C529" i="1" s="1"/>
  <c r="J530" i="1" a="1"/>
  <c r="J530" i="1" s="1"/>
  <c r="C530" i="1" a="1"/>
  <c r="C530" i="1" s="1"/>
  <c r="J531" i="1" a="1"/>
  <c r="J531" i="1" s="1"/>
  <c r="C531" i="1" a="1"/>
  <c r="C531" i="1" s="1"/>
  <c r="J532" i="1" a="1"/>
  <c r="J532" i="1" s="1"/>
  <c r="C532" i="1" a="1"/>
  <c r="C532" i="1" s="1"/>
  <c r="J533" i="1" a="1"/>
  <c r="J533" i="1" s="1"/>
  <c r="C533" i="1" a="1"/>
  <c r="C533" i="1" s="1"/>
  <c r="C534" i="1" a="1"/>
  <c r="C534" i="1" s="1"/>
  <c r="J534" i="1" a="1"/>
  <c r="J534" i="1" s="1"/>
  <c r="J535" i="1" a="1"/>
  <c r="J535" i="1" s="1"/>
  <c r="C535" i="1" a="1"/>
  <c r="C535" i="1" s="1"/>
  <c r="C536" i="1" a="1"/>
  <c r="C536" i="1" s="1"/>
  <c r="J536" i="1" a="1"/>
  <c r="J536" i="1" s="1"/>
  <c r="J537" i="1" a="1"/>
  <c r="J537" i="1" s="1"/>
  <c r="C537" i="1" a="1"/>
  <c r="C537" i="1" s="1"/>
  <c r="C538" i="1" a="1"/>
  <c r="C538" i="1" s="1"/>
  <c r="J538" i="1" a="1"/>
  <c r="J538" i="1" s="1"/>
  <c r="C539" i="1" a="1"/>
  <c r="C539" i="1" s="1"/>
  <c r="J539" i="1" a="1"/>
  <c r="J539" i="1" s="1"/>
  <c r="J540" i="1" a="1"/>
  <c r="J540" i="1" s="1"/>
  <c r="C540" i="1" a="1"/>
  <c r="C540" i="1" s="1"/>
  <c r="J541" i="1" a="1"/>
  <c r="J541" i="1" s="1"/>
  <c r="C541" i="1" a="1"/>
  <c r="C541" i="1" s="1"/>
  <c r="J542" i="1" a="1"/>
  <c r="J542" i="1" s="1"/>
  <c r="C542" i="1" a="1"/>
  <c r="C542" i="1" s="1"/>
  <c r="J543" i="1" a="1"/>
  <c r="J543" i="1" s="1"/>
  <c r="C543" i="1" a="1"/>
  <c r="C543" i="1" s="1"/>
  <c r="J544" i="1" a="1"/>
  <c r="J544" i="1" s="1"/>
  <c r="C544" i="1" a="1"/>
  <c r="C544" i="1" s="1"/>
  <c r="C545" i="1" a="1"/>
  <c r="C545" i="1" s="1"/>
  <c r="J545" i="1" a="1"/>
  <c r="J545" i="1" s="1"/>
  <c r="J546" i="1" a="1"/>
  <c r="J546" i="1" s="1"/>
  <c r="C546" i="1" a="1"/>
  <c r="C546" i="1" s="1"/>
  <c r="J547" i="1" a="1"/>
  <c r="J547" i="1" s="1"/>
  <c r="C547" i="1" a="1"/>
  <c r="C547" i="1" s="1"/>
  <c r="J548" i="1" a="1"/>
  <c r="J548" i="1" s="1"/>
  <c r="C548" i="1" a="1"/>
  <c r="C548" i="1" s="1"/>
  <c r="C549" i="1" a="1"/>
  <c r="C549" i="1" s="1"/>
  <c r="J549" i="1" a="1"/>
  <c r="J549" i="1" s="1"/>
  <c r="C550" i="1" a="1"/>
  <c r="C550" i="1" s="1"/>
  <c r="J550" i="1" a="1"/>
  <c r="J550" i="1" s="1"/>
  <c r="J551" i="1" a="1"/>
  <c r="J551" i="1" s="1"/>
  <c r="C551" i="1" a="1"/>
  <c r="C551" i="1" s="1"/>
  <c r="J552" i="1" a="1"/>
  <c r="J552" i="1" s="1"/>
  <c r="C552" i="1" a="1"/>
  <c r="C552" i="1" s="1"/>
  <c r="C553" i="1" a="1"/>
  <c r="C553" i="1" s="1"/>
  <c r="J553" i="1" a="1"/>
  <c r="J553" i="1" s="1"/>
  <c r="C554" i="1" a="1"/>
  <c r="C554" i="1" s="1"/>
  <c r="J554" i="1" a="1"/>
  <c r="J554" i="1" s="1"/>
  <c r="C555" i="1" a="1"/>
  <c r="C555" i="1" s="1"/>
  <c r="J555" i="1" a="1"/>
  <c r="J555" i="1" s="1"/>
  <c r="C556" i="1" a="1"/>
  <c r="C556" i="1" s="1"/>
  <c r="J556" i="1" a="1"/>
  <c r="J556" i="1" s="1"/>
  <c r="C557" i="1" a="1"/>
  <c r="C557" i="1" s="1"/>
  <c r="J557" i="1" a="1"/>
  <c r="J557" i="1" s="1"/>
  <c r="C558" i="1" a="1"/>
  <c r="C558" i="1" s="1"/>
  <c r="J558" i="1" a="1"/>
  <c r="J558" i="1" s="1"/>
  <c r="J559" i="1" a="1"/>
  <c r="J559" i="1" s="1"/>
  <c r="C559" i="1" a="1"/>
  <c r="C559" i="1" s="1"/>
  <c r="C560" i="1" a="1"/>
  <c r="C560" i="1" s="1"/>
  <c r="J560" i="1" a="1"/>
  <c r="J560" i="1" s="1"/>
  <c r="J561" i="1" a="1"/>
  <c r="J561" i="1" s="1"/>
  <c r="C561" i="1" a="1"/>
  <c r="C561" i="1" s="1"/>
  <c r="C562" i="1" a="1"/>
  <c r="C562" i="1" s="1"/>
  <c r="J562" i="1" a="1"/>
  <c r="J562" i="1" s="1"/>
  <c r="J563" i="1" a="1"/>
  <c r="J563" i="1" s="1"/>
  <c r="C563" i="1" a="1"/>
  <c r="C563" i="1" s="1"/>
  <c r="J564" i="1" a="1"/>
  <c r="J564" i="1" s="1"/>
  <c r="C564" i="1" a="1"/>
  <c r="C564" i="1" s="1"/>
  <c r="C565" i="1" a="1"/>
  <c r="C565" i="1" s="1"/>
  <c r="J565" i="1" a="1"/>
  <c r="J565" i="1" s="1"/>
  <c r="C566" i="1" a="1"/>
  <c r="C566" i="1" s="1"/>
  <c r="J566" i="1" a="1"/>
  <c r="J566" i="1" s="1"/>
  <c r="C567" i="1" a="1"/>
  <c r="C567" i="1" s="1"/>
  <c r="J567" i="1" a="1"/>
  <c r="J567" i="1" s="1"/>
  <c r="C568" i="1" a="1"/>
  <c r="C568" i="1" s="1"/>
  <c r="J568" i="1" a="1"/>
  <c r="J568" i="1" s="1"/>
  <c r="C569" i="1" a="1"/>
  <c r="C569" i="1" s="1"/>
  <c r="J569" i="1" a="1"/>
  <c r="J569" i="1" s="1"/>
  <c r="J570" i="1" a="1"/>
  <c r="J570" i="1" s="1"/>
  <c r="C570" i="1" a="1"/>
  <c r="C570" i="1" s="1"/>
  <c r="C571" i="1" a="1"/>
  <c r="C571" i="1" s="1"/>
  <c r="J571" i="1" a="1"/>
  <c r="J571" i="1" s="1"/>
  <c r="C572" i="1" a="1"/>
  <c r="C572" i="1" s="1"/>
  <c r="J572" i="1" a="1"/>
  <c r="J572" i="1" s="1"/>
  <c r="J573" i="1" a="1"/>
  <c r="J573" i="1" s="1"/>
  <c r="C573" i="1" a="1"/>
  <c r="C573" i="1" s="1"/>
  <c r="J574" i="1" a="1"/>
  <c r="J574" i="1" s="1"/>
  <c r="C574" i="1" a="1"/>
  <c r="C574" i="1" s="1"/>
  <c r="C575" i="1" a="1"/>
  <c r="C575" i="1" s="1"/>
  <c r="J575" i="1" a="1"/>
  <c r="J575" i="1" s="1"/>
  <c r="J576" i="1" a="1"/>
  <c r="J576" i="1" s="1"/>
  <c r="C576" i="1" a="1"/>
  <c r="C576" i="1" s="1"/>
  <c r="C577" i="1" a="1"/>
  <c r="C577" i="1" s="1"/>
  <c r="J577" i="1" a="1"/>
  <c r="J577" i="1" s="1"/>
  <c r="J578" i="1" a="1"/>
  <c r="J578" i="1" s="1"/>
  <c r="C578" i="1" a="1"/>
  <c r="C578" i="1" s="1"/>
  <c r="J579" i="1" a="1"/>
  <c r="J579" i="1" s="1"/>
  <c r="C579" i="1" a="1"/>
  <c r="C579" i="1" s="1"/>
  <c r="C580" i="1" a="1"/>
  <c r="C580" i="1" s="1"/>
  <c r="J580" i="1" a="1"/>
  <c r="J580" i="1" s="1"/>
  <c r="J581" i="1" a="1"/>
  <c r="J581" i="1" s="1"/>
  <c r="C581" i="1" a="1"/>
  <c r="C581" i="1" s="1"/>
  <c r="C582" i="1" a="1"/>
  <c r="C582" i="1" s="1"/>
  <c r="J582" i="1" a="1"/>
  <c r="J582" i="1" s="1"/>
  <c r="J583" i="1" a="1"/>
  <c r="J583" i="1" s="1"/>
  <c r="C583" i="1" a="1"/>
  <c r="C583" i="1" s="1"/>
  <c r="C584" i="1" a="1"/>
  <c r="C584" i="1" s="1"/>
  <c r="J584" i="1" a="1"/>
  <c r="J584" i="1" s="1"/>
  <c r="C585" i="1" a="1"/>
  <c r="C585" i="1" s="1"/>
  <c r="J585" i="1" a="1"/>
  <c r="J585" i="1" s="1"/>
  <c r="J586" i="1" a="1"/>
  <c r="J586" i="1" s="1"/>
  <c r="C586" i="1" a="1"/>
  <c r="C586" i="1" s="1"/>
  <c r="C587" i="1" a="1"/>
  <c r="C587" i="1" s="1"/>
  <c r="J587" i="1" a="1"/>
  <c r="J587" i="1" s="1"/>
  <c r="C588" i="1" a="1"/>
  <c r="C588" i="1" s="1"/>
  <c r="J588" i="1" a="1"/>
  <c r="J588" i="1" s="1"/>
  <c r="I413" i="1" a="1"/>
  <c r="I413" i="1" s="1"/>
  <c r="C413" i="1" a="1"/>
  <c r="C413" i="1" s="1"/>
  <c r="K413" i="1" a="1"/>
  <c r="K413" i="1" s="1"/>
  <c r="I414" i="1" a="1"/>
  <c r="I414" i="1" s="1"/>
  <c r="K414" i="1" a="1"/>
  <c r="K414" i="1" s="1"/>
  <c r="C414" i="1" a="1"/>
  <c r="C414" i="1" s="1"/>
  <c r="I415" i="1" a="1"/>
  <c r="I415" i="1" s="1"/>
  <c r="K415" i="1" a="1"/>
  <c r="K415" i="1" s="1"/>
  <c r="C415" i="1" a="1"/>
  <c r="C415" i="1" s="1"/>
  <c r="I416" i="1" a="1"/>
  <c r="I416" i="1" s="1"/>
  <c r="K416" i="1" a="1"/>
  <c r="K416" i="1" s="1"/>
  <c r="C416" i="1" a="1"/>
  <c r="C416" i="1" s="1"/>
  <c r="I417" i="1" a="1"/>
  <c r="I417" i="1" s="1"/>
  <c r="K417" i="1" a="1"/>
  <c r="K417" i="1" s="1"/>
  <c r="C417" i="1" a="1"/>
  <c r="C417" i="1" s="1"/>
  <c r="I418" i="1" a="1"/>
  <c r="I418" i="1" s="1"/>
  <c r="C418" i="1" a="1"/>
  <c r="C418" i="1" s="1"/>
  <c r="K418" i="1" a="1"/>
  <c r="K418" i="1" s="1"/>
  <c r="I419" i="1" a="1"/>
  <c r="I419" i="1" s="1"/>
  <c r="K419" i="1" a="1"/>
  <c r="K419" i="1" s="1"/>
  <c r="C419" i="1" a="1"/>
  <c r="C419" i="1" s="1"/>
  <c r="I420" i="1" a="1"/>
  <c r="I420" i="1" s="1"/>
  <c r="K420" i="1" a="1"/>
  <c r="K420" i="1" s="1"/>
  <c r="C420" i="1" a="1"/>
  <c r="C420" i="1" s="1"/>
  <c r="I421" i="1" a="1"/>
  <c r="I421" i="1" s="1"/>
  <c r="K421" i="1" a="1"/>
  <c r="K421" i="1" s="1"/>
  <c r="C421" i="1" a="1"/>
  <c r="C421" i="1" s="1"/>
  <c r="I422" i="1" a="1"/>
  <c r="I422" i="1" s="1"/>
  <c r="C422" i="1" a="1"/>
  <c r="C422" i="1" s="1"/>
  <c r="K422" i="1" a="1"/>
  <c r="K422" i="1" s="1"/>
  <c r="I423" i="1" a="1"/>
  <c r="I423" i="1" s="1"/>
  <c r="C423" i="1" a="1"/>
  <c r="C423" i="1" s="1"/>
  <c r="K423" i="1" a="1"/>
  <c r="K423" i="1" s="1"/>
  <c r="I424" i="1" a="1"/>
  <c r="I424" i="1" s="1"/>
  <c r="K424" i="1" a="1"/>
  <c r="K424" i="1" s="1"/>
  <c r="C424" i="1" a="1"/>
  <c r="C424" i="1" s="1"/>
  <c r="I425" i="1" a="1"/>
  <c r="I425" i="1" s="1"/>
  <c r="K425" i="1" a="1"/>
  <c r="K425" i="1" s="1"/>
  <c r="C425" i="1" a="1"/>
  <c r="C425" i="1" s="1"/>
  <c r="I426" i="1" a="1"/>
  <c r="I426" i="1" s="1"/>
  <c r="K426" i="1" a="1"/>
  <c r="K426" i="1" s="1"/>
  <c r="C426" i="1" a="1"/>
  <c r="C426" i="1" s="1"/>
  <c r="I427" i="1" a="1"/>
  <c r="I427" i="1" s="1"/>
  <c r="K427" i="1" a="1"/>
  <c r="K427" i="1" s="1"/>
  <c r="C427" i="1" a="1"/>
  <c r="C427" i="1" s="1"/>
  <c r="I428" i="1" a="1"/>
  <c r="I428" i="1" s="1"/>
  <c r="C428" i="1" a="1"/>
  <c r="C428" i="1" s="1"/>
  <c r="K428" i="1" a="1"/>
  <c r="K428" i="1" s="1"/>
  <c r="I429" i="1" a="1"/>
  <c r="I429" i="1" s="1"/>
  <c r="K429" i="1" a="1"/>
  <c r="K429" i="1" s="1"/>
  <c r="C429" i="1" a="1"/>
  <c r="C429" i="1" s="1"/>
  <c r="I430" i="1" a="1"/>
  <c r="I430" i="1" s="1"/>
  <c r="C430" i="1" a="1"/>
  <c r="C430" i="1" s="1"/>
  <c r="K430" i="1" a="1"/>
  <c r="K430" i="1" s="1"/>
  <c r="I431" i="1" a="1"/>
  <c r="I431" i="1" s="1"/>
  <c r="C431" i="1" a="1"/>
  <c r="C431" i="1" s="1"/>
  <c r="K431" i="1" a="1"/>
  <c r="K431" i="1" s="1"/>
  <c r="I432" i="1" a="1"/>
  <c r="I432" i="1" s="1"/>
  <c r="C432" i="1" a="1"/>
  <c r="C432" i="1" s="1"/>
  <c r="K432" i="1" a="1"/>
  <c r="K432" i="1" s="1"/>
  <c r="I433" i="1" a="1"/>
  <c r="I433" i="1" s="1"/>
  <c r="K433" i="1" a="1"/>
  <c r="K433" i="1" s="1"/>
  <c r="C433" i="1" a="1"/>
  <c r="C433" i="1" s="1"/>
  <c r="I434" i="1" a="1"/>
  <c r="I434" i="1" s="1"/>
  <c r="C434" i="1" a="1"/>
  <c r="C434" i="1" s="1"/>
  <c r="K434" i="1" a="1"/>
  <c r="K434" i="1" s="1"/>
  <c r="I435" i="1" a="1"/>
  <c r="I435" i="1" s="1"/>
  <c r="K435" i="1" a="1"/>
  <c r="K435" i="1" s="1"/>
  <c r="C435" i="1" a="1"/>
  <c r="C435" i="1" s="1"/>
  <c r="I436" i="1" a="1"/>
  <c r="I436" i="1" s="1"/>
  <c r="C436" i="1" a="1"/>
  <c r="C436" i="1" s="1"/>
  <c r="K436" i="1" a="1"/>
  <c r="K436" i="1" s="1"/>
  <c r="I437" i="1" a="1"/>
  <c r="I437" i="1" s="1"/>
  <c r="C437" i="1" a="1"/>
  <c r="C437" i="1" s="1"/>
  <c r="K437" i="1" a="1"/>
  <c r="K437" i="1" s="1"/>
  <c r="I438" i="1" a="1"/>
  <c r="I438" i="1" s="1"/>
  <c r="C438" i="1" a="1"/>
  <c r="C438" i="1" s="1"/>
  <c r="K438" i="1" a="1"/>
  <c r="K438" i="1" s="1"/>
  <c r="I439" i="1" a="1"/>
  <c r="I439" i="1" s="1"/>
  <c r="C439" i="1" a="1"/>
  <c r="C439" i="1" s="1"/>
  <c r="K439" i="1" a="1"/>
  <c r="K439" i="1" s="1"/>
  <c r="I440" i="1" a="1"/>
  <c r="I440" i="1" s="1"/>
  <c r="C440" i="1" a="1"/>
  <c r="C440" i="1" s="1"/>
  <c r="K440" i="1" a="1"/>
  <c r="K440" i="1" s="1"/>
  <c r="I441" i="1" a="1"/>
  <c r="I441" i="1" s="1"/>
  <c r="K441" i="1" a="1"/>
  <c r="K441" i="1" s="1"/>
  <c r="C441" i="1" a="1"/>
  <c r="C441" i="1" s="1"/>
  <c r="I442" i="1" a="1"/>
  <c r="I442" i="1" s="1"/>
  <c r="K442" i="1" a="1"/>
  <c r="K442" i="1" s="1"/>
  <c r="C442" i="1" a="1"/>
  <c r="C442" i="1" s="1"/>
  <c r="I443" i="1" a="1"/>
  <c r="I443" i="1" s="1"/>
  <c r="K443" i="1" a="1"/>
  <c r="K443" i="1" s="1"/>
  <c r="C443" i="1" a="1"/>
  <c r="C443" i="1" s="1"/>
  <c r="I444" i="1" a="1"/>
  <c r="I444" i="1" s="1"/>
  <c r="C444" i="1" a="1"/>
  <c r="C444" i="1" s="1"/>
  <c r="K444" i="1" a="1"/>
  <c r="K444" i="1" s="1"/>
  <c r="I445" i="1" a="1"/>
  <c r="I445" i="1" s="1"/>
  <c r="C445" i="1" a="1"/>
  <c r="C445" i="1" s="1"/>
  <c r="K445" i="1" a="1"/>
  <c r="K445" i="1" s="1"/>
  <c r="I446" i="1" a="1"/>
  <c r="I446" i="1" s="1"/>
  <c r="K446" i="1" a="1"/>
  <c r="K446" i="1" s="1"/>
  <c r="C446" i="1" a="1"/>
  <c r="C446" i="1" s="1"/>
  <c r="I447" i="1" a="1"/>
  <c r="I447" i="1" s="1"/>
  <c r="K447" i="1" a="1"/>
  <c r="K447" i="1" s="1"/>
  <c r="C447" i="1" a="1"/>
  <c r="C447" i="1" s="1"/>
  <c r="I448" i="1" a="1"/>
  <c r="I448" i="1" s="1"/>
  <c r="K448" i="1" a="1"/>
  <c r="K448" i="1" s="1"/>
  <c r="C448" i="1" a="1"/>
  <c r="C448" i="1" s="1"/>
  <c r="I449" i="1" a="1"/>
  <c r="I449" i="1" s="1"/>
  <c r="C449" i="1" a="1"/>
  <c r="C449" i="1" s="1"/>
  <c r="K449" i="1" a="1"/>
  <c r="K449" i="1" s="1"/>
  <c r="I450" i="1" a="1"/>
  <c r="I450" i="1" s="1"/>
  <c r="C450" i="1" a="1"/>
  <c r="C450" i="1" s="1"/>
  <c r="K450" i="1" a="1"/>
  <c r="K450" i="1" s="1"/>
  <c r="I451" i="1" a="1"/>
  <c r="I451" i="1" s="1"/>
  <c r="C451" i="1" a="1"/>
  <c r="C451" i="1" s="1"/>
  <c r="K451" i="1" a="1"/>
  <c r="K451" i="1" s="1"/>
  <c r="I452" i="1" a="1"/>
  <c r="I452" i="1" s="1"/>
  <c r="C452" i="1" a="1"/>
  <c r="C452" i="1" s="1"/>
  <c r="K452" i="1" a="1"/>
  <c r="K452" i="1" s="1"/>
  <c r="I453" i="1" a="1"/>
  <c r="I453" i="1" s="1"/>
  <c r="K453" i="1" a="1"/>
  <c r="K453" i="1" s="1"/>
  <c r="C453" i="1" a="1"/>
  <c r="C453" i="1" s="1"/>
  <c r="I454" i="1" a="1"/>
  <c r="I454" i="1" s="1"/>
  <c r="C454" i="1" a="1"/>
  <c r="C454" i="1" s="1"/>
  <c r="I455" i="1" a="1"/>
  <c r="I455" i="1" s="1"/>
  <c r="C455" i="1" a="1"/>
  <c r="C455" i="1" s="1"/>
  <c r="I456" i="1" a="1"/>
  <c r="I456" i="1" s="1"/>
  <c r="C456" i="1" a="1"/>
  <c r="C456" i="1" s="1"/>
  <c r="I457" i="1" a="1"/>
  <c r="I457" i="1" s="1"/>
  <c r="C457" i="1" a="1"/>
  <c r="C457" i="1" s="1"/>
  <c r="I458" i="1" a="1"/>
  <c r="I458" i="1" s="1"/>
  <c r="C458" i="1" a="1"/>
  <c r="C458" i="1" s="1"/>
  <c r="I459" i="1" a="1"/>
  <c r="I459" i="1" s="1"/>
  <c r="C459" i="1" a="1"/>
  <c r="C459" i="1" s="1"/>
  <c r="I460" i="1" a="1"/>
  <c r="I460" i="1" s="1"/>
  <c r="C460" i="1" a="1"/>
  <c r="C460" i="1" s="1"/>
  <c r="I461" i="1" a="1"/>
  <c r="I461" i="1" s="1"/>
  <c r="C461" i="1" a="1"/>
  <c r="C461" i="1" s="1"/>
  <c r="I462" i="1" a="1"/>
  <c r="I462" i="1" s="1"/>
  <c r="C462" i="1" a="1"/>
  <c r="C462" i="1" s="1"/>
  <c r="I463" i="1" a="1"/>
  <c r="I463" i="1" s="1"/>
  <c r="C463" i="1" a="1"/>
  <c r="C463" i="1" s="1"/>
  <c r="I464" i="1" a="1"/>
  <c r="I464" i="1" s="1"/>
  <c r="C464" i="1" a="1"/>
  <c r="C464" i="1" s="1"/>
  <c r="I465" i="1" a="1"/>
  <c r="I465" i="1" s="1"/>
  <c r="C465" i="1" a="1"/>
  <c r="C465" i="1" s="1"/>
  <c r="I466" i="1" a="1"/>
  <c r="I466" i="1" s="1"/>
  <c r="C466" i="1" a="1"/>
  <c r="C466" i="1" s="1"/>
  <c r="I467" i="1" a="1"/>
  <c r="I467" i="1" s="1"/>
  <c r="C467" i="1" a="1"/>
  <c r="C467" i="1" s="1"/>
  <c r="I506" i="1" a="1"/>
  <c r="I506" i="1" s="1"/>
  <c r="C506" i="1" a="1"/>
  <c r="C506" i="1" s="1"/>
  <c r="K384" i="1" a="1"/>
  <c r="K384" i="1" s="1"/>
  <c r="C384" i="1" a="1"/>
  <c r="C384" i="1" s="1"/>
  <c r="I385" i="1" a="1"/>
  <c r="I385" i="1" s="1"/>
  <c r="K385" i="1" a="1"/>
  <c r="K385" i="1" s="1"/>
  <c r="C385" i="1" a="1"/>
  <c r="C385" i="1" s="1"/>
  <c r="I386" i="1" a="1"/>
  <c r="I386" i="1" s="1"/>
  <c r="K386" i="1" a="1"/>
  <c r="K386" i="1" s="1"/>
  <c r="C386" i="1" a="1"/>
  <c r="C386" i="1" s="1"/>
  <c r="I387" i="1" a="1"/>
  <c r="I387" i="1" s="1"/>
  <c r="C387" i="1" a="1"/>
  <c r="C387" i="1" s="1"/>
  <c r="K387" i="1" a="1"/>
  <c r="K387" i="1" s="1"/>
  <c r="I388" i="1" a="1"/>
  <c r="I388" i="1" s="1"/>
  <c r="K388" i="1" a="1"/>
  <c r="K388" i="1" s="1"/>
  <c r="C388" i="1" a="1"/>
  <c r="C388" i="1" s="1"/>
  <c r="I389" i="1" a="1"/>
  <c r="I389" i="1" s="1"/>
  <c r="C389" i="1" a="1"/>
  <c r="C389" i="1" s="1"/>
  <c r="K389" i="1" a="1"/>
  <c r="K389" i="1" s="1"/>
  <c r="I390" i="1" a="1"/>
  <c r="I390" i="1" s="1"/>
  <c r="C390" i="1" a="1"/>
  <c r="C390" i="1" s="1"/>
  <c r="K390" i="1" a="1"/>
  <c r="K390" i="1" s="1"/>
  <c r="I391" i="1" a="1"/>
  <c r="I391" i="1" s="1"/>
  <c r="C391" i="1" a="1"/>
  <c r="C391" i="1" s="1"/>
  <c r="K391" i="1" a="1"/>
  <c r="K391" i="1" s="1"/>
  <c r="I392" i="1" a="1"/>
  <c r="I392" i="1" s="1"/>
  <c r="K392" i="1" a="1"/>
  <c r="K392" i="1" s="1"/>
  <c r="C392" i="1" a="1"/>
  <c r="C392" i="1" s="1"/>
  <c r="I393" i="1" a="1"/>
  <c r="I393" i="1" s="1"/>
  <c r="K393" i="1" a="1"/>
  <c r="K393" i="1" s="1"/>
  <c r="C393" i="1" a="1"/>
  <c r="C393" i="1" s="1"/>
  <c r="I394" i="1" a="1"/>
  <c r="I394" i="1" s="1"/>
  <c r="K394" i="1" a="1"/>
  <c r="K394" i="1" s="1"/>
  <c r="C394" i="1" a="1"/>
  <c r="C394" i="1" s="1"/>
  <c r="I395" i="1" a="1"/>
  <c r="I395" i="1" s="1"/>
  <c r="C395" i="1" a="1"/>
  <c r="C395" i="1" s="1"/>
  <c r="K395" i="1" a="1"/>
  <c r="K395" i="1" s="1"/>
  <c r="I396" i="1" a="1"/>
  <c r="I396" i="1" s="1"/>
  <c r="K396" i="1" a="1"/>
  <c r="K396" i="1" s="1"/>
  <c r="C396" i="1" a="1"/>
  <c r="C396" i="1" s="1"/>
  <c r="I397" i="1" a="1"/>
  <c r="I397" i="1" s="1"/>
  <c r="K397" i="1" a="1"/>
  <c r="K397" i="1" s="1"/>
  <c r="C397" i="1" a="1"/>
  <c r="C397" i="1" s="1"/>
  <c r="I398" i="1" a="1"/>
  <c r="I398" i="1" s="1"/>
  <c r="K398" i="1" a="1"/>
  <c r="K398" i="1" s="1"/>
  <c r="C398" i="1" a="1"/>
  <c r="C398" i="1" s="1"/>
  <c r="I399" i="1" a="1"/>
  <c r="I399" i="1" s="1"/>
  <c r="C399" i="1" a="1"/>
  <c r="C399" i="1" s="1"/>
  <c r="K399" i="1" a="1"/>
  <c r="K399" i="1" s="1"/>
  <c r="I400" i="1" a="1"/>
  <c r="I400" i="1" s="1"/>
  <c r="K400" i="1" a="1"/>
  <c r="K400" i="1" s="1"/>
  <c r="C400" i="1" a="1"/>
  <c r="C400" i="1" s="1"/>
  <c r="I401" i="1" a="1"/>
  <c r="I401" i="1" s="1"/>
  <c r="C401" i="1" a="1"/>
  <c r="C401" i="1" s="1"/>
  <c r="K401" i="1" a="1"/>
  <c r="K401" i="1" s="1"/>
  <c r="I402" i="1" a="1"/>
  <c r="I402" i="1" s="1"/>
  <c r="K402" i="1" a="1"/>
  <c r="K402" i="1" s="1"/>
  <c r="C402" i="1" a="1"/>
  <c r="C402" i="1" s="1"/>
  <c r="I405" i="1" a="1"/>
  <c r="I405" i="1" s="1"/>
  <c r="C405" i="1" a="1"/>
  <c r="C405" i="1" s="1"/>
  <c r="I406" i="1" a="1"/>
  <c r="I406" i="1" s="1"/>
  <c r="C406" i="1" a="1"/>
  <c r="C406" i="1" s="1"/>
  <c r="I407" i="1" a="1"/>
  <c r="I407" i="1" s="1"/>
  <c r="C407" i="1" a="1"/>
  <c r="C407" i="1" s="1"/>
  <c r="I408" i="1" a="1"/>
  <c r="I408" i="1" s="1"/>
  <c r="C408" i="1" a="1"/>
  <c r="C408" i="1" s="1"/>
  <c r="I409" i="1" a="1"/>
  <c r="I409" i="1" s="1"/>
  <c r="C409" i="1" a="1"/>
  <c r="C409" i="1" s="1"/>
  <c r="I410" i="1" a="1"/>
  <c r="I410" i="1" s="1"/>
  <c r="C410" i="1" a="1"/>
  <c r="C410" i="1" s="1"/>
  <c r="I411" i="1" a="1"/>
  <c r="I411" i="1" s="1"/>
  <c r="C411" i="1" a="1"/>
  <c r="C411" i="1" s="1"/>
  <c r="K608" i="1" a="1"/>
  <c r="K608" i="1" s="1"/>
  <c r="K615" i="1" s="1" a="1"/>
  <c r="K615" i="1" s="1"/>
  <c r="I491" i="1" l="1" a="1"/>
  <c r="I491" i="1" s="1"/>
  <c r="I906" i="1" a="1"/>
  <c r="I906" i="1" s="1"/>
  <c r="G491" i="1" a="1"/>
  <c r="G491" i="1" s="1"/>
  <c r="G906" i="1" a="1"/>
  <c r="G906" i="1" s="1"/>
  <c r="I608" i="1" a="1"/>
  <c r="I608" i="1" s="1"/>
  <c r="I615" i="1" s="1" a="1"/>
  <c r="I615" i="1" s="1"/>
  <c r="J608" i="1" a="1"/>
  <c r="J608" i="1" s="1"/>
  <c r="J615" i="1" s="1" a="1"/>
  <c r="J615" i="1" s="1"/>
  <c r="C608" i="1" a="1"/>
  <c r="C608" i="1" s="1"/>
  <c r="C615" i="1" s="1" a="1"/>
  <c r="C615" i="1" s="1"/>
  <c r="C484" i="1" a="1"/>
  <c r="C484" i="1" s="1"/>
  <c r="C491" i="1" s="1" a="1"/>
  <c r="C491" i="1" s="1"/>
  <c r="K484" i="1" a="1"/>
  <c r="K484" i="1" s="1"/>
  <c r="K491" i="1" s="1" a="1"/>
  <c r="K491" i="1" s="1"/>
</calcChain>
</file>

<file path=xl/sharedStrings.xml><?xml version="1.0" encoding="utf-8"?>
<sst xmlns="http://schemas.openxmlformats.org/spreadsheetml/2006/main" count="2170" uniqueCount="1690">
  <si>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</si>
  <si>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</si>
  <si>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</si>
  <si>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</si>
  <si>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</si>
  <si>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</si>
  <si>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</si>
  <si>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</si>
  <si>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</si>
  <si>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</si>
  <si>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</si>
  <si>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</si>
  <si>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</si>
  <si>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</si>
  <si>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</si>
  <si>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</si>
  <si>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</si>
  <si>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</si>
  <si>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</si>
  <si>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</si>
  <si>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</si>
  <si>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</si>
  <si>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</si>
  <si>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</si>
  <si>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</si>
  <si>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</si>
  <si>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</si>
  <si>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</si>
  <si>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</si>
  <si>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</si>
  <si>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DE</t>
  </si>
  <si>
    <t>nn</t>
  </si>
  <si>
    <t>Deutschland</t>
  </si>
  <si>
    <t>Migration Background</t>
  </si>
  <si>
    <t>How is the "Migration Background" defined in this country?</t>
  </si>
  <si>
    <t>i</t>
  </si>
  <si>
    <t>Definition</t>
  </si>
  <si>
    <t>Migrationshintergrund i.w.S. (DESTATIS Mikrozensus): Person selbst oder mind. ein Elternteil ohne deutsche Staatsang. bei Geburt. Population folgt MH-Definition, Vital/Migration folgen Eurostat foreign-born.</t>
  </si>
  <si>
    <t>is</t>
  </si>
  <si>
    <t>Source (verbal)</t>
  </si>
  <si>
    <t>DESTATIS + Eurostat 2024/2025</t>
  </si>
  <si>
    <t>URL, where the data was found</t>
  </si>
  <si>
    <t>destatis.de + ec.europa.eu/eurostat</t>
  </si>
  <si>
    <t>Date, when the data was downloaded</t>
  </si>
  <si>
    <t>14.05.2026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</si>
  <si>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</si>
  <si>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</si>
  <si>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</si>
  <si>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</si>
  <si>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</si>
  <si>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</si>
  <si>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</si>
  <si>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</si>
  <si>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</si>
  <si>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</si>
  <si>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</si>
  <si>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</si>
  <si>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</si>
  <si>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</si>
  <si>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</si>
  <si>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</si>
  <si>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</si>
  <si>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</si>
  <si>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</si>
  <si>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</si>
  <si>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</si>
  <si>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</si>
  <si>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</si>
  <si>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</si>
  <si>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</si>
  <si>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</si>
  <si>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</si>
  <si>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</si>
  <si>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</si>
  <si>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</si>
  <si>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</si>
  <si>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</si>
  <si>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</si>
  <si>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</si>
  <si>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</si>
  <si>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</si>
  <si>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</si>
  <si>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</si>
  <si>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</si>
  <si>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</si>
  <si>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</si>
  <si>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</si>
  <si>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</si>
  <si>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</si>
  <si>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</si>
  <si>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</si>
  <si>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</si>
  <si>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</si>
  <si>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</si>
  <si>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</si>
  <si>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</si>
  <si>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</si>
  <si>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</si>
  <si>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</si>
  <si>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</si>
  <si>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</si>
  <si>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</si>
  <si>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</si>
  <si>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</si>
  <si>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</si>
  <si>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</si>
  <si>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</si>
  <si>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</si>
  <si>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</si>
  <si>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</si>
  <si>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</si>
  <si>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</si>
  <si>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</si>
  <si>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</si>
  <si>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</si>
  <si>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</si>
  <si>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</si>
  <si>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</si>
  <si>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</si>
  <si>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</si>
  <si>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</si>
  <si>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</si>
  <si>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</si>
  <si>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</si>
  <si>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</si>
  <si>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</si>
  <si>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</si>
  <si>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</si>
  <si>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</si>
  <si>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</si>
  <si>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</si>
  <si>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</si>
  <si>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</si>
  <si>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</si>
  <si>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</si>
  <si>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</si>
  <si>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</si>
  <si>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</si>
  <si>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</si>
  <si>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</si>
  <si>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</si>
  <si>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</si>
  <si>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</si>
  <si>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</si>
  <si>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</si>
  <si>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</si>
  <si>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</si>
  <si>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</si>
  <si>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</si>
  <si>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</si>
  <si>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</si>
  <si>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</si>
  <si>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</si>
  <si>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</si>
  <si>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</si>
  <si>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</si>
  <si>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</si>
  <si>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</si>
  <si>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</si>
  <si>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</si>
  <si>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</si>
  <si>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</si>
  <si>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</si>
  <si>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</si>
  <si>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</si>
  <si>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</si>
  <si>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</si>
  <si>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</si>
  <si>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</si>
  <si>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</si>
  <si>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</si>
  <si>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</si>
  <si>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</si>
  <si>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</si>
  <si>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</si>
  <si>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</si>
  <si>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</si>
  <si>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</si>
  <si>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</si>
  <si>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</si>
  <si>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</si>
  <si>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</si>
  <si>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</si>
  <si>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</si>
  <si>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</si>
  <si>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</si>
  <si>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</si>
  <si>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</si>
  <si>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</si>
  <si>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</si>
  <si>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</si>
  <si>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</si>
  <si>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</si>
  <si>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</si>
  <si>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</si>
  <si>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</si>
  <si>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</si>
  <si>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</si>
  <si>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</si>
  <si>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</si>
  <si>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</si>
  <si>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</si>
  <si>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</si>
  <si>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</si>
  <si>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</si>
  <si>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</si>
  <si>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</si>
  <si>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</si>
  <si>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</si>
  <si>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</si>
  <si>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</si>
  <si>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</si>
  <si>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</si>
  <si>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</si>
  <si>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</si>
  <si>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</si>
  <si>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</si>
  <si>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</si>
  <si>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</si>
  <si>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</si>
  <si>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</si>
  <si>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</si>
  <si>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</si>
  <si>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</si>
  <si>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</si>
  <si>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</si>
  <si>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</si>
  <si>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</si>
  <si>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</si>
  <si>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</si>
  <si>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</si>
  <si>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</si>
  <si>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</si>
  <si>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</si>
  <si>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</si>
  <si>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</si>
  <si>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</si>
  <si>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</si>
  <si>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</si>
  <si>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</si>
  <si>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</si>
  <si>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</si>
  <si>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</si>
  <si>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</si>
  <si>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</si>
  <si>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</si>
  <si>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</si>
  <si>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</si>
  <si>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</si>
  <si>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</si>
  <si>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</si>
  <si>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</si>
  <si>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</si>
  <si>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DESTATIS MH 13.04.2026 + Eurostat demo_pjan 2025</t>
  </si>
  <si>
    <t>destatis.de + eurostat demo_pjan</t>
  </si>
  <si>
    <t>Eurostat-Einzelalter × DESTATIS-MH-Anteile pro 15-Bin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</si>
  <si>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</si>
  <si>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</si>
  <si>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</si>
  <si>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</si>
  <si>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</si>
  <si>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</si>
  <si>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</si>
  <si>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</si>
  <si>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</si>
  <si>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</si>
  <si>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</si>
  <si>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</si>
  <si>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</si>
  <si>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</si>
  <si>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</si>
  <si>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</si>
  <si>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</si>
  <si>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</si>
  <si>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</si>
  <si>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</si>
  <si>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</si>
  <si>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</si>
  <si>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</si>
  <si>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</si>
  <si>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</si>
  <si>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</si>
  <si>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</si>
  <si>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</si>
  <si>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</si>
  <si>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</si>
  <si>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</si>
  <si>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</si>
  <si>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</si>
  <si>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</si>
  <si>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</si>
  <si>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</si>
  <si>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</si>
  <si>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</si>
  <si>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</si>
  <si>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</si>
  <si>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</si>
  <si>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</si>
  <si>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</si>
  <si>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</si>
  <si>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</si>
  <si>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</si>
  <si>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</si>
  <si>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</si>
  <si>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</si>
  <si>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</si>
  <si>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</si>
  <si>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</si>
  <si>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</si>
  <si>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</si>
  <si>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</si>
  <si>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</si>
  <si>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</si>
  <si>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</si>
  <si>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</si>
  <si>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</si>
  <si>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</si>
  <si>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</si>
  <si>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</si>
  <si>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</si>
  <si>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</si>
  <si>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</si>
  <si>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</si>
  <si>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</si>
  <si>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</si>
  <si>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</si>
  <si>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</si>
  <si>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</si>
  <si>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</si>
  <si>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</si>
  <si>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</si>
  <si>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</si>
  <si>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</si>
  <si>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</si>
  <si>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</si>
  <si>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</si>
  <si>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</si>
  <si>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</si>
  <si>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</si>
  <si>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</si>
  <si>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</si>
  <si>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</si>
  <si>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</si>
  <si>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</si>
  <si>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</si>
  <si>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</si>
  <si>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</si>
  <si>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</si>
  <si>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</si>
  <si>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</si>
  <si>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</si>
  <si>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</si>
  <si>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</si>
  <si>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</si>
  <si>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</si>
  <si>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</si>
  <si>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</si>
  <si>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</si>
  <si>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</si>
  <si>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</si>
  <si>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</si>
  <si>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</si>
  <si>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</si>
  <si>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</si>
  <si>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</si>
  <si>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</si>
  <si>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https://ec.europa.eu/eurostat/databrowser/view/demo_facbc</t>
  </si>
  <si>
    <t>Eurostat demo_facbc 2024: Geburten × Mutter-Alter × Geburtsland Mutter. 5-J-Bins gleichmäßig auf Einzelalter Mutter verteilt. Eingabe in H (Native_total) und I (Migrant_total) der Detail-Zeilen. Sheet verteilt auf D/E/F/G via D18-Pop-Struktur.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</si>
  <si>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</si>
  <si>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</si>
  <si>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</si>
  <si>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</si>
  <si>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</si>
  <si>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</si>
  <si>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</si>
  <si>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</si>
  <si>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</si>
  <si>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</si>
  <si>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Eurostat demo_find 2024</t>
  </si>
  <si>
    <t>ec.europa.eu/eurostat demo_find</t>
  </si>
  <si>
    <t>TFR 2024: 1.36. Mean age Mutter: 31.3.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</si>
  <si>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</si>
  <si>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</si>
  <si>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</si>
  <si>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</si>
  <si>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</si>
  <si>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</si>
  <si>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</si>
  <si>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</si>
  <si>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</si>
  <si>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</si>
  <si>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</si>
  <si>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</si>
  <si>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</si>
  <si>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</si>
  <si>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</si>
  <si>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</si>
  <si>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</si>
  <si>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</si>
  <si>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</si>
  <si>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</si>
  <si>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</si>
  <si>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</si>
  <si>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</si>
  <si>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</si>
  <si>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</si>
  <si>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</si>
  <si>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</si>
  <si>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</si>
  <si>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</si>
  <si>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</si>
  <si>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</si>
  <si>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</si>
  <si>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</si>
  <si>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</si>
  <si>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</si>
  <si>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</si>
  <si>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</si>
  <si>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</si>
  <si>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</si>
  <si>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</si>
  <si>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</si>
  <si>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</si>
  <si>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</si>
  <si>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</si>
  <si>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</si>
  <si>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</si>
  <si>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</si>
  <si>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</si>
  <si>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</si>
  <si>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</si>
  <si>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</si>
  <si>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</si>
  <si>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</si>
  <si>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</si>
  <si>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</si>
  <si>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</si>
  <si>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</si>
  <si>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</si>
  <si>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</si>
  <si>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</si>
  <si>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</si>
  <si>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</si>
  <si>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</si>
  <si>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</si>
  <si>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</si>
  <si>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</si>
  <si>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</si>
  <si>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</si>
  <si>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</si>
  <si>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</si>
  <si>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</si>
  <si>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</si>
  <si>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</si>
  <si>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</si>
  <si>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</si>
  <si>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</si>
  <si>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</si>
  <si>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</si>
  <si>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</si>
  <si>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</si>
  <si>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</si>
  <si>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</si>
  <si>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</si>
  <si>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</si>
  <si>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</si>
  <si>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</si>
  <si>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</si>
  <si>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</si>
  <si>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</si>
  <si>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</si>
  <si>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</si>
  <si>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</si>
  <si>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</si>
  <si>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</si>
  <si>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</si>
  <si>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</si>
  <si>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</si>
  <si>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</si>
  <si>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</si>
  <si>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</si>
  <si>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</si>
  <si>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</si>
  <si>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</si>
  <si>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</si>
  <si>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</si>
  <si>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</si>
  <si>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</si>
  <si>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Eurostat demo_magec 2024 (Sterbefälle × Alter × Sex)</t>
  </si>
  <si>
    <t>Eurostat demo_magec: Sterbefälle × Einzelalter × Sex. NAT/MIG-Split anteilig zur Pop-Struktur (gleiche Sterbetafel Annahme, AT-Original).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</si>
  <si>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</si>
  <si>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</si>
  <si>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</si>
  <si>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</si>
  <si>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</si>
  <si>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</si>
  <si>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</si>
  <si>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</si>
  <si>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</si>
  <si>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</si>
  <si>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</si>
  <si>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</si>
  <si>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</si>
  <si>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</si>
  <si>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</si>
  <si>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</si>
  <si>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</si>
  <si>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</si>
  <si>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</si>
  <si>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</si>
  <si>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</si>
  <si>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</si>
  <si>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</si>
  <si>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</si>
  <si>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</si>
  <si>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</si>
  <si>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</si>
  <si>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</si>
  <si>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</si>
  <si>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</si>
  <si>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</si>
  <si>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</si>
  <si>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</si>
  <si>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</si>
  <si>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</si>
  <si>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</si>
  <si>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</si>
  <si>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</si>
  <si>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</si>
  <si>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</si>
  <si>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</si>
  <si>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</si>
  <si>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</si>
  <si>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</si>
  <si>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</si>
  <si>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</si>
  <si>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</si>
  <si>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</si>
  <si>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</si>
  <si>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</si>
  <si>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</si>
  <si>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</si>
  <si>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</si>
  <si>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</si>
  <si>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</si>
  <si>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</si>
  <si>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</si>
  <si>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</si>
  <si>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</si>
  <si>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</si>
  <si>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</si>
  <si>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</si>
  <si>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</si>
  <si>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</si>
  <si>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</si>
  <si>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</si>
  <si>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</si>
  <si>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</si>
  <si>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</si>
  <si>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</si>
  <si>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</si>
  <si>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</si>
  <si>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</si>
  <si>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</si>
  <si>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</si>
  <si>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</si>
  <si>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</si>
  <si>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</si>
  <si>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</si>
  <si>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</si>
  <si>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</si>
  <si>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</si>
  <si>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</si>
  <si>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</si>
  <si>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</si>
  <si>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</si>
  <si>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</si>
  <si>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</si>
  <si>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</si>
  <si>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</si>
  <si>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</si>
  <si>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</si>
  <si>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</si>
  <si>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</si>
  <si>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</si>
  <si>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</si>
  <si>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</si>
  <si>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</si>
  <si>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</si>
  <si>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</si>
  <si>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</si>
  <si>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</si>
  <si>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</si>
  <si>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</si>
  <si>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</si>
  <si>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</si>
  <si>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Eurostat migr_imm3ctb 2015-2024 (Zeitreihe)</t>
  </si>
  <si>
    <t>Eurostat migr_imm3ctb: Immigration Total × Geburtsland 2015-2024. Sex-Anteile aus 2024-Daten (Imm FOR 55,6% M / NAT 53,8% M). D/E/J/K befüllt — F/G und Detail R384-R483 berechnen sich automatisch.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</si>
  <si>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</si>
  <si>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</si>
  <si>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</si>
  <si>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</si>
  <si>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</si>
  <si>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</si>
  <si>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</si>
  <si>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</si>
  <si>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</si>
  <si>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</si>
  <si>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</si>
  <si>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</si>
  <si>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</si>
  <si>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</si>
  <si>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</si>
  <si>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</si>
  <si>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</si>
  <si>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</si>
  <si>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</si>
  <si>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</si>
  <si>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</si>
  <si>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</si>
  <si>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</si>
  <si>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</si>
  <si>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</si>
  <si>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</si>
  <si>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</si>
  <si>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</si>
  <si>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</si>
  <si>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</si>
  <si>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</si>
  <si>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</si>
  <si>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</si>
  <si>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</si>
  <si>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</si>
  <si>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</si>
  <si>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</si>
  <si>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</si>
  <si>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</si>
  <si>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</si>
  <si>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</si>
  <si>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</si>
  <si>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</si>
  <si>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</si>
  <si>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</si>
  <si>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</si>
  <si>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</si>
  <si>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</si>
  <si>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</si>
  <si>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</si>
  <si>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</si>
  <si>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</si>
  <si>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</si>
  <si>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</si>
  <si>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</si>
  <si>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</si>
  <si>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</si>
  <si>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</si>
  <si>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</si>
  <si>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</si>
  <si>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</si>
  <si>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</si>
  <si>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</si>
  <si>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</si>
  <si>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</si>
  <si>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</si>
  <si>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</si>
  <si>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</si>
  <si>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</si>
  <si>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</si>
  <si>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</si>
  <si>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</si>
  <si>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</si>
  <si>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</si>
  <si>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</si>
  <si>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</si>
  <si>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</si>
  <si>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</si>
  <si>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</si>
  <si>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</si>
  <si>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</si>
  <si>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</si>
  <si>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</si>
  <si>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</si>
  <si>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</si>
  <si>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</si>
  <si>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</si>
  <si>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</si>
  <si>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</si>
  <si>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</si>
  <si>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</si>
  <si>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</si>
  <si>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</si>
  <si>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</si>
  <si>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</si>
  <si>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</si>
  <si>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</si>
  <si>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</si>
  <si>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</si>
  <si>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</si>
  <si>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</si>
  <si>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</si>
  <si>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</si>
  <si>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</si>
  <si>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</si>
  <si>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</si>
  <si>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</si>
  <si>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</si>
  <si>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Eurostat migr_emi4ctb 2015-2024</t>
  </si>
  <si>
    <t>Eurostat migr_emi4ctb 2015-2024. Sex-Anteile aus 2024 (Emi FOR 60,5% M / NAT 54,3% M).</t>
  </si>
  <si>
    <t>Percentage of people emigratin in relation to the p.</t>
  </si>
  <si>
    <t>Life expectancy</t>
  </si>
  <si>
    <t>l</t>
  </si>
  <si>
    <t>ls</t>
  </si>
  <si>
    <t>DESTATIS Sterbetafel 2022/24 (12621-0001)</t>
  </si>
  <si>
    <t>destatis.de 12621-0001</t>
  </si>
  <si>
    <t>e0 2022/24: M=78.47, F=83.19, Ø=80.83. Identisch für Native/Migrant.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</si>
  <si>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</si>
  <si>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</si>
  <si>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</si>
  <si>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</si>
  <si>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</si>
  <si>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</si>
  <si>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</si>
  <si>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</si>
  <si>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</si>
  <si>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</si>
  <si>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</si>
  <si>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</si>
  <si>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</si>
  <si>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</si>
  <si>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</si>
  <si>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</si>
  <si>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</si>
  <si>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</si>
  <si>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</si>
  <si>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</si>
  <si>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</si>
  <si>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</si>
  <si>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</si>
  <si>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</si>
  <si>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</si>
  <si>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</si>
  <si>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</si>
  <si>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</si>
  <si>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</si>
  <si>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</si>
  <si>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</si>
  <si>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</si>
  <si>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</si>
  <si>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</si>
  <si>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</si>
  <si>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</si>
  <si>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</si>
  <si>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</si>
  <si>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</si>
  <si>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</si>
  <si>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</si>
  <si>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</si>
  <si>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</si>
  <si>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</si>
  <si>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</si>
  <si>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</si>
  <si>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</si>
  <si>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</si>
  <si>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</si>
  <si>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</si>
  <si>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</si>
  <si>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</si>
  <si>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</si>
  <si>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</si>
  <si>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</si>
  <si>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</si>
  <si>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</si>
  <si>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</si>
  <si>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</si>
  <si>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</si>
  <si>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</si>
  <si>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</si>
  <si>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</si>
  <si>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</si>
  <si>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</si>
  <si>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</si>
  <si>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</si>
  <si>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</si>
  <si>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</si>
  <si>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</si>
  <si>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</si>
  <si>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</si>
  <si>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</si>
  <si>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</si>
  <si>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</si>
  <si>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</si>
  <si>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</si>
  <si>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</si>
  <si>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</si>
  <si>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</si>
  <si>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</si>
  <si>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</si>
  <si>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</si>
  <si>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</si>
  <si>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</si>
  <si>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</si>
  <si>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</si>
  <si>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</si>
  <si>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</si>
  <si>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</si>
  <si>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</si>
  <si>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</si>
  <si>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</si>
  <si>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</si>
  <si>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</si>
  <si>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</si>
  <si>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</si>
  <si>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</si>
  <si>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</si>
  <si>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</si>
  <si>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</si>
  <si>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</si>
  <si>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</si>
  <si>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</si>
  <si>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</si>
  <si>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</si>
  <si>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</si>
  <si>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</si>
  <si>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</si>
  <si>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</si>
  <si>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</si>
  <si>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</si>
  <si>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</si>
  <si>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</si>
  <si>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</si>
  <si>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</si>
  <si>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</si>
  <si>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</si>
  <si>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</si>
  <si>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</si>
  <si>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</si>
  <si>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</si>
  <si>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</si>
  <si>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</si>
  <si>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</si>
  <si>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</si>
  <si>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</si>
  <si>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</si>
  <si>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</si>
  <si>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</si>
  <si>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</si>
  <si>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</si>
  <si>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</si>
  <si>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</si>
  <si>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</si>
  <si>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</si>
  <si>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</si>
  <si>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</si>
  <si>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</si>
  <si>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</si>
  <si>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</si>
  <si>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</si>
  <si>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</si>
  <si>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</si>
  <si>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</si>
  <si>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</si>
  <si>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</si>
  <si>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</si>
  <si>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</si>
  <si>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</si>
  <si>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</si>
  <si>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</si>
  <si>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</si>
  <si>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</si>
  <si>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</si>
  <si>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</si>
  <si>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</si>
  <si>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</si>
  <si>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</si>
  <si>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</si>
  <si>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</si>
  <si>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</si>
  <si>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</si>
  <si>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</si>
  <si>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</si>
  <si>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</si>
  <si>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</si>
  <si>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</si>
  <si>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</si>
  <si>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</si>
  <si>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</si>
  <si>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</si>
  <si>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</si>
  <si>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</si>
  <si>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</si>
  <si>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</si>
  <si>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</si>
  <si>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</si>
  <si>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</si>
  <si>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</si>
  <si>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</si>
  <si>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</si>
  <si>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</si>
  <si>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</si>
  <si>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</si>
  <si>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</si>
  <si>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</si>
  <si>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</si>
  <si>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</si>
  <si>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</si>
  <si>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</si>
  <si>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</si>
  <si>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</si>
  <si>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</si>
  <si>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</si>
  <si>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</si>
  <si>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</si>
  <si>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</si>
  <si>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</si>
  <si>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</si>
  <si>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</si>
  <si>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</si>
  <si>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</si>
  <si>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</si>
  <si>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</si>
  <si>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</si>
  <si>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</si>
  <si>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</si>
  <si>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</si>
  <si>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</si>
  <si>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</si>
  <si>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</si>
  <si>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</si>
  <si>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</si>
  <si>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</si>
  <si>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</si>
  <si>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</si>
  <si>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</si>
  <si>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</si>
  <si>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</si>
  <si>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</si>
  <si>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</si>
  <si>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</si>
  <si>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</si>
  <si>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</si>
  <si>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</si>
  <si>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</si>
  <si>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</si>
  <si>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</si>
  <si>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</si>
  <si>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</si>
  <si>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</si>
  <si>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</si>
  <si>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</si>
  <si>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</si>
  <si>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</si>
  <si>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</si>
  <si>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</si>
  <si>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</si>
  <si>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</si>
  <si>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</si>
  <si>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</si>
  <si>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</si>
  <si>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</si>
  <si>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</si>
  <si>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</si>
  <si>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</si>
  <si>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</si>
  <si>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</si>
  <si>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</si>
  <si>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</si>
  <si>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</si>
  <si>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</si>
  <si>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</si>
  <si>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</si>
  <si>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</si>
  <si>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</si>
  <si>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</si>
  <si>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</si>
  <si>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</si>
  <si>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</si>
  <si>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</si>
  <si>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</si>
  <si>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</si>
  <si>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</si>
  <si>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</si>
  <si>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</si>
  <si>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</si>
  <si>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</si>
  <si>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</si>
  <si>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</si>
  <si>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</si>
  <si>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</si>
  <si>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</si>
  <si>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</si>
  <si>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</si>
  <si>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</si>
  <si>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</si>
  <si>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</si>
  <si>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</si>
  <si>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</si>
  <si>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</si>
  <si>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</si>
  <si>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</si>
  <si>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</si>
  <si>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</si>
  <si>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</si>
  <si>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</si>
  <si>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</si>
  <si>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</si>
  <si>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</si>
  <si>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</si>
  <si>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</si>
  <si>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</si>
  <si>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</si>
  <si>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</si>
  <si>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</si>
  <si>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</si>
  <si>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</si>
  <si>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</si>
  <si>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</si>
  <si>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</si>
  <si>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</si>
  <si>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</si>
  <si>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</si>
  <si>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</si>
  <si>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</si>
  <si>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</si>
  <si>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</si>
  <si>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</si>
  <si>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</si>
  <si>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</si>
  <si>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</si>
  <si>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</si>
  <si>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</si>
  <si>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</si>
  <si>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</si>
  <si>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</si>
  <si>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</si>
  <si>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</si>
  <si>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</si>
  <si>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</si>
  <si>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</si>
  <si>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</si>
  <si>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</si>
  <si>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</si>
  <si>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</si>
  <si>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</si>
  <si>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</si>
  <si>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</si>
  <si>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</si>
  <si>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</si>
  <si>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</si>
  <si>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</si>
  <si>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</si>
  <si>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</si>
  <si>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</si>
  <si>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</si>
  <si>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</si>
  <si>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</si>
  <si>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</si>
  <si>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</si>
  <si>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</si>
  <si>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</si>
  <si>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</si>
  <si>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</si>
  <si>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</si>
  <si>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</si>
  <si>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</si>
  <si>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</si>
  <si>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</si>
  <si>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</si>
  <si>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</si>
  <si>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</si>
  <si>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</si>
  <si>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</si>
  <si>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</si>
  <si>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</si>
  <si>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</si>
  <si>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</si>
  <si>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</si>
  <si>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</si>
  <si>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</si>
  <si>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</si>
  <si>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</si>
  <si>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</si>
  <si>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</si>
  <si>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</si>
  <si>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</si>
  <si>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</si>
  <si>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</si>
  <si>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</si>
  <si>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</si>
  <si>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</si>
  <si>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</si>
  <si>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</si>
  <si>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</si>
  <si>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</si>
  <si>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</si>
  <si>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</si>
  <si>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</si>
  <si>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</si>
  <si>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</si>
  <si>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</si>
  <si>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</si>
  <si>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</si>
  <si>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</si>
  <si>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</si>
  <si>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</si>
  <si>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</si>
  <si>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</si>
  <si>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</si>
  <si>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</si>
  <si>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</si>
  <si>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</si>
  <si>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</si>
  <si>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</si>
  <si>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</si>
  <si>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</si>
  <si>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</si>
  <si>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</si>
  <si>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</si>
  <si>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</si>
  <si>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</si>
  <si>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</si>
  <si>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</si>
  <si>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</si>
  <si>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</si>
  <si>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</si>
  <si>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</si>
  <si>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</si>
  <si>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</si>
  <si>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</si>
  <si>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</si>
  <si>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</si>
  <si>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</si>
  <si>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</si>
  <si>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</si>
  <si>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</si>
  <si>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</si>
  <si>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</si>
  <si>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</si>
  <si>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</si>
  <si>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</si>
  <si>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</si>
  <si>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</si>
  <si>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</si>
  <si>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</si>
  <si>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</si>
  <si>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</si>
  <si>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</si>
  <si>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</si>
  <si>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</si>
  <si>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</si>
  <si>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</si>
  <si>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</si>
  <si>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</si>
  <si>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</si>
  <si>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</si>
  <si>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</si>
  <si>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</si>
  <si>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</si>
  <si>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</si>
  <si>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</si>
  <si>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</si>
  <si>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</si>
  <si>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</si>
  <si>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</si>
  <si>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</si>
  <si>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</si>
  <si>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</si>
  <si>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</si>
  <si>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</si>
  <si>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</si>
  <si>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</si>
  <si>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</si>
  <si>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</si>
  <si>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</si>
  <si>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</si>
  <si>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</si>
  <si>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</si>
  <si>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</si>
  <si>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</si>
  <si>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</si>
  <si>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</si>
  <si>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</si>
  <si>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</si>
  <si>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</si>
  <si>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</si>
  <si>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</si>
  <si>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</si>
  <si>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</si>
  <si>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</si>
  <si>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</si>
  <si>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</si>
  <si>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</si>
  <si>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</si>
  <si>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</si>
  <si>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</si>
  <si>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</si>
  <si>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</si>
  <si>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</si>
  <si>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</si>
  <si>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</si>
  <si>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</si>
  <si>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</si>
  <si>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</si>
  <si>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</si>
  <si>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</si>
  <si>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</si>
  <si>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</si>
  <si>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</si>
  <si>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</si>
  <si>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</si>
  <si>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</si>
  <si>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</si>
  <si>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</si>
  <si>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</si>
  <si>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</si>
  <si>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</si>
  <si>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</si>
  <si>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</si>
  <si>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</si>
  <si>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</si>
  <si>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</si>
  <si>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</si>
  <si>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</si>
  <si>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</si>
  <si>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</si>
  <si>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</si>
  <si>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</si>
  <si>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</si>
  <si>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</si>
  <si>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</si>
  <si>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</si>
  <si>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</si>
  <si>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</si>
  <si>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</si>
  <si>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</si>
  <si>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</si>
  <si>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</si>
  <si>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</si>
  <si>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</si>
  <si>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</si>
  <si>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</si>
  <si>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</si>
  <si>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</si>
  <si>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</si>
  <si>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</si>
  <si>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</si>
  <si>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</si>
  <si>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</si>
  <si>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</si>
  <si>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</si>
  <si>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</si>
  <si>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</si>
  <si>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</si>
  <si>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</si>
  <si>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</si>
  <si>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</si>
  <si>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</si>
  <si>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</si>
  <si>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</si>
  <si>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</si>
  <si>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</si>
  <si>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</si>
  <si>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</si>
  <si>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</si>
  <si>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</si>
  <si>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</si>
  <si>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</si>
  <si>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</si>
  <si>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</si>
  <si>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</si>
  <si>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</si>
  <si>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</si>
  <si>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</si>
  <si>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</si>
  <si>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</si>
  <si>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</si>
  <si>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</si>
  <si>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</si>
  <si>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</si>
  <si>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</si>
  <si>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</si>
  <si>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</si>
  <si>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</si>
  <si>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</si>
  <si>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</si>
  <si>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</si>
  <si>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</si>
  <si>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</si>
  <si>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</si>
  <si>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</si>
  <si>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</si>
  <si>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</si>
  <si>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</si>
  <si>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</si>
  <si>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</si>
  <si>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</si>
  <si>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</si>
  <si>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</si>
  <si>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</si>
  <si>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</si>
  <si>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</si>
  <si>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</si>
  <si>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</si>
  <si>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</si>
  <si>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</si>
  <si>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</si>
  <si>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</si>
  <si>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</si>
  <si>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</si>
  <si>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</si>
  <si>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</si>
  <si>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</si>
  <si>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</si>
  <si>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</si>
  <si>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</si>
  <si>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</si>
  <si>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</si>
  <si>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</si>
  <si>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</si>
  <si>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</si>
  <si>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</si>
  <si>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</si>
  <si>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</si>
  <si>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</si>
  <si>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</si>
  <si>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</si>
  <si>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</si>
  <si>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</si>
  <si>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</si>
  <si>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</si>
  <si>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</si>
  <si>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</si>
  <si>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</si>
  <si>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</si>
  <si>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</si>
  <si>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</si>
  <si>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</si>
  <si>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</si>
  <si>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</si>
  <si>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</si>
  <si>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</si>
  <si>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</si>
  <si>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</si>
  <si>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</si>
  <si>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</si>
  <si>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</si>
  <si>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</si>
  <si>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</si>
  <si>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</si>
  <si>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</si>
  <si>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</si>
  <si>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</si>
  <si>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</si>
  <si>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</si>
  <si>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</si>
  <si>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</si>
  <si>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</si>
  <si>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</si>
  <si>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</si>
  <si>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</si>
  <si>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</si>
  <si>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</si>
  <si>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</si>
  <si>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</si>
  <si>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</si>
  <si>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</si>
  <si>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</si>
  <si>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</si>
  <si>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</si>
  <si>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</si>
  <si>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</si>
  <si>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</si>
  <si>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</si>
  <si>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</si>
  <si>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</si>
  <si>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</si>
  <si>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</si>
  <si>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</si>
  <si>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</si>
  <si>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</si>
  <si>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</si>
  <si>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</si>
  <si>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</si>
  <si>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</si>
  <si>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</si>
  <si>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</si>
  <si>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</si>
  <si>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</si>
  <si>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</si>
  <si>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</si>
  <si>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</si>
  <si>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</si>
  <si>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</si>
  <si>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</si>
  <si>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</si>
  <si>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</si>
  <si>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</si>
  <si>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</si>
  <si>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</si>
  <si>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</si>
  <si>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</si>
  <si>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</si>
  <si>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</si>
  <si>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</si>
  <si>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</si>
  <si>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</si>
  <si>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</si>
  <si>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</si>
  <si>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</si>
  <si>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</si>
  <si>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</si>
  <si>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</si>
  <si>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</si>
  <si>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</si>
  <si>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</si>
  <si>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</si>
  <si>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</si>
  <si>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</si>
  <si>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</si>
  <si>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</si>
  <si>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</si>
  <si>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</si>
  <si>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</si>
  <si>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</si>
  <si>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</si>
  <si>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</si>
  <si>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</si>
  <si>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</si>
  <si>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</si>
  <si>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</si>
  <si>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</si>
  <si>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</si>
  <si>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</si>
  <si>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</si>
  <si>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</si>
  <si>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</si>
  <si>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</si>
  <si>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</si>
  <si>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</si>
  <si>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</si>
  <si>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</si>
  <si>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</si>
  <si>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</si>
  <si>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</si>
  <si>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</si>
  <si>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</si>
  <si>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</si>
  <si>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</si>
  <si>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</si>
  <si>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</si>
  <si>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</si>
  <si>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</si>
  <si>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</si>
  <si>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</si>
  <si>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</si>
  <si>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</si>
  <si>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</si>
  <si>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</si>
  <si>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</si>
  <si>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</si>
  <si>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</si>
  <si>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</si>
  <si>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</si>
  <si>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</si>
  <si>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</si>
  <si>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</si>
  <si>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</si>
  <si>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</si>
  <si>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</si>
  <si>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</si>
  <si>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</si>
  <si>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</si>
  <si>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</si>
  <si>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</si>
  <si>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</si>
  <si>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</si>
  <si>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</si>
  <si>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</si>
  <si>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</si>
  <si>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</si>
  <si>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</si>
  <si>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</si>
  <si>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</si>
  <si>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</si>
  <si>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</si>
  <si>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</si>
  <si>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DESTATIS Mikrozensus 2024 Geburtsstaaten</t>
  </si>
  <si>
    <t>Mikrozensus 2024: 39 gemappte Top-Staaten + Other/Unknown. Sex 50/50. Werte in Personen.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</si>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</sst>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46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4" borderId="1" xfId="0" applyFill="1" applyBorder="1" applyAlignment="1">
      <alignment horizontal="left" vertical="top" wrapText="1"/>
    </xf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20"/>
  <sheetViews>
    <sheetView showGridLines="0" tabSelected="1" workbookViewId="0">
      <pane xSplit="1" ySplit="2" topLeftCell="B102" activePane="bottomRight" state="frozen"/>
      <selection pane="topRight"/>
      <selection pane="bottomLeft"/>
      <selection pane="bottomRight" activeCell="I119" sqref="I119"/>
    </sheetView>
  </sheetViews>
  <sheetFormatPr baseColWidth="10" defaultColWidth="16.28515625" defaultRowHeight="19.899999999999999" customHeight="1"/>
  <cols>
    <col min="1" max="1" width="7" customWidth="1"/>
    <col min="2" max="3" width="40" customWidth="1"/>
    <col min="4" max="12" width="16" customWidth="1"/>
    <col min="13" max="13" width="16.28515625" customWidth="1"/>
  </cols>
  <sheetData>
    <row r="1" spans="1:12" ht="20.100000000000001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/>
    </row>
    <row r="2" spans="1:12" ht="32.25" customHeight="1">
      <c r="A2" s="4"/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ht="68.25" customHeight="1">
      <c r="A3" s="7"/>
      <c r="B3" s="8" t="s">
        <v>20</v>
      </c>
      <c r="C3" s="9" t="s">
        <v>21</v>
      </c>
      <c r="D3" s="9" t="s">
        <v>22</v>
      </c>
      <c r="E3" s="9" t="s">
        <v>22</v>
      </c>
      <c r="F3" s="9" t="s">
        <v>22</v>
      </c>
      <c r="G3" s="9" t="s">
        <v>22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</row>
    <row r="4" spans="1:12" ht="56.1" customHeight="1">
      <c r="A4" s="10"/>
      <c r="B4" s="11"/>
      <c r="C4" s="12"/>
      <c r="D4" s="13" t="s">
        <v>24</v>
      </c>
      <c r="E4" s="14" t="s">
        <v>25</v>
      </c>
      <c r="F4" s="15" t="s">
        <v>26</v>
      </c>
      <c r="G4" s="12"/>
      <c r="H4" s="13" t="s">
        <v>27</v>
      </c>
      <c r="I4" s="13" t="s">
        <v>27</v>
      </c>
      <c r="J4" s="13" t="s">
        <v>27</v>
      </c>
      <c r="K4" s="13" t="s">
        <v>27</v>
      </c>
      <c r="L4" s="13" t="s">
        <v>27</v>
      </c>
    </row>
    <row r="5" spans="1:12" ht="26.85" customHeight="1">
      <c r="A5" s="16"/>
      <c r="B5" s="17" t="s">
        <v>28</v>
      </c>
      <c r="C5" s="18"/>
      <c r="D5" s="19"/>
      <c r="E5" s="19"/>
      <c r="F5" s="19"/>
      <c r="G5" s="19"/>
      <c r="H5" s="19"/>
      <c r="I5" s="19"/>
      <c r="J5" s="19"/>
      <c r="K5" s="19"/>
      <c r="L5" s="19"/>
    </row>
    <row r="6" spans="1:12" ht="20.100000000000001" customHeight="1">
      <c r="A6" s="20" t="s">
        <v>5</v>
      </c>
      <c r="B6" s="21" t="s">
        <v>29</v>
      </c>
      <c r="C6" s="22" t="s">
        <v>30</v>
      </c>
      <c r="D6" s="12"/>
      <c r="E6" s="12"/>
      <c r="F6" s="12"/>
      <c r="G6" s="12"/>
      <c r="H6" s="12"/>
      <c r="I6" s="12"/>
      <c r="J6" s="12"/>
      <c r="K6" s="12"/>
      <c r="L6" s="12"/>
    </row>
    <row r="7" spans="1:12" ht="20.100000000000001" customHeight="1">
      <c r="A7" s="20" t="s">
        <v>31</v>
      </c>
      <c r="B7" s="21" t="s">
        <v>9</v>
      </c>
      <c r="C7" s="22" t="s">
        <v>32</v>
      </c>
      <c r="D7" s="12"/>
      <c r="E7" s="12"/>
      <c r="F7" s="12"/>
      <c r="G7" s="12"/>
      <c r="H7" s="12"/>
      <c r="I7" s="12"/>
      <c r="J7" s="12"/>
      <c r="K7" s="12"/>
      <c r="L7" s="12"/>
    </row>
    <row r="8" spans="1:12" ht="20.100000000000001" customHeight="1">
      <c r="A8" s="10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26.85" customHeight="1">
      <c r="A9" s="16"/>
      <c r="B9" s="17" t="s">
        <v>33</v>
      </c>
      <c r="C9" s="23" t="s">
        <v>34</v>
      </c>
      <c r="D9" s="19"/>
      <c r="E9" s="19"/>
      <c r="F9" s="19"/>
      <c r="G9" s="19"/>
      <c r="H9" s="19"/>
      <c r="I9" s="19"/>
      <c r="J9" s="19"/>
      <c r="K9" s="19"/>
      <c r="L9" s="19"/>
    </row>
    <row r="10" spans="1:12" ht="20.100000000000001" customHeight="1">
      <c r="A10" s="20" t="s">
        <v>35</v>
      </c>
      <c r="B10" s="21" t="s">
        <v>36</v>
      </c>
      <c r="C10" s="24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20.100000000000001" customHeight="1">
      <c r="A12" s="20" t="s">
        <v>38</v>
      </c>
      <c r="B12" s="21" t="s">
        <v>39</v>
      </c>
      <c r="C12" s="26" t="s">
        <v>40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0.100000000000001" customHeight="1">
      <c r="A13" s="10"/>
      <c r="B13" s="21" t="s">
        <v>41</v>
      </c>
      <c r="C13" s="22" t="s">
        <v>42</v>
      </c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0.100000000000001" customHeight="1">
      <c r="A14" s="10"/>
      <c r="B14" s="21" t="s">
        <v>43</v>
      </c>
      <c r="C14" s="27" t="s">
        <v>44</v>
      </c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20.100000000000001" customHeight="1">
      <c r="A15" s="10"/>
      <c r="B15" s="21" t="s">
        <v>45</v>
      </c>
      <c r="C15" s="2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20.100000000000001" customHeight="1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26.85" customHeight="1">
      <c r="A17" s="16"/>
      <c r="B17" s="17" t="s">
        <v>46</v>
      </c>
      <c r="C17" s="23" t="s">
        <v>47</v>
      </c>
      <c r="D17" s="19"/>
      <c r="E17" s="19"/>
      <c r="F17" s="19"/>
      <c r="G17" s="19"/>
      <c r="H17" s="19"/>
      <c r="I17" s="19"/>
      <c r="J17" s="19"/>
      <c r="K17" s="19"/>
      <c r="L17" s="19"/>
    </row>
    <row r="18" spans="1:12" ht="20.100000000000001" customHeight="1">
      <c r="A18" s="20" t="s">
        <v>48</v>
      </c>
      <c r="B18" s="21" t="s">
        <v>49</v>
      </c>
      <c r="C18" s="28">
        <f t="array" ref="C18">H18+I18</f>
        <v>673380</v>
      </c>
      <c r="D18" s="29">
        <v>188183</v>
      </c>
      <c r="E18" s="29">
        <v>197722</v>
      </c>
      <c r="F18" s="29">
        <v>139575</v>
      </c>
      <c r="G18" s="29">
        <v>147900</v>
      </c>
      <c r="H18" s="30">
        <f t="array" ref="H18">E18+D18</f>
        <v>385905</v>
      </c>
      <c r="I18" s="30">
        <f t="array" ref="I18">G18+F18</f>
        <v>287475</v>
      </c>
      <c r="J18" s="30">
        <f t="array" ref="J18">D18+F18</f>
        <v>327758</v>
      </c>
      <c r="K18" s="30">
        <f t="array" ref="K18">E18+G18</f>
        <v>345622</v>
      </c>
      <c r="L18" s="30"/>
    </row>
    <row r="19" spans="1:12" ht="20.100000000000001" customHeight="1">
      <c r="A19" s="20" t="s">
        <v>50</v>
      </c>
      <c r="B19" s="21" t="s">
        <v>51</v>
      </c>
      <c r="C19" s="28">
        <f t="array" ref="C19">H19+I19</f>
        <v>700939</v>
      </c>
      <c r="D19" s="29">
        <v>195885</v>
      </c>
      <c r="E19" s="29">
        <v>205814</v>
      </c>
      <c r="F19" s="29">
        <v>145287</v>
      </c>
      <c r="G19" s="29">
        <v>153953</v>
      </c>
      <c r="H19" s="30">
        <f t="array" ref="H19">E19+D19</f>
        <v>401699</v>
      </c>
      <c r="I19" s="30">
        <f t="array" ref="I19">G19+F19</f>
        <v>299240</v>
      </c>
      <c r="J19" s="30">
        <f t="array" ref="J19">D19+F19</f>
        <v>341172</v>
      </c>
      <c r="K19" s="30">
        <f t="array" ref="K19">E19+G19</f>
        <v>359767</v>
      </c>
      <c r="L19" s="30"/>
    </row>
    <row r="20" spans="1:12" ht="20.100000000000001" customHeight="1">
      <c r="A20" s="20" t="s">
        <v>52</v>
      </c>
      <c r="B20" s="21" t="s">
        <v>53</v>
      </c>
      <c r="C20" s="28">
        <f t="array" ref="C20">H20+I20</f>
        <v>744163</v>
      </c>
      <c r="D20" s="29">
        <v>207964</v>
      </c>
      <c r="E20" s="29">
        <v>218506</v>
      </c>
      <c r="F20" s="29">
        <v>154246</v>
      </c>
      <c r="G20" s="29">
        <v>163447</v>
      </c>
      <c r="H20" s="30">
        <f t="array" ref="H20">E20+D20</f>
        <v>426470</v>
      </c>
      <c r="I20" s="30">
        <f t="array" ref="I20">G20+F20</f>
        <v>317693</v>
      </c>
      <c r="J20" s="30">
        <f t="array" ref="J20">D20+F20</f>
        <v>362210</v>
      </c>
      <c r="K20" s="30">
        <f t="array" ref="K20">E20+G20</f>
        <v>381953</v>
      </c>
      <c r="L20" s="30"/>
    </row>
    <row r="21" spans="1:12" ht="20.100000000000001" customHeight="1">
      <c r="A21" s="20" t="s">
        <v>54</v>
      </c>
      <c r="B21" s="21" t="s">
        <v>55</v>
      </c>
      <c r="C21" s="28">
        <f t="array" ref="C21">H21+I21</f>
        <v>797030</v>
      </c>
      <c r="D21" s="29">
        <v>222738</v>
      </c>
      <c r="E21" s="29">
        <v>234029</v>
      </c>
      <c r="F21" s="29">
        <v>165205</v>
      </c>
      <c r="G21" s="29">
        <v>175058</v>
      </c>
      <c r="H21" s="30">
        <f t="array" ref="H21">E21+D21</f>
        <v>456767</v>
      </c>
      <c r="I21" s="30">
        <f t="array" ref="I21">G21+F21</f>
        <v>340263</v>
      </c>
      <c r="J21" s="30">
        <f t="array" ref="J21">D21+F21</f>
        <v>387943</v>
      </c>
      <c r="K21" s="30">
        <f t="array" ref="K21">E21+G21</f>
        <v>409087</v>
      </c>
      <c r="L21" s="30"/>
    </row>
    <row r="22" spans="1:12" ht="20.100000000000001" customHeight="1">
      <c r="A22" s="20" t="s">
        <v>56</v>
      </c>
      <c r="B22" s="21" t="s">
        <v>57</v>
      </c>
      <c r="C22" s="28">
        <f t="array" ref="C22">H22+I22</f>
        <v>783615</v>
      </c>
      <c r="D22" s="29">
        <v>218989</v>
      </c>
      <c r="E22" s="29">
        <v>230090</v>
      </c>
      <c r="F22" s="29">
        <v>162424</v>
      </c>
      <c r="G22" s="29">
        <v>172112</v>
      </c>
      <c r="H22" s="30">
        <f t="array" ref="H22">E22+D22</f>
        <v>449079</v>
      </c>
      <c r="I22" s="30">
        <f t="array" ref="I22">G22+F22</f>
        <v>334536</v>
      </c>
      <c r="J22" s="30">
        <f t="array" ref="J22">D22+F22</f>
        <v>381413</v>
      </c>
      <c r="K22" s="30">
        <f t="array" ref="K22">E22+G22</f>
        <v>402202</v>
      </c>
      <c r="L22" s="30"/>
    </row>
    <row r="23" spans="1:12" ht="20.100000000000001" customHeight="1">
      <c r="A23" s="20" t="s">
        <v>58</v>
      </c>
      <c r="B23" s="21" t="s">
        <v>59</v>
      </c>
      <c r="C23" s="28">
        <f t="array" ref="C23">H23+I23</f>
        <v>792542</v>
      </c>
      <c r="D23" s="29">
        <v>219891</v>
      </c>
      <c r="E23" s="29">
        <v>231038</v>
      </c>
      <c r="F23" s="29">
        <v>165860</v>
      </c>
      <c r="G23" s="29">
        <v>175753</v>
      </c>
      <c r="H23" s="30">
        <f t="array" ref="H23">E23+D23</f>
        <v>450929</v>
      </c>
      <c r="I23" s="30">
        <f t="array" ref="I23">G23+F23</f>
        <v>341613</v>
      </c>
      <c r="J23" s="30">
        <f t="array" ref="J23">D23+F23</f>
        <v>385751</v>
      </c>
      <c r="K23" s="30">
        <f t="array" ref="K23">E23+G23</f>
        <v>406791</v>
      </c>
      <c r="L23" s="30"/>
    </row>
    <row r="24" spans="1:12" ht="20.100000000000001" customHeight="1">
      <c r="A24" s="20" t="s">
        <v>60</v>
      </c>
      <c r="B24" s="21" t="s">
        <v>61</v>
      </c>
      <c r="C24" s="28">
        <f t="array" ref="C24">H24+I24</f>
        <v>806423</v>
      </c>
      <c r="D24" s="29">
        <v>223743</v>
      </c>
      <c r="E24" s="29">
        <v>235084</v>
      </c>
      <c r="F24" s="29">
        <v>168765</v>
      </c>
      <c r="G24" s="29">
        <v>178831</v>
      </c>
      <c r="H24" s="30">
        <f t="array" ref="H24">E24+D24</f>
        <v>458827</v>
      </c>
      <c r="I24" s="30">
        <f t="array" ref="I24">G24+F24</f>
        <v>347596</v>
      </c>
      <c r="J24" s="30">
        <f t="array" ref="J24">D24+F24</f>
        <v>392508</v>
      </c>
      <c r="K24" s="30">
        <f t="array" ref="K24">E24+G24</f>
        <v>413915</v>
      </c>
      <c r="L24" s="30"/>
    </row>
    <row r="25" spans="1:12" ht="20.100000000000001" customHeight="1">
      <c r="A25" s="20" t="s">
        <v>62</v>
      </c>
      <c r="B25" s="21" t="s">
        <v>63</v>
      </c>
      <c r="C25" s="28">
        <f t="array" ref="C25">H25+I25</f>
        <v>816018</v>
      </c>
      <c r="D25" s="29">
        <v>226405</v>
      </c>
      <c r="E25" s="29">
        <v>237881</v>
      </c>
      <c r="F25" s="29">
        <v>170773</v>
      </c>
      <c r="G25" s="29">
        <v>180959</v>
      </c>
      <c r="H25" s="30">
        <f t="array" ref="H25">E25+D25</f>
        <v>464286</v>
      </c>
      <c r="I25" s="30">
        <f t="array" ref="I25">G25+F25</f>
        <v>351732</v>
      </c>
      <c r="J25" s="30">
        <f t="array" ref="J25">D25+F25</f>
        <v>397178</v>
      </c>
      <c r="K25" s="30">
        <f t="array" ref="K25">E25+G25</f>
        <v>418840</v>
      </c>
      <c r="L25" s="30"/>
    </row>
    <row r="26" spans="1:12" ht="20.100000000000001" customHeight="1">
      <c r="A26" s="20" t="s">
        <v>64</v>
      </c>
      <c r="B26" s="21" t="s">
        <v>65</v>
      </c>
      <c r="C26" s="28">
        <f t="array" ref="C26">H26+I26</f>
        <v>824410</v>
      </c>
      <c r="D26" s="29">
        <v>228733</v>
      </c>
      <c r="E26" s="29">
        <v>240328</v>
      </c>
      <c r="F26" s="29">
        <v>172529</v>
      </c>
      <c r="G26" s="29">
        <v>182820</v>
      </c>
      <c r="H26" s="30">
        <f t="array" ref="H26">E26+D26</f>
        <v>469061</v>
      </c>
      <c r="I26" s="30">
        <f t="array" ref="I26">G26+F26</f>
        <v>355349</v>
      </c>
      <c r="J26" s="30">
        <f t="array" ref="J26">D26+F26</f>
        <v>401262</v>
      </c>
      <c r="K26" s="30">
        <f t="array" ref="K26">E26+G26</f>
        <v>423148</v>
      </c>
      <c r="L26" s="30"/>
    </row>
    <row r="27" spans="1:12" ht="20.100000000000001" customHeight="1">
      <c r="A27" s="20" t="s">
        <v>66</v>
      </c>
      <c r="B27" s="21" t="s">
        <v>67</v>
      </c>
      <c r="C27" s="28">
        <f t="array" ref="C27">H27+I27</f>
        <v>802173</v>
      </c>
      <c r="D27" s="29">
        <v>222563</v>
      </c>
      <c r="E27" s="29">
        <v>233845</v>
      </c>
      <c r="F27" s="29">
        <v>167876</v>
      </c>
      <c r="G27" s="29">
        <v>177889</v>
      </c>
      <c r="H27" s="30">
        <f t="array" ref="H27">E27+D27</f>
        <v>456408</v>
      </c>
      <c r="I27" s="30">
        <f t="array" ref="I27">G27+F27</f>
        <v>345765</v>
      </c>
      <c r="J27" s="30">
        <f t="array" ref="J27">D27+F27</f>
        <v>390439</v>
      </c>
      <c r="K27" s="30">
        <f t="array" ref="K27">E27+G27</f>
        <v>411734</v>
      </c>
      <c r="L27" s="30"/>
    </row>
    <row r="28" spans="1:12" ht="20.100000000000001" customHeight="1">
      <c r="A28" s="20" t="s">
        <v>68</v>
      </c>
      <c r="B28" s="21" t="s">
        <v>69</v>
      </c>
      <c r="C28" s="28">
        <f t="array" ref="C28">H28+I28</f>
        <v>797364</v>
      </c>
      <c r="D28" s="29">
        <v>222511</v>
      </c>
      <c r="E28" s="29">
        <v>233790</v>
      </c>
      <c r="F28" s="29">
        <v>165593</v>
      </c>
      <c r="G28" s="29">
        <v>175470</v>
      </c>
      <c r="H28" s="30">
        <f t="array" ref="H28">E28+D28</f>
        <v>456301</v>
      </c>
      <c r="I28" s="30">
        <f t="array" ref="I28">G28+F28</f>
        <v>341063</v>
      </c>
      <c r="J28" s="30">
        <f t="array" ref="J28">D28+F28</f>
        <v>388104</v>
      </c>
      <c r="K28" s="30">
        <f t="array" ref="K28">E28+G28</f>
        <v>409260</v>
      </c>
      <c r="L28" s="30"/>
    </row>
    <row r="29" spans="1:12" ht="20.100000000000001" customHeight="1">
      <c r="A29" s="20" t="s">
        <v>70</v>
      </c>
      <c r="B29" s="21" t="s">
        <v>71</v>
      </c>
      <c r="C29" s="28">
        <f t="array" ref="C29">H29+I29</f>
        <v>771006</v>
      </c>
      <c r="D29" s="29">
        <v>215155</v>
      </c>
      <c r="E29" s="29">
        <v>226062</v>
      </c>
      <c r="F29" s="29">
        <v>160119</v>
      </c>
      <c r="G29" s="29">
        <v>169670</v>
      </c>
      <c r="H29" s="30">
        <f t="array" ref="H29">E29+D29</f>
        <v>441217</v>
      </c>
      <c r="I29" s="30">
        <f t="array" ref="I29">G29+F29</f>
        <v>329789</v>
      </c>
      <c r="J29" s="30">
        <f t="array" ref="J29">D29+F29</f>
        <v>375274</v>
      </c>
      <c r="K29" s="30">
        <f t="array" ref="K29">E29+G29</f>
        <v>395732</v>
      </c>
      <c r="L29" s="30"/>
    </row>
    <row r="30" spans="1:12" ht="20.100000000000001" customHeight="1">
      <c r="A30" s="20" t="s">
        <v>72</v>
      </c>
      <c r="B30" s="21" t="s">
        <v>73</v>
      </c>
      <c r="C30" s="28">
        <f t="array" ref="C30">H30+I30</f>
        <v>771740</v>
      </c>
      <c r="D30" s="29">
        <v>215360</v>
      </c>
      <c r="E30" s="29">
        <v>226277</v>
      </c>
      <c r="F30" s="29">
        <v>160272</v>
      </c>
      <c r="G30" s="29">
        <v>169831</v>
      </c>
      <c r="H30" s="30">
        <f t="array" ref="H30">E30+D30</f>
        <v>441637</v>
      </c>
      <c r="I30" s="30">
        <f t="array" ref="I30">G30+F30</f>
        <v>330103</v>
      </c>
      <c r="J30" s="30">
        <f t="array" ref="J30">D30+F30</f>
        <v>375632</v>
      </c>
      <c r="K30" s="30">
        <f t="array" ref="K30">E30+G30</f>
        <v>396108</v>
      </c>
      <c r="L30" s="30"/>
    </row>
    <row r="31" spans="1:12" ht="20.100000000000001" customHeight="1">
      <c r="A31" s="20" t="s">
        <v>74</v>
      </c>
      <c r="B31" s="21" t="s">
        <v>75</v>
      </c>
      <c r="C31" s="28">
        <f t="array" ref="C31">H31+I31</f>
        <v>760061</v>
      </c>
      <c r="D31" s="29">
        <v>212101</v>
      </c>
      <c r="E31" s="29">
        <v>222853</v>
      </c>
      <c r="F31" s="29">
        <v>157846</v>
      </c>
      <c r="G31" s="29">
        <v>167261</v>
      </c>
      <c r="H31" s="30">
        <f t="array" ref="H31">E31+D31</f>
        <v>434954</v>
      </c>
      <c r="I31" s="30">
        <f t="array" ref="I31">G31+F31</f>
        <v>325107</v>
      </c>
      <c r="J31" s="30">
        <f t="array" ref="J31">D31+F31</f>
        <v>369947</v>
      </c>
      <c r="K31" s="30">
        <f t="array" ref="K31">E31+G31</f>
        <v>390114</v>
      </c>
      <c r="L31" s="30"/>
    </row>
    <row r="32" spans="1:12" ht="20.100000000000001" customHeight="1">
      <c r="A32" s="20" t="s">
        <v>76</v>
      </c>
      <c r="B32" s="21" t="s">
        <v>77</v>
      </c>
      <c r="C32" s="28">
        <f t="array" ref="C32">H32+I32</f>
        <v>779031</v>
      </c>
      <c r="D32" s="29">
        <v>217395</v>
      </c>
      <c r="E32" s="29">
        <v>228415</v>
      </c>
      <c r="F32" s="29">
        <v>161786</v>
      </c>
      <c r="G32" s="29">
        <v>171435</v>
      </c>
      <c r="H32" s="30">
        <f t="array" ref="H32">E32+D32</f>
        <v>445810</v>
      </c>
      <c r="I32" s="30">
        <f t="array" ref="I32">G32+F32</f>
        <v>333221</v>
      </c>
      <c r="J32" s="30">
        <f t="array" ref="J32">D32+F32</f>
        <v>379181</v>
      </c>
      <c r="K32" s="30">
        <f t="array" ref="K32">E32+G32</f>
        <v>399850</v>
      </c>
      <c r="L32" s="30"/>
    </row>
    <row r="33" spans="1:12" ht="20.100000000000001" customHeight="1">
      <c r="A33" s="20" t="s">
        <v>78</v>
      </c>
      <c r="B33" s="21" t="s">
        <v>79</v>
      </c>
      <c r="C33" s="28">
        <f t="array" ref="C33">H33+I33</f>
        <v>769458</v>
      </c>
      <c r="D33" s="29">
        <v>212252</v>
      </c>
      <c r="E33" s="29">
        <v>220749</v>
      </c>
      <c r="F33" s="29">
        <v>158607</v>
      </c>
      <c r="G33" s="29">
        <v>177850</v>
      </c>
      <c r="H33" s="30">
        <f t="array" ref="H33">E33+D33</f>
        <v>433001</v>
      </c>
      <c r="I33" s="30">
        <f t="array" ref="I33">G33+F33</f>
        <v>336457</v>
      </c>
      <c r="J33" s="30">
        <f t="array" ref="J33">D33+F33</f>
        <v>370859</v>
      </c>
      <c r="K33" s="30">
        <f t="array" ref="K33">E33+G33</f>
        <v>398599</v>
      </c>
      <c r="L33" s="30"/>
    </row>
    <row r="34" spans="1:12" ht="20.100000000000001" customHeight="1">
      <c r="A34" s="20" t="s">
        <v>80</v>
      </c>
      <c r="B34" s="21" t="s">
        <v>81</v>
      </c>
      <c r="C34" s="28">
        <f t="array" ref="C34">H34+I34</f>
        <v>792341</v>
      </c>
      <c r="D34" s="29">
        <v>218564</v>
      </c>
      <c r="E34" s="29">
        <v>227314</v>
      </c>
      <c r="F34" s="29">
        <v>163324</v>
      </c>
      <c r="G34" s="29">
        <v>183139</v>
      </c>
      <c r="H34" s="30">
        <f t="array" ref="H34">E34+D34</f>
        <v>445878</v>
      </c>
      <c r="I34" s="30">
        <f t="array" ref="I34">G34+F34</f>
        <v>346463</v>
      </c>
      <c r="J34" s="30">
        <f t="array" ref="J34">D34+F34</f>
        <v>381888</v>
      </c>
      <c r="K34" s="30">
        <f t="array" ref="K34">E34+G34</f>
        <v>410453</v>
      </c>
      <c r="L34" s="30"/>
    </row>
    <row r="35" spans="1:12" ht="20.100000000000001" customHeight="1">
      <c r="A35" s="20" t="s">
        <v>82</v>
      </c>
      <c r="B35" s="21" t="s">
        <v>83</v>
      </c>
      <c r="C35" s="28">
        <f t="array" ref="C35">H35+I35</f>
        <v>793349</v>
      </c>
      <c r="D35" s="29">
        <v>218842</v>
      </c>
      <c r="E35" s="29">
        <v>227603</v>
      </c>
      <c r="F35" s="29">
        <v>163532</v>
      </c>
      <c r="G35" s="29">
        <v>183372</v>
      </c>
      <c r="H35" s="30">
        <f t="array" ref="H35">E35+D35</f>
        <v>446445</v>
      </c>
      <c r="I35" s="30">
        <f t="array" ref="I35">G35+F35</f>
        <v>346904</v>
      </c>
      <c r="J35" s="30">
        <f t="array" ref="J35">D35+F35</f>
        <v>382374</v>
      </c>
      <c r="K35" s="30">
        <f t="array" ref="K35">E35+G35</f>
        <v>410975</v>
      </c>
      <c r="L35" s="30"/>
    </row>
    <row r="36" spans="1:12" ht="20.100000000000001" customHeight="1">
      <c r="A36" s="20" t="s">
        <v>84</v>
      </c>
      <c r="B36" s="21" t="s">
        <v>85</v>
      </c>
      <c r="C36" s="28">
        <f t="array" ref="C36">H36+I36</f>
        <v>792901</v>
      </c>
      <c r="D36" s="29">
        <v>218718</v>
      </c>
      <c r="E36" s="29">
        <v>227475</v>
      </c>
      <c r="F36" s="29">
        <v>163439</v>
      </c>
      <c r="G36" s="29">
        <v>183269</v>
      </c>
      <c r="H36" s="30">
        <f t="array" ref="H36">E36+D36</f>
        <v>446193</v>
      </c>
      <c r="I36" s="30">
        <f t="array" ref="I36">G36+F36</f>
        <v>346708</v>
      </c>
      <c r="J36" s="30">
        <f t="array" ref="J36">D36+F36</f>
        <v>382157</v>
      </c>
      <c r="K36" s="30">
        <f t="array" ref="K36">E36+G36</f>
        <v>410744</v>
      </c>
      <c r="L36" s="30"/>
    </row>
    <row r="37" spans="1:12" ht="20.100000000000001" customHeight="1">
      <c r="A37" s="20" t="s">
        <v>86</v>
      </c>
      <c r="B37" s="21" t="s">
        <v>87</v>
      </c>
      <c r="C37" s="28">
        <f t="array" ref="C37">H37+I37</f>
        <v>818000</v>
      </c>
      <c r="D37" s="29">
        <v>225642</v>
      </c>
      <c r="E37" s="29">
        <v>234675</v>
      </c>
      <c r="F37" s="29">
        <v>168613</v>
      </c>
      <c r="G37" s="29">
        <v>189070</v>
      </c>
      <c r="H37" s="30">
        <f t="array" ref="H37">E37+D37</f>
        <v>460317</v>
      </c>
      <c r="I37" s="30">
        <f t="array" ref="I37">G37+F37</f>
        <v>357683</v>
      </c>
      <c r="J37" s="30">
        <f t="array" ref="J37">D37+F37</f>
        <v>394255</v>
      </c>
      <c r="K37" s="30">
        <f t="array" ref="K37">E37+G37</f>
        <v>423745</v>
      </c>
      <c r="L37" s="30"/>
    </row>
    <row r="38" spans="1:12" ht="20.100000000000001" customHeight="1">
      <c r="A38" s="20" t="s">
        <v>88</v>
      </c>
      <c r="B38" s="21" t="s">
        <v>89</v>
      </c>
      <c r="C38" s="28">
        <f t="array" ref="C38">H38+I38</f>
        <v>843316</v>
      </c>
      <c r="D38" s="29">
        <v>248893</v>
      </c>
      <c r="E38" s="29">
        <v>258857</v>
      </c>
      <c r="F38" s="29">
        <v>158187</v>
      </c>
      <c r="G38" s="29">
        <v>177379</v>
      </c>
      <c r="H38" s="30">
        <f t="array" ref="H38">E38+D38</f>
        <v>507750</v>
      </c>
      <c r="I38" s="30">
        <f t="array" ref="I38">G38+F38</f>
        <v>335566</v>
      </c>
      <c r="J38" s="30">
        <f t="array" ref="J38">D38+F38</f>
        <v>407080</v>
      </c>
      <c r="K38" s="30">
        <f t="array" ref="K38">E38+G38</f>
        <v>436236</v>
      </c>
      <c r="L38" s="30"/>
    </row>
    <row r="39" spans="1:12" ht="20.100000000000001" customHeight="1">
      <c r="A39" s="20" t="s">
        <v>90</v>
      </c>
      <c r="B39" s="21" t="s">
        <v>91</v>
      </c>
      <c r="C39" s="28">
        <f t="array" ref="C39">H39+I39</f>
        <v>834906</v>
      </c>
      <c r="D39" s="29">
        <v>246411</v>
      </c>
      <c r="E39" s="29">
        <v>256276</v>
      </c>
      <c r="F39" s="29">
        <v>156609</v>
      </c>
      <c r="G39" s="29">
        <v>175610</v>
      </c>
      <c r="H39" s="30">
        <f t="array" ref="H39">E39+D39</f>
        <v>502687</v>
      </c>
      <c r="I39" s="30">
        <f t="array" ref="I39">G39+F39</f>
        <v>332219</v>
      </c>
      <c r="J39" s="30">
        <f t="array" ref="J39">D39+F39</f>
        <v>403020</v>
      </c>
      <c r="K39" s="30">
        <f t="array" ref="K39">E39+G39</f>
        <v>431886</v>
      </c>
      <c r="L39" s="30"/>
    </row>
    <row r="40" spans="1:12" ht="20.100000000000001" customHeight="1">
      <c r="A40" s="20" t="s">
        <v>92</v>
      </c>
      <c r="B40" s="21" t="s">
        <v>93</v>
      </c>
      <c r="C40" s="28">
        <f t="array" ref="C40">H40+I40</f>
        <v>857842</v>
      </c>
      <c r="D40" s="29">
        <v>253180</v>
      </c>
      <c r="E40" s="29">
        <v>263316</v>
      </c>
      <c r="F40" s="29">
        <v>160912</v>
      </c>
      <c r="G40" s="29">
        <v>180434</v>
      </c>
      <c r="H40" s="30">
        <f t="array" ref="H40">E40+D40</f>
        <v>516496</v>
      </c>
      <c r="I40" s="30">
        <f t="array" ref="I40">G40+F40</f>
        <v>341346</v>
      </c>
      <c r="J40" s="30">
        <f t="array" ref="J40">D40+F40</f>
        <v>414092</v>
      </c>
      <c r="K40" s="30">
        <f t="array" ref="K40">E40+G40</f>
        <v>443750</v>
      </c>
      <c r="L40" s="30"/>
    </row>
    <row r="41" spans="1:12" ht="20.100000000000001" customHeight="1">
      <c r="A41" s="20" t="s">
        <v>94</v>
      </c>
      <c r="B41" s="21" t="s">
        <v>95</v>
      </c>
      <c r="C41" s="28">
        <f t="array" ref="C41">H41+I41</f>
        <v>893523</v>
      </c>
      <c r="D41" s="29">
        <v>263711</v>
      </c>
      <c r="E41" s="29">
        <v>274268</v>
      </c>
      <c r="F41" s="29">
        <v>167605</v>
      </c>
      <c r="G41" s="29">
        <v>187939</v>
      </c>
      <c r="H41" s="30">
        <f t="array" ref="H41">E41+D41</f>
        <v>537979</v>
      </c>
      <c r="I41" s="30">
        <f t="array" ref="I41">G41+F41</f>
        <v>355544</v>
      </c>
      <c r="J41" s="30">
        <f t="array" ref="J41">D41+F41</f>
        <v>431316</v>
      </c>
      <c r="K41" s="30">
        <f t="array" ref="K41">E41+G41</f>
        <v>462207</v>
      </c>
      <c r="L41" s="30"/>
    </row>
    <row r="42" spans="1:12" ht="20.100000000000001" customHeight="1">
      <c r="A42" s="20" t="s">
        <v>96</v>
      </c>
      <c r="B42" s="21" t="s">
        <v>97</v>
      </c>
      <c r="C42" s="28">
        <f t="array" ref="C42">H42+I42</f>
        <v>952559</v>
      </c>
      <c r="D42" s="29">
        <v>281135</v>
      </c>
      <c r="E42" s="29">
        <v>292390</v>
      </c>
      <c r="F42" s="29">
        <v>178678</v>
      </c>
      <c r="G42" s="29">
        <v>200356</v>
      </c>
      <c r="H42" s="30">
        <f t="array" ref="H42">E42+D42</f>
        <v>573525</v>
      </c>
      <c r="I42" s="30">
        <f t="array" ref="I42">G42+F42</f>
        <v>379034</v>
      </c>
      <c r="J42" s="30">
        <f t="array" ref="J42">D42+F42</f>
        <v>459813</v>
      </c>
      <c r="K42" s="30">
        <f t="array" ref="K42">E42+G42</f>
        <v>492746</v>
      </c>
      <c r="L42" s="30"/>
    </row>
    <row r="43" spans="1:12" ht="20.100000000000001" customHeight="1">
      <c r="A43" s="20" t="s">
        <v>98</v>
      </c>
      <c r="B43" s="21" t="s">
        <v>99</v>
      </c>
      <c r="C43" s="28">
        <f t="array" ref="C43">H43+I43</f>
        <v>968464</v>
      </c>
      <c r="D43" s="29">
        <v>288224</v>
      </c>
      <c r="E43" s="29">
        <v>300178</v>
      </c>
      <c r="F43" s="29">
        <v>178414</v>
      </c>
      <c r="G43" s="29">
        <v>201648</v>
      </c>
      <c r="H43" s="30">
        <f t="array" ref="H43">E43+D43</f>
        <v>588402</v>
      </c>
      <c r="I43" s="30">
        <f t="array" ref="I43">G43+F43</f>
        <v>380062</v>
      </c>
      <c r="J43" s="30">
        <f t="array" ref="J43">D43+F43</f>
        <v>466638</v>
      </c>
      <c r="K43" s="30">
        <f t="array" ref="K43">E43+G43</f>
        <v>501826</v>
      </c>
      <c r="L43" s="30"/>
    </row>
    <row r="44" spans="1:12" ht="20.100000000000001" customHeight="1">
      <c r="A44" s="20" t="s">
        <v>100</v>
      </c>
      <c r="B44" s="21" t="s">
        <v>101</v>
      </c>
      <c r="C44" s="28">
        <f t="array" ref="C44">H44+I44</f>
        <v>994346</v>
      </c>
      <c r="D44" s="29">
        <v>295927</v>
      </c>
      <c r="E44" s="29">
        <v>308200</v>
      </c>
      <c r="F44" s="29">
        <v>183182</v>
      </c>
      <c r="G44" s="29">
        <v>207037</v>
      </c>
      <c r="H44" s="30">
        <f t="array" ref="H44">E44+D44</f>
        <v>604127</v>
      </c>
      <c r="I44" s="30">
        <f t="array" ref="I44">G44+F44</f>
        <v>390219</v>
      </c>
      <c r="J44" s="30">
        <f t="array" ref="J44">D44+F44</f>
        <v>479109</v>
      </c>
      <c r="K44" s="30">
        <f t="array" ref="K44">E44+G44</f>
        <v>515237</v>
      </c>
      <c r="L44" s="30"/>
    </row>
    <row r="45" spans="1:12" ht="20.100000000000001" customHeight="1">
      <c r="A45" s="20" t="s">
        <v>102</v>
      </c>
      <c r="B45" s="21" t="s">
        <v>103</v>
      </c>
      <c r="C45" s="28">
        <f t="array" ref="C45">H45+I45</f>
        <v>1020295</v>
      </c>
      <c r="D45" s="29">
        <v>303650</v>
      </c>
      <c r="E45" s="29">
        <v>316243</v>
      </c>
      <c r="F45" s="29">
        <v>187962</v>
      </c>
      <c r="G45" s="29">
        <v>212440</v>
      </c>
      <c r="H45" s="30">
        <f t="array" ref="H45">E45+D45</f>
        <v>619893</v>
      </c>
      <c r="I45" s="30">
        <f t="array" ref="I45">G45+F45</f>
        <v>400402</v>
      </c>
      <c r="J45" s="30">
        <f t="array" ref="J45">D45+F45</f>
        <v>491612</v>
      </c>
      <c r="K45" s="30">
        <f t="array" ref="K45">E45+G45</f>
        <v>528683</v>
      </c>
      <c r="L45" s="30"/>
    </row>
    <row r="46" spans="1:12" ht="20.100000000000001" customHeight="1">
      <c r="A46" s="20" t="s">
        <v>104</v>
      </c>
      <c r="B46" s="21" t="s">
        <v>105</v>
      </c>
      <c r="C46" s="28">
        <f t="array" ref="C46">H46+I46</f>
        <v>1001001</v>
      </c>
      <c r="D46" s="29">
        <v>297908</v>
      </c>
      <c r="E46" s="29">
        <v>310263</v>
      </c>
      <c r="F46" s="29">
        <v>184408</v>
      </c>
      <c r="G46" s="29">
        <v>208422</v>
      </c>
      <c r="H46" s="30">
        <f t="array" ref="H46">E46+D46</f>
        <v>608171</v>
      </c>
      <c r="I46" s="30">
        <f t="array" ref="I46">G46+F46</f>
        <v>392830</v>
      </c>
      <c r="J46" s="30">
        <f t="array" ref="J46">D46+F46</f>
        <v>482316</v>
      </c>
      <c r="K46" s="30">
        <f t="array" ref="K46">E46+G46</f>
        <v>518685</v>
      </c>
      <c r="L46" s="30"/>
    </row>
    <row r="47" spans="1:12" ht="20.100000000000001" customHeight="1">
      <c r="A47" s="20" t="s">
        <v>106</v>
      </c>
      <c r="B47" s="21" t="s">
        <v>107</v>
      </c>
      <c r="C47" s="28">
        <f t="array" ref="C47">H47+I47</f>
        <v>980889</v>
      </c>
      <c r="D47" s="29">
        <v>291922</v>
      </c>
      <c r="E47" s="29">
        <v>304029</v>
      </c>
      <c r="F47" s="29">
        <v>180703</v>
      </c>
      <c r="G47" s="29">
        <v>204235</v>
      </c>
      <c r="H47" s="30">
        <f t="array" ref="H47">E47+D47</f>
        <v>595951</v>
      </c>
      <c r="I47" s="30">
        <f t="array" ref="I47">G47+F47</f>
        <v>384938</v>
      </c>
      <c r="J47" s="30">
        <f t="array" ref="J47">D47+F47</f>
        <v>472625</v>
      </c>
      <c r="K47" s="30">
        <f t="array" ref="K47">E47+G47</f>
        <v>508264</v>
      </c>
      <c r="L47" s="30"/>
    </row>
    <row r="48" spans="1:12" ht="20.100000000000001" customHeight="1">
      <c r="A48" s="20" t="s">
        <v>108</v>
      </c>
      <c r="B48" s="21" t="s">
        <v>109</v>
      </c>
      <c r="C48" s="28">
        <f t="array" ref="C48">H48+I48</f>
        <v>988287</v>
      </c>
      <c r="D48" s="29">
        <v>294124</v>
      </c>
      <c r="E48" s="29">
        <v>306322</v>
      </c>
      <c r="F48" s="29">
        <v>182066</v>
      </c>
      <c r="G48" s="29">
        <v>205775</v>
      </c>
      <c r="H48" s="30">
        <f t="array" ref="H48">E48+D48</f>
        <v>600446</v>
      </c>
      <c r="I48" s="30">
        <f t="array" ref="I48">G48+F48</f>
        <v>387841</v>
      </c>
      <c r="J48" s="30">
        <f t="array" ref="J48">D48+F48</f>
        <v>476190</v>
      </c>
      <c r="K48" s="30">
        <f t="array" ref="K48">E48+G48</f>
        <v>512097</v>
      </c>
      <c r="L48" s="30"/>
    </row>
    <row r="49" spans="1:12" ht="20.100000000000001" customHeight="1">
      <c r="A49" s="20" t="s">
        <v>110</v>
      </c>
      <c r="B49" s="21" t="s">
        <v>111</v>
      </c>
      <c r="C49" s="28">
        <f t="array" ref="C49">H49+I49</f>
        <v>1015189</v>
      </c>
      <c r="D49" s="29">
        <v>302130</v>
      </c>
      <c r="E49" s="29">
        <v>314660</v>
      </c>
      <c r="F49" s="29">
        <v>187022</v>
      </c>
      <c r="G49" s="29">
        <v>211377</v>
      </c>
      <c r="H49" s="30">
        <f t="array" ref="H49">E49+D49</f>
        <v>616790</v>
      </c>
      <c r="I49" s="30">
        <f t="array" ref="I49">G49+F49</f>
        <v>398399</v>
      </c>
      <c r="J49" s="30">
        <f t="array" ref="J49">D49+F49</f>
        <v>489152</v>
      </c>
      <c r="K49" s="30">
        <f t="array" ref="K49">E49+G49</f>
        <v>526037</v>
      </c>
      <c r="L49" s="30"/>
    </row>
    <row r="50" spans="1:12" ht="20.100000000000001" customHeight="1">
      <c r="A50" s="20" t="s">
        <v>112</v>
      </c>
      <c r="B50" s="21" t="s">
        <v>113</v>
      </c>
      <c r="C50" s="28">
        <f t="array" ref="C50">H50+I50</f>
        <v>1033390</v>
      </c>
      <c r="D50" s="29">
        <v>307547</v>
      </c>
      <c r="E50" s="29">
        <v>320302</v>
      </c>
      <c r="F50" s="29">
        <v>190375</v>
      </c>
      <c r="G50" s="29">
        <v>215166</v>
      </c>
      <c r="H50" s="30">
        <f t="array" ref="H50">E50+D50</f>
        <v>627849</v>
      </c>
      <c r="I50" s="30">
        <f t="array" ref="I50">G50+F50</f>
        <v>405541</v>
      </c>
      <c r="J50" s="30">
        <f t="array" ref="J50">D50+F50</f>
        <v>497922</v>
      </c>
      <c r="K50" s="30">
        <f t="array" ref="K50">E50+G50</f>
        <v>535468</v>
      </c>
      <c r="L50" s="30"/>
    </row>
    <row r="51" spans="1:12" ht="20.100000000000001" customHeight="1">
      <c r="A51" s="20" t="s">
        <v>114</v>
      </c>
      <c r="B51" s="21" t="s">
        <v>115</v>
      </c>
      <c r="C51" s="28">
        <f t="array" ref="C51">H51+I51</f>
        <v>1060510</v>
      </c>
      <c r="D51" s="29">
        <v>315618</v>
      </c>
      <c r="E51" s="29">
        <v>328708</v>
      </c>
      <c r="F51" s="29">
        <v>195371</v>
      </c>
      <c r="G51" s="29">
        <v>220813</v>
      </c>
      <c r="H51" s="30">
        <f t="array" ref="H51">E51+D51</f>
        <v>644326</v>
      </c>
      <c r="I51" s="30">
        <f t="array" ref="I51">G51+F51</f>
        <v>416184</v>
      </c>
      <c r="J51" s="30">
        <f t="array" ref="J51">D51+F51</f>
        <v>510989</v>
      </c>
      <c r="K51" s="30">
        <f t="array" ref="K51">E51+G51</f>
        <v>549521</v>
      </c>
      <c r="L51" s="30"/>
    </row>
    <row r="52" spans="1:12" ht="20.100000000000001" customHeight="1">
      <c r="A52" s="20" t="s">
        <v>116</v>
      </c>
      <c r="B52" s="21" t="s">
        <v>117</v>
      </c>
      <c r="C52" s="28">
        <f t="array" ref="C52">H52+I52</f>
        <v>1151887</v>
      </c>
      <c r="D52" s="29">
        <v>342813</v>
      </c>
      <c r="E52" s="29">
        <v>357030</v>
      </c>
      <c r="F52" s="29">
        <v>212205</v>
      </c>
      <c r="G52" s="29">
        <v>239839</v>
      </c>
      <c r="H52" s="30">
        <f t="array" ref="H52">E52+D52</f>
        <v>699843</v>
      </c>
      <c r="I52" s="30">
        <f t="array" ref="I52">G52+F52</f>
        <v>452044</v>
      </c>
      <c r="J52" s="30">
        <f t="array" ref="J52">D52+F52</f>
        <v>555018</v>
      </c>
      <c r="K52" s="30">
        <f t="array" ref="K52">E52+G52</f>
        <v>596869</v>
      </c>
      <c r="L52" s="30"/>
    </row>
    <row r="53" spans="1:12" ht="20.100000000000001" customHeight="1">
      <c r="A53" s="20" t="s">
        <v>118</v>
      </c>
      <c r="B53" s="21" t="s">
        <v>119</v>
      </c>
      <c r="C53" s="28">
        <f t="array" ref="C53">H53+I53</f>
        <v>1139320</v>
      </c>
      <c r="D53" s="29">
        <v>349361</v>
      </c>
      <c r="E53" s="29">
        <v>355102</v>
      </c>
      <c r="F53" s="29">
        <v>213995</v>
      </c>
      <c r="G53" s="29">
        <v>220862</v>
      </c>
      <c r="H53" s="30">
        <f t="array" ref="H53">E53+D53</f>
        <v>704463</v>
      </c>
      <c r="I53" s="30">
        <f t="array" ref="I53">G53+F53</f>
        <v>434857</v>
      </c>
      <c r="J53" s="30">
        <f t="array" ref="J53">D53+F53</f>
        <v>563356</v>
      </c>
      <c r="K53" s="30">
        <f t="array" ref="K53">E53+G53</f>
        <v>575964</v>
      </c>
      <c r="L53" s="30"/>
    </row>
    <row r="54" spans="1:12" ht="20.100000000000001" customHeight="1">
      <c r="A54" s="20" t="s">
        <v>120</v>
      </c>
      <c r="B54" s="21" t="s">
        <v>121</v>
      </c>
      <c r="C54" s="28">
        <f t="array" ref="C54">H54+I54</f>
        <v>1165498</v>
      </c>
      <c r="D54" s="29">
        <v>357389</v>
      </c>
      <c r="E54" s="29">
        <v>363261</v>
      </c>
      <c r="F54" s="29">
        <v>218912</v>
      </c>
      <c r="G54" s="29">
        <v>225936</v>
      </c>
      <c r="H54" s="30">
        <f t="array" ref="H54">E54+D54</f>
        <v>720650</v>
      </c>
      <c r="I54" s="30">
        <f t="array" ref="I54">G54+F54</f>
        <v>444848</v>
      </c>
      <c r="J54" s="30">
        <f t="array" ref="J54">D54+F54</f>
        <v>576301</v>
      </c>
      <c r="K54" s="30">
        <f t="array" ref="K54">E54+G54</f>
        <v>589197</v>
      </c>
      <c r="L54" s="30"/>
    </row>
    <row r="55" spans="1:12" ht="20.100000000000001" customHeight="1">
      <c r="A55" s="20" t="s">
        <v>122</v>
      </c>
      <c r="B55" s="21" t="s">
        <v>123</v>
      </c>
      <c r="C55" s="28">
        <f t="array" ref="C55">H55+I55</f>
        <v>1143025</v>
      </c>
      <c r="D55" s="29">
        <v>350497</v>
      </c>
      <c r="E55" s="29">
        <v>356257</v>
      </c>
      <c r="F55" s="29">
        <v>214691</v>
      </c>
      <c r="G55" s="29">
        <v>221580</v>
      </c>
      <c r="H55" s="30">
        <f t="array" ref="H55">E55+D55</f>
        <v>706754</v>
      </c>
      <c r="I55" s="30">
        <f t="array" ref="I55">G55+F55</f>
        <v>436271</v>
      </c>
      <c r="J55" s="30">
        <f t="array" ref="J55">D55+F55</f>
        <v>565188</v>
      </c>
      <c r="K55" s="30">
        <f t="array" ref="K55">E55+G55</f>
        <v>577837</v>
      </c>
      <c r="L55" s="30"/>
    </row>
    <row r="56" spans="1:12" ht="20.100000000000001" customHeight="1">
      <c r="A56" s="20" t="s">
        <v>124</v>
      </c>
      <c r="B56" s="21" t="s">
        <v>125</v>
      </c>
      <c r="C56" s="28">
        <f t="array" ref="C56">H56+I56</f>
        <v>1124923</v>
      </c>
      <c r="D56" s="29">
        <v>344946</v>
      </c>
      <c r="E56" s="29">
        <v>350615</v>
      </c>
      <c r="F56" s="29">
        <v>211291</v>
      </c>
      <c r="G56" s="29">
        <v>218071</v>
      </c>
      <c r="H56" s="30">
        <f t="array" ref="H56">E56+D56</f>
        <v>695561</v>
      </c>
      <c r="I56" s="30">
        <f t="array" ref="I56">G56+F56</f>
        <v>429362</v>
      </c>
      <c r="J56" s="30">
        <f t="array" ref="J56">D56+F56</f>
        <v>556237</v>
      </c>
      <c r="K56" s="30">
        <f t="array" ref="K56">E56+G56</f>
        <v>568686</v>
      </c>
      <c r="L56" s="30"/>
    </row>
    <row r="57" spans="1:12" ht="20.100000000000001" customHeight="1">
      <c r="A57" s="20" t="s">
        <v>126</v>
      </c>
      <c r="B57" s="21" t="s">
        <v>127</v>
      </c>
      <c r="C57" s="28">
        <f t="array" ref="C57">H57+I57</f>
        <v>1092065</v>
      </c>
      <c r="D57" s="29">
        <v>334871</v>
      </c>
      <c r="E57" s="29">
        <v>340374</v>
      </c>
      <c r="F57" s="29">
        <v>205119</v>
      </c>
      <c r="G57" s="29">
        <v>211701</v>
      </c>
      <c r="H57" s="30">
        <f t="array" ref="H57">E57+D57</f>
        <v>675245</v>
      </c>
      <c r="I57" s="30">
        <f t="array" ref="I57">G57+F57</f>
        <v>416820</v>
      </c>
      <c r="J57" s="30">
        <f t="array" ref="J57">D57+F57</f>
        <v>539990</v>
      </c>
      <c r="K57" s="30">
        <f t="array" ref="K57">E57+G57</f>
        <v>552075</v>
      </c>
      <c r="L57" s="30"/>
    </row>
    <row r="58" spans="1:12" ht="20.100000000000001" customHeight="1">
      <c r="A58" s="20" t="s">
        <v>128</v>
      </c>
      <c r="B58" s="21" t="s">
        <v>129</v>
      </c>
      <c r="C58" s="28">
        <f t="array" ref="C58">H58+I58</f>
        <v>1083525</v>
      </c>
      <c r="D58" s="29">
        <v>332252</v>
      </c>
      <c r="E58" s="29">
        <v>337712</v>
      </c>
      <c r="F58" s="29">
        <v>203515</v>
      </c>
      <c r="G58" s="29">
        <v>210046</v>
      </c>
      <c r="H58" s="30">
        <f t="array" ref="H58">E58+D58</f>
        <v>669964</v>
      </c>
      <c r="I58" s="30">
        <f t="array" ref="I58">G58+F58</f>
        <v>413561</v>
      </c>
      <c r="J58" s="30">
        <f t="array" ref="J58">D58+F58</f>
        <v>535767</v>
      </c>
      <c r="K58" s="30">
        <f t="array" ref="K58">E58+G58</f>
        <v>547758</v>
      </c>
      <c r="L58" s="30"/>
    </row>
    <row r="59" spans="1:12" ht="20.100000000000001" customHeight="1">
      <c r="A59" s="20" t="s">
        <v>130</v>
      </c>
      <c r="B59" s="21" t="s">
        <v>131</v>
      </c>
      <c r="C59" s="28">
        <f t="array" ref="C59">H59+I59</f>
        <v>1083459</v>
      </c>
      <c r="D59" s="29">
        <v>332232</v>
      </c>
      <c r="E59" s="29">
        <v>337691</v>
      </c>
      <c r="F59" s="29">
        <v>203503</v>
      </c>
      <c r="G59" s="29">
        <v>210033</v>
      </c>
      <c r="H59" s="30">
        <f t="array" ref="H59">E59+D59</f>
        <v>669923</v>
      </c>
      <c r="I59" s="30">
        <f t="array" ref="I59">G59+F59</f>
        <v>413536</v>
      </c>
      <c r="J59" s="30">
        <f t="array" ref="J59">D59+F59</f>
        <v>535735</v>
      </c>
      <c r="K59" s="30">
        <f t="array" ref="K59">E59+G59</f>
        <v>547724</v>
      </c>
      <c r="L59" s="30"/>
    </row>
    <row r="60" spans="1:12" ht="20.100000000000001" customHeight="1">
      <c r="A60" s="20" t="s">
        <v>132</v>
      </c>
      <c r="B60" s="21" t="s">
        <v>133</v>
      </c>
      <c r="C60" s="28">
        <f t="array" ref="C60">H60+I60</f>
        <v>1099294</v>
      </c>
      <c r="D60" s="29">
        <v>337088</v>
      </c>
      <c r="E60" s="29">
        <v>342627</v>
      </c>
      <c r="F60" s="29">
        <v>206477</v>
      </c>
      <c r="G60" s="29">
        <v>213102</v>
      </c>
      <c r="H60" s="30">
        <f t="array" ref="H60">E60+D60</f>
        <v>679715</v>
      </c>
      <c r="I60" s="30">
        <f t="array" ref="I60">G60+F60</f>
        <v>419579</v>
      </c>
      <c r="J60" s="30">
        <f t="array" ref="J60">D60+F60</f>
        <v>543565</v>
      </c>
      <c r="K60" s="30">
        <f t="array" ref="K60">E60+G60</f>
        <v>555729</v>
      </c>
      <c r="L60" s="30"/>
    </row>
    <row r="61" spans="1:12" ht="20.100000000000001" customHeight="1">
      <c r="A61" s="20" t="s">
        <v>134</v>
      </c>
      <c r="B61" s="21" t="s">
        <v>135</v>
      </c>
      <c r="C61" s="28">
        <f t="array" ref="C61">H61+I61</f>
        <v>1086742</v>
      </c>
      <c r="D61" s="29">
        <v>333239</v>
      </c>
      <c r="E61" s="29">
        <v>338715</v>
      </c>
      <c r="F61" s="29">
        <v>204119</v>
      </c>
      <c r="G61" s="29">
        <v>210669</v>
      </c>
      <c r="H61" s="30">
        <f t="array" ref="H61">E61+D61</f>
        <v>671954</v>
      </c>
      <c r="I61" s="30">
        <f t="array" ref="I61">G61+F61</f>
        <v>414788</v>
      </c>
      <c r="J61" s="30">
        <f t="array" ref="J61">D61+F61</f>
        <v>537358</v>
      </c>
      <c r="K61" s="30">
        <f t="array" ref="K61">E61+G61</f>
        <v>549384</v>
      </c>
      <c r="L61" s="30"/>
    </row>
    <row r="62" spans="1:12" ht="20.100000000000001" customHeight="1">
      <c r="A62" s="20" t="s">
        <v>136</v>
      </c>
      <c r="B62" s="21" t="s">
        <v>137</v>
      </c>
      <c r="C62" s="28">
        <f t="array" ref="C62">H62+I62</f>
        <v>1088001</v>
      </c>
      <c r="D62" s="29">
        <v>333625</v>
      </c>
      <c r="E62" s="29">
        <v>339107</v>
      </c>
      <c r="F62" s="29">
        <v>204356</v>
      </c>
      <c r="G62" s="29">
        <v>210913</v>
      </c>
      <c r="H62" s="30">
        <f t="array" ref="H62">E62+D62</f>
        <v>672732</v>
      </c>
      <c r="I62" s="30">
        <f t="array" ref="I62">G62+F62</f>
        <v>415269</v>
      </c>
      <c r="J62" s="30">
        <f t="array" ref="J62">D62+F62</f>
        <v>537981</v>
      </c>
      <c r="K62" s="30">
        <f t="array" ref="K62">E62+G62</f>
        <v>550020</v>
      </c>
      <c r="L62" s="30"/>
    </row>
    <row r="63" spans="1:12" ht="20.100000000000001" customHeight="1">
      <c r="A63" s="20" t="s">
        <v>138</v>
      </c>
      <c r="B63" s="21" t="s">
        <v>139</v>
      </c>
      <c r="C63" s="28">
        <f t="array" ref="C63">H63+I63</f>
        <v>1032845</v>
      </c>
      <c r="D63" s="29">
        <v>331507</v>
      </c>
      <c r="E63" s="29">
        <v>335166</v>
      </c>
      <c r="F63" s="29">
        <v>186644</v>
      </c>
      <c r="G63" s="29">
        <v>179528</v>
      </c>
      <c r="H63" s="30">
        <f t="array" ref="H63">E63+D63</f>
        <v>666673</v>
      </c>
      <c r="I63" s="30">
        <f t="array" ref="I63">G63+F63</f>
        <v>366172</v>
      </c>
      <c r="J63" s="30">
        <f t="array" ref="J63">D63+F63</f>
        <v>518151</v>
      </c>
      <c r="K63" s="30">
        <f t="array" ref="K63">E63+G63</f>
        <v>514694</v>
      </c>
      <c r="L63" s="30"/>
    </row>
    <row r="64" spans="1:12" ht="20.100000000000001" customHeight="1">
      <c r="A64" s="20" t="s">
        <v>140</v>
      </c>
      <c r="B64" s="21" t="s">
        <v>141</v>
      </c>
      <c r="C64" s="28">
        <f t="array" ref="C64">H64+I64</f>
        <v>1014046</v>
      </c>
      <c r="D64" s="29">
        <v>325473</v>
      </c>
      <c r="E64" s="29">
        <v>329066</v>
      </c>
      <c r="F64" s="29">
        <v>183247</v>
      </c>
      <c r="G64" s="29">
        <v>176260</v>
      </c>
      <c r="H64" s="30">
        <f t="array" ref="H64">E64+D64</f>
        <v>654539</v>
      </c>
      <c r="I64" s="30">
        <f t="array" ref="I64">G64+F64</f>
        <v>359507</v>
      </c>
      <c r="J64" s="30">
        <f t="array" ref="J64">D64+F64</f>
        <v>508720</v>
      </c>
      <c r="K64" s="30">
        <f t="array" ref="K64">E64+G64</f>
        <v>505326</v>
      </c>
      <c r="L64" s="30"/>
    </row>
    <row r="65" spans="1:12" ht="20.100000000000001" customHeight="1">
      <c r="A65" s="20" t="s">
        <v>142</v>
      </c>
      <c r="B65" s="21" t="s">
        <v>143</v>
      </c>
      <c r="C65" s="28">
        <f t="array" ref="C65">H65+I65</f>
        <v>999487</v>
      </c>
      <c r="D65" s="29">
        <v>320800</v>
      </c>
      <c r="E65" s="29">
        <v>324341</v>
      </c>
      <c r="F65" s="29">
        <v>180616</v>
      </c>
      <c r="G65" s="29">
        <v>173730</v>
      </c>
      <c r="H65" s="30">
        <f t="array" ref="H65">E65+D65</f>
        <v>645141</v>
      </c>
      <c r="I65" s="30">
        <f t="array" ref="I65">G65+F65</f>
        <v>354346</v>
      </c>
      <c r="J65" s="30">
        <f t="array" ref="J65">D65+F65</f>
        <v>501416</v>
      </c>
      <c r="K65" s="30">
        <f t="array" ref="K65">E65+G65</f>
        <v>498071</v>
      </c>
      <c r="L65" s="30"/>
    </row>
    <row r="66" spans="1:12" ht="20.100000000000001" customHeight="1">
      <c r="A66" s="20" t="s">
        <v>144</v>
      </c>
      <c r="B66" s="21" t="s">
        <v>145</v>
      </c>
      <c r="C66" s="28">
        <f t="array" ref="C66">H66+I66</f>
        <v>976705</v>
      </c>
      <c r="D66" s="29">
        <v>313488</v>
      </c>
      <c r="E66" s="29">
        <v>316948</v>
      </c>
      <c r="F66" s="29">
        <v>176499</v>
      </c>
      <c r="G66" s="29">
        <v>169770</v>
      </c>
      <c r="H66" s="30">
        <f t="array" ref="H66">E66+D66</f>
        <v>630436</v>
      </c>
      <c r="I66" s="30">
        <f t="array" ref="I66">G66+F66</f>
        <v>346269</v>
      </c>
      <c r="J66" s="30">
        <f t="array" ref="J66">D66+F66</f>
        <v>489987</v>
      </c>
      <c r="K66" s="30">
        <f t="array" ref="K66">E66+G66</f>
        <v>486718</v>
      </c>
      <c r="L66" s="30"/>
    </row>
    <row r="67" spans="1:12" ht="20.100000000000001" customHeight="1">
      <c r="A67" s="20" t="s">
        <v>146</v>
      </c>
      <c r="B67" s="21" t="s">
        <v>147</v>
      </c>
      <c r="C67" s="28">
        <f t="array" ref="C67">H67+I67</f>
        <v>947515</v>
      </c>
      <c r="D67" s="29">
        <v>304119</v>
      </c>
      <c r="E67" s="29">
        <v>307476</v>
      </c>
      <c r="F67" s="29">
        <v>171224</v>
      </c>
      <c r="G67" s="29">
        <v>164696</v>
      </c>
      <c r="H67" s="30">
        <f t="array" ref="H67">E67+D67</f>
        <v>611595</v>
      </c>
      <c r="I67" s="30">
        <f t="array" ref="I67">G67+F67</f>
        <v>335920</v>
      </c>
      <c r="J67" s="30">
        <f t="array" ref="J67">D67+F67</f>
        <v>475343</v>
      </c>
      <c r="K67" s="30">
        <f t="array" ref="K67">E67+G67</f>
        <v>472172</v>
      </c>
      <c r="L67" s="30"/>
    </row>
    <row r="68" spans="1:12" ht="20.100000000000001" customHeight="1">
      <c r="A68" s="20" t="s">
        <v>148</v>
      </c>
      <c r="B68" s="21" t="s">
        <v>149</v>
      </c>
      <c r="C68" s="28">
        <f t="array" ref="C68">H68+I68</f>
        <v>956347</v>
      </c>
      <c r="D68" s="29">
        <v>306954</v>
      </c>
      <c r="E68" s="29">
        <v>310342</v>
      </c>
      <c r="F68" s="29">
        <v>172820</v>
      </c>
      <c r="G68" s="29">
        <v>166231</v>
      </c>
      <c r="H68" s="30">
        <f t="array" ref="H68">E68+D68</f>
        <v>617296</v>
      </c>
      <c r="I68" s="30">
        <f t="array" ref="I68">G68+F68</f>
        <v>339051</v>
      </c>
      <c r="J68" s="30">
        <f t="array" ref="J68">D68+F68</f>
        <v>479774</v>
      </c>
      <c r="K68" s="30">
        <f t="array" ref="K68">E68+G68</f>
        <v>476573</v>
      </c>
      <c r="L68" s="30"/>
    </row>
    <row r="69" spans="1:12" ht="20.100000000000001" customHeight="1">
      <c r="A69" s="20" t="s">
        <v>150</v>
      </c>
      <c r="B69" s="21" t="s">
        <v>151</v>
      </c>
      <c r="C69" s="28">
        <f t="array" ref="C69">H69+I69</f>
        <v>957399</v>
      </c>
      <c r="D69" s="29">
        <v>307291</v>
      </c>
      <c r="E69" s="29">
        <v>310684</v>
      </c>
      <c r="F69" s="29">
        <v>173010</v>
      </c>
      <c r="G69" s="29">
        <v>166414</v>
      </c>
      <c r="H69" s="30">
        <f t="array" ref="H69">E69+D69</f>
        <v>617975</v>
      </c>
      <c r="I69" s="30">
        <f t="array" ref="I69">G69+F69</f>
        <v>339424</v>
      </c>
      <c r="J69" s="30">
        <f t="array" ref="J69">D69+F69</f>
        <v>480301</v>
      </c>
      <c r="K69" s="30">
        <f t="array" ref="K69">E69+G69</f>
        <v>477098</v>
      </c>
      <c r="L69" s="30"/>
    </row>
    <row r="70" spans="1:12" ht="20.100000000000001" customHeight="1">
      <c r="A70" s="20" t="s">
        <v>152</v>
      </c>
      <c r="B70" s="21" t="s">
        <v>153</v>
      </c>
      <c r="C70" s="28">
        <f t="array" ref="C70">H70+I70</f>
        <v>1035319</v>
      </c>
      <c r="D70" s="29">
        <v>332301</v>
      </c>
      <c r="E70" s="29">
        <v>335969</v>
      </c>
      <c r="F70" s="29">
        <v>187091</v>
      </c>
      <c r="G70" s="29">
        <v>179958</v>
      </c>
      <c r="H70" s="30">
        <f t="array" ref="H70">E70+D70</f>
        <v>668270</v>
      </c>
      <c r="I70" s="30">
        <f t="array" ref="I70">G70+F70</f>
        <v>367049</v>
      </c>
      <c r="J70" s="30">
        <f t="array" ref="J70">D70+F70</f>
        <v>519392</v>
      </c>
      <c r="K70" s="30">
        <f t="array" ref="K70">E70+G70</f>
        <v>515927</v>
      </c>
      <c r="L70" s="30"/>
    </row>
    <row r="71" spans="1:12" ht="20.100000000000001" customHeight="1">
      <c r="A71" s="20" t="s">
        <v>154</v>
      </c>
      <c r="B71" s="21" t="s">
        <v>155</v>
      </c>
      <c r="C71" s="28">
        <f t="array" ref="C71">H71+I71</f>
        <v>1138063</v>
      </c>
      <c r="D71" s="29">
        <v>365278</v>
      </c>
      <c r="E71" s="29">
        <v>369310</v>
      </c>
      <c r="F71" s="29">
        <v>205658</v>
      </c>
      <c r="G71" s="29">
        <v>197817</v>
      </c>
      <c r="H71" s="30">
        <f t="array" ref="H71">E71+D71</f>
        <v>734588</v>
      </c>
      <c r="I71" s="30">
        <f t="array" ref="I71">G71+F71</f>
        <v>403475</v>
      </c>
      <c r="J71" s="30">
        <f t="array" ref="J71">D71+F71</f>
        <v>570936</v>
      </c>
      <c r="K71" s="30">
        <f t="array" ref="K71">E71+G71</f>
        <v>567127</v>
      </c>
      <c r="L71" s="30"/>
    </row>
    <row r="72" spans="1:12" ht="20.100000000000001" customHeight="1">
      <c r="A72" s="20" t="s">
        <v>156</v>
      </c>
      <c r="B72" s="21" t="s">
        <v>157</v>
      </c>
      <c r="C72" s="28">
        <f t="array" ref="C72">H72+I72</f>
        <v>1173661</v>
      </c>
      <c r="D72" s="29">
        <v>376704</v>
      </c>
      <c r="E72" s="29">
        <v>380862</v>
      </c>
      <c r="F72" s="29">
        <v>212091</v>
      </c>
      <c r="G72" s="29">
        <v>204004</v>
      </c>
      <c r="H72" s="30">
        <f t="array" ref="H72">E72+D72</f>
        <v>757566</v>
      </c>
      <c r="I72" s="30">
        <f t="array" ref="I72">G72+F72</f>
        <v>416095</v>
      </c>
      <c r="J72" s="30">
        <f t="array" ref="J72">D72+F72</f>
        <v>588795</v>
      </c>
      <c r="K72" s="30">
        <f t="array" ref="K72">E72+G72</f>
        <v>584866</v>
      </c>
      <c r="L72" s="30"/>
    </row>
    <row r="73" spans="1:12" ht="20.100000000000001" customHeight="1">
      <c r="A73" s="20" t="s">
        <v>158</v>
      </c>
      <c r="B73" s="21" t="s">
        <v>159</v>
      </c>
      <c r="C73" s="28">
        <f t="array" ref="C73">H73+I73</f>
        <v>1251796</v>
      </c>
      <c r="D73" s="29">
        <v>501182</v>
      </c>
      <c r="E73" s="29">
        <v>492678</v>
      </c>
      <c r="F73" s="29">
        <v>129258</v>
      </c>
      <c r="G73" s="29">
        <v>128678</v>
      </c>
      <c r="H73" s="30">
        <f t="array" ref="H73">E73+D73</f>
        <v>993860</v>
      </c>
      <c r="I73" s="30">
        <f t="array" ref="I73">G73+F73</f>
        <v>257936</v>
      </c>
      <c r="J73" s="30">
        <f t="array" ref="J73">D73+F73</f>
        <v>630440</v>
      </c>
      <c r="K73" s="30">
        <f t="array" ref="K73">E73+G73</f>
        <v>621356</v>
      </c>
      <c r="L73" s="30"/>
    </row>
    <row r="74" spans="1:12" ht="20.100000000000001" customHeight="1">
      <c r="A74" s="20" t="s">
        <v>160</v>
      </c>
      <c r="B74" s="21" t="s">
        <v>161</v>
      </c>
      <c r="C74" s="28">
        <f t="array" ref="C74">H74+I74</f>
        <v>1301334</v>
      </c>
      <c r="D74" s="29">
        <v>521016</v>
      </c>
      <c r="E74" s="29">
        <v>512175</v>
      </c>
      <c r="F74" s="29">
        <v>134373</v>
      </c>
      <c r="G74" s="29">
        <v>133770</v>
      </c>
      <c r="H74" s="30">
        <f t="array" ref="H74">E74+D74</f>
        <v>1033191</v>
      </c>
      <c r="I74" s="30">
        <f t="array" ref="I74">G74+F74</f>
        <v>268143</v>
      </c>
      <c r="J74" s="30">
        <f t="array" ref="J74">D74+F74</f>
        <v>655389</v>
      </c>
      <c r="K74" s="30">
        <f t="array" ref="K74">E74+G74</f>
        <v>645945</v>
      </c>
      <c r="L74" s="30"/>
    </row>
    <row r="75" spans="1:12" ht="20.100000000000001" customHeight="1">
      <c r="A75" s="20" t="s">
        <v>162</v>
      </c>
      <c r="B75" s="21" t="s">
        <v>163</v>
      </c>
      <c r="C75" s="28">
        <f t="array" ref="C75">H75+I75</f>
        <v>1324870</v>
      </c>
      <c r="D75" s="29">
        <v>530439</v>
      </c>
      <c r="E75" s="29">
        <v>521438</v>
      </c>
      <c r="F75" s="29">
        <v>136803</v>
      </c>
      <c r="G75" s="29">
        <v>136190</v>
      </c>
      <c r="H75" s="30">
        <f t="array" ref="H75">E75+D75</f>
        <v>1051877</v>
      </c>
      <c r="I75" s="30">
        <f t="array" ref="I75">G75+F75</f>
        <v>272993</v>
      </c>
      <c r="J75" s="30">
        <f t="array" ref="J75">D75+F75</f>
        <v>667242</v>
      </c>
      <c r="K75" s="30">
        <f t="array" ref="K75">E75+G75</f>
        <v>657628</v>
      </c>
      <c r="L75" s="30"/>
    </row>
    <row r="76" spans="1:12" ht="20.100000000000001" customHeight="1">
      <c r="A76" s="20" t="s">
        <v>164</v>
      </c>
      <c r="B76" s="21" t="s">
        <v>165</v>
      </c>
      <c r="C76" s="28">
        <f t="array" ref="C76">H76+I76</f>
        <v>1351436</v>
      </c>
      <c r="D76" s="29">
        <v>541075</v>
      </c>
      <c r="E76" s="29">
        <v>531894</v>
      </c>
      <c r="F76" s="29">
        <v>139547</v>
      </c>
      <c r="G76" s="29">
        <v>138920</v>
      </c>
      <c r="H76" s="30">
        <f t="array" ref="H76">E76+D76</f>
        <v>1072969</v>
      </c>
      <c r="I76" s="30">
        <f t="array" ref="I76">G76+F76</f>
        <v>278467</v>
      </c>
      <c r="J76" s="30">
        <f t="array" ref="J76">D76+F76</f>
        <v>680622</v>
      </c>
      <c r="K76" s="30">
        <f t="array" ref="K76">E76+G76</f>
        <v>670814</v>
      </c>
      <c r="L76" s="30"/>
    </row>
    <row r="77" spans="1:12" ht="20.100000000000001" customHeight="1">
      <c r="A77" s="20" t="s">
        <v>166</v>
      </c>
      <c r="B77" s="21" t="s">
        <v>167</v>
      </c>
      <c r="C77" s="28">
        <f t="array" ref="C77">H77+I77</f>
        <v>1344152</v>
      </c>
      <c r="D77" s="29">
        <v>538159</v>
      </c>
      <c r="E77" s="29">
        <v>529027</v>
      </c>
      <c r="F77" s="29">
        <v>138794</v>
      </c>
      <c r="G77" s="29">
        <v>138172</v>
      </c>
      <c r="H77" s="30">
        <f t="array" ref="H77">E77+D77</f>
        <v>1067186</v>
      </c>
      <c r="I77" s="30">
        <f t="array" ref="I77">G77+F77</f>
        <v>276966</v>
      </c>
      <c r="J77" s="30">
        <f t="array" ref="J77">D77+F77</f>
        <v>676953</v>
      </c>
      <c r="K77" s="30">
        <f t="array" ref="K77">E77+G77</f>
        <v>667199</v>
      </c>
      <c r="L77" s="30"/>
    </row>
    <row r="78" spans="1:12" ht="20.100000000000001" customHeight="1">
      <c r="A78" s="20" t="s">
        <v>168</v>
      </c>
      <c r="B78" s="21" t="s">
        <v>169</v>
      </c>
      <c r="C78" s="28">
        <f t="array" ref="C78">H78+I78</f>
        <v>1360738</v>
      </c>
      <c r="D78" s="29">
        <v>544799</v>
      </c>
      <c r="E78" s="29">
        <v>535555</v>
      </c>
      <c r="F78" s="29">
        <v>140507</v>
      </c>
      <c r="G78" s="29">
        <v>139877</v>
      </c>
      <c r="H78" s="30">
        <f t="array" ref="H78">E78+D78</f>
        <v>1080354</v>
      </c>
      <c r="I78" s="30">
        <f t="array" ref="I78">G78+F78</f>
        <v>280384</v>
      </c>
      <c r="J78" s="30">
        <f t="array" ref="J78">D78+F78</f>
        <v>685306</v>
      </c>
      <c r="K78" s="30">
        <f t="array" ref="K78">E78+G78</f>
        <v>675432</v>
      </c>
      <c r="L78" s="30"/>
    </row>
    <row r="79" spans="1:12" ht="20.100000000000001" customHeight="1">
      <c r="A79" s="20" t="s">
        <v>170</v>
      </c>
      <c r="B79" s="21" t="s">
        <v>171</v>
      </c>
      <c r="C79" s="28">
        <f t="array" ref="C79">H79+I79</f>
        <v>1339741</v>
      </c>
      <c r="D79" s="29">
        <v>536393</v>
      </c>
      <c r="E79" s="29">
        <v>527291</v>
      </c>
      <c r="F79" s="29">
        <v>138339</v>
      </c>
      <c r="G79" s="29">
        <v>137718</v>
      </c>
      <c r="H79" s="30">
        <f t="array" ref="H79">E79+D79</f>
        <v>1063684</v>
      </c>
      <c r="I79" s="30">
        <f t="array" ref="I79">G79+F79</f>
        <v>276057</v>
      </c>
      <c r="J79" s="30">
        <f t="array" ref="J79">D79+F79</f>
        <v>674732</v>
      </c>
      <c r="K79" s="30">
        <f t="array" ref="K79">E79+G79</f>
        <v>665009</v>
      </c>
      <c r="L79" s="30"/>
    </row>
    <row r="80" spans="1:12" ht="20.100000000000001" customHeight="1">
      <c r="A80" s="20" t="s">
        <v>172</v>
      </c>
      <c r="B80" s="21" t="s">
        <v>173</v>
      </c>
      <c r="C80" s="28">
        <f t="array" ref="C80">H80+I80</f>
        <v>1294344</v>
      </c>
      <c r="D80" s="29">
        <v>518217</v>
      </c>
      <c r="E80" s="29">
        <v>509424</v>
      </c>
      <c r="F80" s="29">
        <v>133651</v>
      </c>
      <c r="G80" s="29">
        <v>133052</v>
      </c>
      <c r="H80" s="30">
        <f t="array" ref="H80">E80+D80</f>
        <v>1027641</v>
      </c>
      <c r="I80" s="30">
        <f t="array" ref="I80">G80+F80</f>
        <v>266703</v>
      </c>
      <c r="J80" s="30">
        <f t="array" ref="J80">D80+F80</f>
        <v>651868</v>
      </c>
      <c r="K80" s="30">
        <f t="array" ref="K80">E80+G80</f>
        <v>642476</v>
      </c>
      <c r="L80" s="30"/>
    </row>
    <row r="81" spans="1:12" ht="20.100000000000001" customHeight="1">
      <c r="A81" s="20" t="s">
        <v>174</v>
      </c>
      <c r="B81" s="21" t="s">
        <v>175</v>
      </c>
      <c r="C81" s="28">
        <f t="array" ref="C81">H81+I81</f>
        <v>1269791</v>
      </c>
      <c r="D81" s="29">
        <v>508387</v>
      </c>
      <c r="E81" s="29">
        <v>499760</v>
      </c>
      <c r="F81" s="29">
        <v>131116</v>
      </c>
      <c r="G81" s="29">
        <v>130528</v>
      </c>
      <c r="H81" s="30">
        <f t="array" ref="H81">E81+D81</f>
        <v>1008147</v>
      </c>
      <c r="I81" s="30">
        <f t="array" ref="I81">G81+F81</f>
        <v>261644</v>
      </c>
      <c r="J81" s="30">
        <f t="array" ref="J81">D81+F81</f>
        <v>639503</v>
      </c>
      <c r="K81" s="30">
        <f t="array" ref="K81">E81+G81</f>
        <v>630288</v>
      </c>
      <c r="L81" s="30"/>
    </row>
    <row r="82" spans="1:12" ht="20.100000000000001" customHeight="1">
      <c r="A82" s="20" t="s">
        <v>176</v>
      </c>
      <c r="B82" s="21" t="s">
        <v>177</v>
      </c>
      <c r="C82" s="28">
        <f t="array" ref="C82">H82+I82</f>
        <v>1214279</v>
      </c>
      <c r="D82" s="29">
        <v>486162</v>
      </c>
      <c r="E82" s="29">
        <v>477912</v>
      </c>
      <c r="F82" s="29">
        <v>125384</v>
      </c>
      <c r="G82" s="29">
        <v>124821</v>
      </c>
      <c r="H82" s="30">
        <f t="array" ref="H82">E82+D82</f>
        <v>964074</v>
      </c>
      <c r="I82" s="30">
        <f t="array" ref="I82">G82+F82</f>
        <v>250205</v>
      </c>
      <c r="J82" s="30">
        <f t="array" ref="J82">D82+F82</f>
        <v>611546</v>
      </c>
      <c r="K82" s="30">
        <f t="array" ref="K82">E82+G82</f>
        <v>602733</v>
      </c>
      <c r="L82" s="30"/>
    </row>
    <row r="83" spans="1:12" ht="20.100000000000001" customHeight="1">
      <c r="A83" s="20" t="s">
        <v>178</v>
      </c>
      <c r="B83" s="21" t="s">
        <v>179</v>
      </c>
      <c r="C83" s="28">
        <f t="array" ref="C83">H83+I83</f>
        <v>1169243</v>
      </c>
      <c r="D83" s="29">
        <v>531313</v>
      </c>
      <c r="E83" s="29">
        <v>431063</v>
      </c>
      <c r="F83" s="29">
        <v>114304</v>
      </c>
      <c r="G83" s="29">
        <v>92563</v>
      </c>
      <c r="H83" s="30">
        <f t="array" ref="H83">E83+D83</f>
        <v>962376</v>
      </c>
      <c r="I83" s="30">
        <f t="array" ref="I83">G83+F83</f>
        <v>206867</v>
      </c>
      <c r="J83" s="30">
        <f t="array" ref="J83">D83+F83</f>
        <v>645617</v>
      </c>
      <c r="K83" s="30">
        <f t="array" ref="K83">E83+G83</f>
        <v>523626</v>
      </c>
      <c r="L83" s="30"/>
    </row>
    <row r="84" spans="1:12" ht="20.100000000000001" customHeight="1">
      <c r="A84" s="20" t="s">
        <v>180</v>
      </c>
      <c r="B84" s="21" t="s">
        <v>181</v>
      </c>
      <c r="C84" s="28">
        <f t="array" ref="C84">H84+I84</f>
        <v>1091834</v>
      </c>
      <c r="D84" s="29">
        <v>496138</v>
      </c>
      <c r="E84" s="29">
        <v>402525</v>
      </c>
      <c r="F84" s="29">
        <v>106736</v>
      </c>
      <c r="G84" s="29">
        <v>86435</v>
      </c>
      <c r="H84" s="30">
        <f t="array" ref="H84">E84+D84</f>
        <v>898663</v>
      </c>
      <c r="I84" s="30">
        <f t="array" ref="I84">G84+F84</f>
        <v>193171</v>
      </c>
      <c r="J84" s="30">
        <f t="array" ref="J84">D84+F84</f>
        <v>602874</v>
      </c>
      <c r="K84" s="30">
        <f t="array" ref="K84">E84+G84</f>
        <v>488960</v>
      </c>
      <c r="L84" s="30"/>
    </row>
    <row r="85" spans="1:12" ht="20.100000000000001" customHeight="1">
      <c r="A85" s="20" t="s">
        <v>182</v>
      </c>
      <c r="B85" s="21" t="s">
        <v>183</v>
      </c>
      <c r="C85" s="28">
        <f t="array" ref="C85">H85+I85</f>
        <v>1059429</v>
      </c>
      <c r="D85" s="29">
        <v>481413</v>
      </c>
      <c r="E85" s="29">
        <v>390578</v>
      </c>
      <c r="F85" s="29">
        <v>103568</v>
      </c>
      <c r="G85" s="29">
        <v>83870</v>
      </c>
      <c r="H85" s="30">
        <f t="array" ref="H85">E85+D85</f>
        <v>871991</v>
      </c>
      <c r="I85" s="30">
        <f t="array" ref="I85">G85+F85</f>
        <v>187438</v>
      </c>
      <c r="J85" s="30">
        <f t="array" ref="J85">D85+F85</f>
        <v>584981</v>
      </c>
      <c r="K85" s="30">
        <f t="array" ref="K85">E85+G85</f>
        <v>474448</v>
      </c>
      <c r="L85" s="30"/>
    </row>
    <row r="86" spans="1:12" ht="20.100000000000001" customHeight="1">
      <c r="A86" s="20" t="s">
        <v>184</v>
      </c>
      <c r="B86" s="21" t="s">
        <v>185</v>
      </c>
      <c r="C86" s="28">
        <f t="array" ref="C86">H86+I86</f>
        <v>1024593</v>
      </c>
      <c r="D86" s="29">
        <v>465583</v>
      </c>
      <c r="E86" s="29">
        <v>377735</v>
      </c>
      <c r="F86" s="29">
        <v>100163</v>
      </c>
      <c r="G86" s="29">
        <v>81112</v>
      </c>
      <c r="H86" s="30">
        <f t="array" ref="H86">E86+D86</f>
        <v>843318</v>
      </c>
      <c r="I86" s="30">
        <f t="array" ref="I86">G86+F86</f>
        <v>181275</v>
      </c>
      <c r="J86" s="30">
        <f t="array" ref="J86">D86+F86</f>
        <v>565746</v>
      </c>
      <c r="K86" s="30">
        <f t="array" ref="K86">E86+G86</f>
        <v>458847</v>
      </c>
      <c r="L86" s="30"/>
    </row>
    <row r="87" spans="1:12" ht="20.100000000000001" customHeight="1">
      <c r="A87" s="20" t="s">
        <v>186</v>
      </c>
      <c r="B87" s="21" t="s">
        <v>187</v>
      </c>
      <c r="C87" s="28">
        <f t="array" ref="C87">H87+I87</f>
        <v>979853</v>
      </c>
      <c r="D87" s="29">
        <v>445253</v>
      </c>
      <c r="E87" s="29">
        <v>361241</v>
      </c>
      <c r="F87" s="29">
        <v>95789</v>
      </c>
      <c r="G87" s="29">
        <v>77570</v>
      </c>
      <c r="H87" s="30">
        <f t="array" ref="H87">E87+D87</f>
        <v>806494</v>
      </c>
      <c r="I87" s="30">
        <f t="array" ref="I87">G87+F87</f>
        <v>173359</v>
      </c>
      <c r="J87" s="30">
        <f t="array" ref="J87">D87+F87</f>
        <v>541042</v>
      </c>
      <c r="K87" s="30">
        <f t="array" ref="K87">E87+G87</f>
        <v>438811</v>
      </c>
      <c r="L87" s="30"/>
    </row>
    <row r="88" spans="1:12" ht="20.100000000000001" customHeight="1">
      <c r="A88" s="20" t="s">
        <v>188</v>
      </c>
      <c r="B88" s="21" t="s">
        <v>189</v>
      </c>
      <c r="C88" s="28">
        <f t="array" ref="C88">H88+I88</f>
        <v>949235</v>
      </c>
      <c r="D88" s="29">
        <v>431340</v>
      </c>
      <c r="E88" s="29">
        <v>349953</v>
      </c>
      <c r="F88" s="29">
        <v>92796</v>
      </c>
      <c r="G88" s="29">
        <v>75146</v>
      </c>
      <c r="H88" s="30">
        <f t="array" ref="H88">E88+D88</f>
        <v>781293</v>
      </c>
      <c r="I88" s="30">
        <f t="array" ref="I88">G88+F88</f>
        <v>167942</v>
      </c>
      <c r="J88" s="30">
        <f t="array" ref="J88">D88+F88</f>
        <v>524136</v>
      </c>
      <c r="K88" s="30">
        <f t="array" ref="K88">E88+G88</f>
        <v>425099</v>
      </c>
      <c r="L88" s="30"/>
    </row>
    <row r="89" spans="1:12" ht="20.100000000000001" customHeight="1">
      <c r="A89" s="20" t="s">
        <v>190</v>
      </c>
      <c r="B89" s="21" t="s">
        <v>191</v>
      </c>
      <c r="C89" s="28">
        <f t="array" ref="C89">H89+I89</f>
        <v>904559</v>
      </c>
      <c r="D89" s="29">
        <v>411039</v>
      </c>
      <c r="E89" s="29">
        <v>333482</v>
      </c>
      <c r="F89" s="29">
        <v>88429</v>
      </c>
      <c r="G89" s="29">
        <v>71609</v>
      </c>
      <c r="H89" s="30">
        <f t="array" ref="H89">E89+D89</f>
        <v>744521</v>
      </c>
      <c r="I89" s="30">
        <f t="array" ref="I89">G89+F89</f>
        <v>160038</v>
      </c>
      <c r="J89" s="30">
        <f t="array" ref="J89">D89+F89</f>
        <v>499468</v>
      </c>
      <c r="K89" s="30">
        <f t="array" ref="K89">E89+G89</f>
        <v>405091</v>
      </c>
      <c r="L89" s="30"/>
    </row>
    <row r="90" spans="1:12" ht="20.100000000000001" customHeight="1">
      <c r="A90" s="20" t="s">
        <v>192</v>
      </c>
      <c r="B90" s="21" t="s">
        <v>193</v>
      </c>
      <c r="C90" s="28">
        <f t="array" ref="C90">H90+I90</f>
        <v>890040</v>
      </c>
      <c r="D90" s="29">
        <v>404441</v>
      </c>
      <c r="E90" s="29">
        <v>328130</v>
      </c>
      <c r="F90" s="29">
        <v>87009</v>
      </c>
      <c r="G90" s="29">
        <v>70460</v>
      </c>
      <c r="H90" s="30">
        <f t="array" ref="H90">E90+D90</f>
        <v>732571</v>
      </c>
      <c r="I90" s="30">
        <f t="array" ref="I90">G90+F90</f>
        <v>157469</v>
      </c>
      <c r="J90" s="30">
        <f t="array" ref="J90">D90+F90</f>
        <v>491450</v>
      </c>
      <c r="K90" s="30">
        <f t="array" ref="K90">E90+G90</f>
        <v>398590</v>
      </c>
      <c r="L90" s="30"/>
    </row>
    <row r="91" spans="1:12" ht="20.100000000000001" customHeight="1">
      <c r="A91" s="20" t="s">
        <v>194</v>
      </c>
      <c r="B91" s="21" t="s">
        <v>195</v>
      </c>
      <c r="C91" s="28">
        <f t="array" ref="C91">H91+I91</f>
        <v>859165</v>
      </c>
      <c r="D91" s="29">
        <v>390411</v>
      </c>
      <c r="E91" s="29">
        <v>316747</v>
      </c>
      <c r="F91" s="29">
        <v>83991</v>
      </c>
      <c r="G91" s="29">
        <v>68016</v>
      </c>
      <c r="H91" s="30">
        <f t="array" ref="H91">E91+D91</f>
        <v>707158</v>
      </c>
      <c r="I91" s="30">
        <f t="array" ref="I91">G91+F91</f>
        <v>152007</v>
      </c>
      <c r="J91" s="30">
        <f t="array" ref="J91">D91+F91</f>
        <v>474402</v>
      </c>
      <c r="K91" s="30">
        <f t="array" ref="K91">E91+G91</f>
        <v>384763</v>
      </c>
      <c r="L91" s="30"/>
    </row>
    <row r="92" spans="1:12" ht="20.100000000000001" customHeight="1">
      <c r="A92" s="20" t="s">
        <v>196</v>
      </c>
      <c r="B92" s="21" t="s">
        <v>197</v>
      </c>
      <c r="C92" s="28">
        <f t="array" ref="C92">H92+I92</f>
        <v>842695</v>
      </c>
      <c r="D92" s="29">
        <v>382927</v>
      </c>
      <c r="E92" s="29">
        <v>310675</v>
      </c>
      <c r="F92" s="29">
        <v>82381</v>
      </c>
      <c r="G92" s="29">
        <v>66712</v>
      </c>
      <c r="H92" s="30">
        <f t="array" ref="H92">E92+D92</f>
        <v>693602</v>
      </c>
      <c r="I92" s="30">
        <f t="array" ref="I92">G92+F92</f>
        <v>149093</v>
      </c>
      <c r="J92" s="30">
        <f t="array" ref="J92">D92+F92</f>
        <v>465308</v>
      </c>
      <c r="K92" s="30">
        <f t="array" ref="K92">E92+G92</f>
        <v>377387</v>
      </c>
      <c r="L92" s="30"/>
    </row>
    <row r="93" spans="1:12" ht="20.100000000000001" customHeight="1">
      <c r="A93" s="20" t="s">
        <v>198</v>
      </c>
      <c r="B93" s="21" t="s">
        <v>199</v>
      </c>
      <c r="C93" s="28">
        <f t="array" ref="C93">H93+I93</f>
        <v>797433</v>
      </c>
      <c r="D93" s="29">
        <v>378803</v>
      </c>
      <c r="E93" s="29">
        <v>307329</v>
      </c>
      <c r="F93" s="29">
        <v>61499</v>
      </c>
      <c r="G93" s="29">
        <v>49802</v>
      </c>
      <c r="H93" s="30">
        <f t="array" ref="H93">E93+D93</f>
        <v>686132</v>
      </c>
      <c r="I93" s="30">
        <f t="array" ref="I93">G93+F93</f>
        <v>111301</v>
      </c>
      <c r="J93" s="30">
        <f t="array" ref="J93">D93+F93</f>
        <v>440302</v>
      </c>
      <c r="K93" s="30">
        <f t="array" ref="K93">E93+G93</f>
        <v>357131</v>
      </c>
      <c r="L93" s="30"/>
    </row>
    <row r="94" spans="1:12" ht="20.100000000000001" customHeight="1">
      <c r="A94" s="20" t="s">
        <v>200</v>
      </c>
      <c r="B94" s="21" t="s">
        <v>201</v>
      </c>
      <c r="C94" s="28">
        <f t="array" ref="C94">H94+I94</f>
        <v>711029</v>
      </c>
      <c r="D94" s="29">
        <v>337759</v>
      </c>
      <c r="E94" s="29">
        <v>274029</v>
      </c>
      <c r="F94" s="29">
        <v>54835</v>
      </c>
      <c r="G94" s="29">
        <v>44406</v>
      </c>
      <c r="H94" s="30">
        <f t="array" ref="H94">E94+D94</f>
        <v>611788</v>
      </c>
      <c r="I94" s="30">
        <f t="array" ref="I94">G94+F94</f>
        <v>99241</v>
      </c>
      <c r="J94" s="30">
        <f t="array" ref="J94">D94+F94</f>
        <v>392594</v>
      </c>
      <c r="K94" s="30">
        <f t="array" ref="K94">E94+G94</f>
        <v>318435</v>
      </c>
      <c r="L94" s="30"/>
    </row>
    <row r="95" spans="1:12" ht="20.100000000000001" customHeight="1">
      <c r="A95" s="20" t="s">
        <v>202</v>
      </c>
      <c r="B95" s="21" t="s">
        <v>203</v>
      </c>
      <c r="C95" s="28">
        <f t="array" ref="C95">H95+I95</f>
        <v>651950</v>
      </c>
      <c r="D95" s="29">
        <v>309695</v>
      </c>
      <c r="E95" s="29">
        <v>251260</v>
      </c>
      <c r="F95" s="29">
        <v>50279</v>
      </c>
      <c r="G95" s="29">
        <v>40716</v>
      </c>
      <c r="H95" s="30">
        <f t="array" ref="H95">E95+D95</f>
        <v>560955</v>
      </c>
      <c r="I95" s="30">
        <f t="array" ref="I95">G95+F95</f>
        <v>90995</v>
      </c>
      <c r="J95" s="30">
        <f t="array" ref="J95">D95+F95</f>
        <v>359974</v>
      </c>
      <c r="K95" s="30">
        <f t="array" ref="K95">E95+G95</f>
        <v>291976</v>
      </c>
      <c r="L95" s="30"/>
    </row>
    <row r="96" spans="1:12" ht="20.100000000000001" customHeight="1">
      <c r="A96" s="20" t="s">
        <v>204</v>
      </c>
      <c r="B96" s="21" t="s">
        <v>205</v>
      </c>
      <c r="C96" s="28">
        <f t="array" ref="C96">H96+I96</f>
        <v>550371</v>
      </c>
      <c r="D96" s="29">
        <v>261442</v>
      </c>
      <c r="E96" s="29">
        <v>212112</v>
      </c>
      <c r="F96" s="29">
        <v>42445</v>
      </c>
      <c r="G96" s="29">
        <v>34372</v>
      </c>
      <c r="H96" s="30">
        <f t="array" ref="H96">E96+D96</f>
        <v>473554</v>
      </c>
      <c r="I96" s="30">
        <f t="array" ref="I96">G96+F96</f>
        <v>76817</v>
      </c>
      <c r="J96" s="30">
        <f t="array" ref="J96">D96+F96</f>
        <v>303887</v>
      </c>
      <c r="K96" s="30">
        <f t="array" ref="K96">E96+G96</f>
        <v>246484</v>
      </c>
      <c r="L96" s="30"/>
    </row>
    <row r="97" spans="1:12" ht="20.100000000000001" customHeight="1">
      <c r="A97" s="20" t="s">
        <v>206</v>
      </c>
      <c r="B97" s="21" t="s">
        <v>207</v>
      </c>
      <c r="C97" s="28">
        <f t="array" ref="C97">H97+I97</f>
        <v>468806</v>
      </c>
      <c r="D97" s="29">
        <v>222696</v>
      </c>
      <c r="E97" s="29">
        <v>180677</v>
      </c>
      <c r="F97" s="29">
        <v>36155</v>
      </c>
      <c r="G97" s="29">
        <v>29278</v>
      </c>
      <c r="H97" s="30">
        <f t="array" ref="H97">E97+D97</f>
        <v>403373</v>
      </c>
      <c r="I97" s="30">
        <f t="array" ref="I97">G97+F97</f>
        <v>65433</v>
      </c>
      <c r="J97" s="30">
        <f t="array" ref="J97">D97+F97</f>
        <v>258851</v>
      </c>
      <c r="K97" s="30">
        <f t="array" ref="K97">E97+G97</f>
        <v>209955</v>
      </c>
      <c r="L97" s="30"/>
    </row>
    <row r="98" spans="1:12" ht="20.100000000000001" customHeight="1">
      <c r="A98" s="20" t="s">
        <v>208</v>
      </c>
      <c r="B98" s="21" t="s">
        <v>209</v>
      </c>
      <c r="C98" s="28">
        <f t="array" ref="C98">H98+I98</f>
        <v>607141</v>
      </c>
      <c r="D98" s="29">
        <v>288409</v>
      </c>
      <c r="E98" s="29">
        <v>233991</v>
      </c>
      <c r="F98" s="29">
        <v>46823</v>
      </c>
      <c r="G98" s="29">
        <v>37918</v>
      </c>
      <c r="H98" s="30">
        <f t="array" ref="H98">E98+D98</f>
        <v>522400</v>
      </c>
      <c r="I98" s="30">
        <f t="array" ref="I98">G98+F98</f>
        <v>84741</v>
      </c>
      <c r="J98" s="30">
        <f t="array" ref="J98">D98+F98</f>
        <v>335232</v>
      </c>
      <c r="K98" s="30">
        <f t="array" ref="K98">E98+G98</f>
        <v>271909</v>
      </c>
      <c r="L98" s="30"/>
    </row>
    <row r="99" spans="1:12" ht="20.100000000000001" customHeight="1">
      <c r="A99" s="20" t="s">
        <v>210</v>
      </c>
      <c r="B99" s="21" t="s">
        <v>211</v>
      </c>
      <c r="C99" s="28">
        <f t="array" ref="C99">H99+I99</f>
        <v>593776</v>
      </c>
      <c r="D99" s="29">
        <v>282060</v>
      </c>
      <c r="E99" s="29">
        <v>228840</v>
      </c>
      <c r="F99" s="29">
        <v>45793</v>
      </c>
      <c r="G99" s="29">
        <v>37083</v>
      </c>
      <c r="H99" s="30">
        <f t="array" ref="H99">E99+D99</f>
        <v>510900</v>
      </c>
      <c r="I99" s="30">
        <f t="array" ref="I99">G99+F99</f>
        <v>82876</v>
      </c>
      <c r="J99" s="30">
        <f t="array" ref="J99">D99+F99</f>
        <v>327853</v>
      </c>
      <c r="K99" s="30">
        <f t="array" ref="K99">E99+G99</f>
        <v>265923</v>
      </c>
      <c r="L99" s="30"/>
    </row>
    <row r="100" spans="1:12" ht="20.100000000000001" customHeight="1">
      <c r="A100" s="20" t="s">
        <v>212</v>
      </c>
      <c r="B100" s="21" t="s">
        <v>213</v>
      </c>
      <c r="C100" s="28">
        <f t="array" ref="C100">H100+I100</f>
        <v>553001</v>
      </c>
      <c r="D100" s="29">
        <v>262691</v>
      </c>
      <c r="E100" s="29">
        <v>213126</v>
      </c>
      <c r="F100" s="29">
        <v>42648</v>
      </c>
      <c r="G100" s="29">
        <v>34536</v>
      </c>
      <c r="H100" s="30">
        <f t="array" ref="H100">E100+D100</f>
        <v>475817</v>
      </c>
      <c r="I100" s="30">
        <f t="array" ref="I100">G100+F100</f>
        <v>77184</v>
      </c>
      <c r="J100" s="30">
        <f t="array" ref="J100">D100+F100</f>
        <v>305339</v>
      </c>
      <c r="K100" s="30">
        <f t="array" ref="K100">E100+G100</f>
        <v>247662</v>
      </c>
      <c r="L100" s="30"/>
    </row>
    <row r="101" spans="1:12" ht="20.100000000000001" customHeight="1">
      <c r="A101" s="20" t="s">
        <v>214</v>
      </c>
      <c r="B101" s="21" t="s">
        <v>215</v>
      </c>
      <c r="C101" s="28">
        <f t="array" ref="C101">H101+I101</f>
        <v>641590</v>
      </c>
      <c r="D101" s="29">
        <v>304773</v>
      </c>
      <c r="E101" s="29">
        <v>247268</v>
      </c>
      <c r="F101" s="29">
        <v>49480</v>
      </c>
      <c r="G101" s="29">
        <v>40069</v>
      </c>
      <c r="H101" s="30">
        <f t="array" ref="H101">E101+D101</f>
        <v>552041</v>
      </c>
      <c r="I101" s="30">
        <f t="array" ref="I101">G101+F101</f>
        <v>89549</v>
      </c>
      <c r="J101" s="30">
        <f t="array" ref="J101">D101+F101</f>
        <v>354253</v>
      </c>
      <c r="K101" s="30">
        <f t="array" ref="K101">E101+G101</f>
        <v>287337</v>
      </c>
      <c r="L101" s="30"/>
    </row>
    <row r="102" spans="1:12" ht="20.100000000000001" customHeight="1">
      <c r="A102" s="20" t="s">
        <v>216</v>
      </c>
      <c r="B102" s="21" t="s">
        <v>217</v>
      </c>
      <c r="C102" s="28">
        <f t="array" ref="C102">H102+I102</f>
        <v>633529</v>
      </c>
      <c r="D102" s="29">
        <v>300944</v>
      </c>
      <c r="E102" s="29">
        <v>244161</v>
      </c>
      <c r="F102" s="29">
        <v>48858</v>
      </c>
      <c r="G102" s="29">
        <v>39566</v>
      </c>
      <c r="H102" s="30">
        <f t="array" ref="H102">E102+D102</f>
        <v>545105</v>
      </c>
      <c r="I102" s="30">
        <f t="array" ref="I102">G102+F102</f>
        <v>88424</v>
      </c>
      <c r="J102" s="30">
        <f t="array" ref="J102">D102+F102</f>
        <v>349802</v>
      </c>
      <c r="K102" s="30">
        <f t="array" ref="K102">E102+G102</f>
        <v>283727</v>
      </c>
      <c r="L102" s="30"/>
    </row>
    <row r="103" spans="1:12" ht="20.100000000000001" customHeight="1">
      <c r="A103" s="20" t="s">
        <v>218</v>
      </c>
      <c r="B103" s="21" t="s">
        <v>219</v>
      </c>
      <c r="C103" s="28">
        <f t="array" ref="C103">H103+I103</f>
        <v>582919</v>
      </c>
      <c r="D103" s="29">
        <v>291990</v>
      </c>
      <c r="E103" s="29">
        <v>236896</v>
      </c>
      <c r="F103" s="29">
        <v>29856</v>
      </c>
      <c r="G103" s="29">
        <v>24177</v>
      </c>
      <c r="H103" s="30">
        <f t="array" ref="H103">E103+D103</f>
        <v>528886</v>
      </c>
      <c r="I103" s="30">
        <f t="array" ref="I103">G103+F103</f>
        <v>54033</v>
      </c>
      <c r="J103" s="30">
        <f t="array" ref="J103">D103+F103</f>
        <v>321846</v>
      </c>
      <c r="K103" s="30">
        <f t="array" ref="K103">E103+G103</f>
        <v>261073</v>
      </c>
      <c r="L103" s="30"/>
    </row>
    <row r="104" spans="1:12" ht="20.100000000000001" customHeight="1">
      <c r="A104" s="20" t="s">
        <v>220</v>
      </c>
      <c r="B104" s="21" t="s">
        <v>221</v>
      </c>
      <c r="C104" s="28">
        <f t="array" ref="C104">H104+I104</f>
        <v>497275</v>
      </c>
      <c r="D104" s="29">
        <v>249090</v>
      </c>
      <c r="E104" s="29">
        <v>202091</v>
      </c>
      <c r="F104" s="29">
        <v>25469</v>
      </c>
      <c r="G104" s="29">
        <v>20625</v>
      </c>
      <c r="H104" s="30">
        <f t="array" ref="H104">E104+D104</f>
        <v>451181</v>
      </c>
      <c r="I104" s="30">
        <f t="array" ref="I104">G104+F104</f>
        <v>46094</v>
      </c>
      <c r="J104" s="30">
        <f t="array" ref="J104">D104+F104</f>
        <v>274559</v>
      </c>
      <c r="K104" s="30">
        <f t="array" ref="K104">E104+G104</f>
        <v>222716</v>
      </c>
      <c r="L104" s="30"/>
    </row>
    <row r="105" spans="1:12" ht="20.100000000000001" customHeight="1">
      <c r="A105" s="20" t="s">
        <v>222</v>
      </c>
      <c r="B105" s="21" t="s">
        <v>223</v>
      </c>
      <c r="C105" s="28">
        <f t="array" ref="C105">H105+I105</f>
        <v>419573</v>
      </c>
      <c r="D105" s="29">
        <v>210168</v>
      </c>
      <c r="E105" s="29">
        <v>170513</v>
      </c>
      <c r="F105" s="29">
        <v>21490</v>
      </c>
      <c r="G105" s="29">
        <v>17402</v>
      </c>
      <c r="H105" s="30">
        <f t="array" ref="H105">E105+D105</f>
        <v>380681</v>
      </c>
      <c r="I105" s="30">
        <f t="array" ref="I105">G105+F105</f>
        <v>38892</v>
      </c>
      <c r="J105" s="30">
        <f t="array" ref="J105">D105+F105</f>
        <v>231658</v>
      </c>
      <c r="K105" s="30">
        <f t="array" ref="K105">E105+G105</f>
        <v>187915</v>
      </c>
      <c r="L105" s="30"/>
    </row>
    <row r="106" spans="1:12" ht="20.100000000000001" customHeight="1">
      <c r="A106" s="20" t="s">
        <v>224</v>
      </c>
      <c r="B106" s="21" t="s">
        <v>225</v>
      </c>
      <c r="C106" s="28">
        <f t="array" ref="C106">H106+I106</f>
        <v>356617</v>
      </c>
      <c r="D106" s="29">
        <v>178633</v>
      </c>
      <c r="E106" s="29">
        <v>144928</v>
      </c>
      <c r="F106" s="29">
        <v>18265</v>
      </c>
      <c r="G106" s="29">
        <v>14791</v>
      </c>
      <c r="H106" s="30">
        <f t="array" ref="H106">E106+D106</f>
        <v>323561</v>
      </c>
      <c r="I106" s="30">
        <f t="array" ref="I106">G106+F106</f>
        <v>33056</v>
      </c>
      <c r="J106" s="30">
        <f t="array" ref="J106">D106+F106</f>
        <v>196898</v>
      </c>
      <c r="K106" s="30">
        <f t="array" ref="K106">E106+G106</f>
        <v>159719</v>
      </c>
      <c r="L106" s="30"/>
    </row>
    <row r="107" spans="1:12" ht="20.100000000000001" customHeight="1">
      <c r="A107" s="20" t="s">
        <v>226</v>
      </c>
      <c r="B107" s="21" t="s">
        <v>227</v>
      </c>
      <c r="C107" s="28">
        <f t="array" ref="C107">H107+I107</f>
        <v>296480</v>
      </c>
      <c r="D107" s="29">
        <v>148510</v>
      </c>
      <c r="E107" s="29">
        <v>120488</v>
      </c>
      <c r="F107" s="29">
        <v>15185</v>
      </c>
      <c r="G107" s="29">
        <v>12297</v>
      </c>
      <c r="H107" s="30">
        <f t="array" ref="H107">E107+D107</f>
        <v>268998</v>
      </c>
      <c r="I107" s="30">
        <f t="array" ref="I107">G107+F107</f>
        <v>27482</v>
      </c>
      <c r="J107" s="30">
        <f t="array" ref="J107">D107+F107</f>
        <v>163695</v>
      </c>
      <c r="K107" s="30">
        <f t="array" ref="K107">E107+G107</f>
        <v>132785</v>
      </c>
      <c r="L107" s="30"/>
    </row>
    <row r="108" spans="1:12" ht="20.100000000000001" customHeight="1">
      <c r="A108" s="20" t="s">
        <v>228</v>
      </c>
      <c r="B108" s="21" t="s">
        <v>229</v>
      </c>
      <c r="C108" s="28">
        <f t="array" ref="C108">H108+I108</f>
        <v>233323</v>
      </c>
      <c r="D108" s="29">
        <v>116874</v>
      </c>
      <c r="E108" s="29">
        <v>94822</v>
      </c>
      <c r="F108" s="29">
        <v>11950</v>
      </c>
      <c r="G108" s="29">
        <v>9677</v>
      </c>
      <c r="H108" s="30">
        <f t="array" ref="H108">E108+D108</f>
        <v>211696</v>
      </c>
      <c r="I108" s="30">
        <f t="array" ref="I108">G108+F108</f>
        <v>21627</v>
      </c>
      <c r="J108" s="30">
        <f t="array" ref="J108">D108+F108</f>
        <v>128824</v>
      </c>
      <c r="K108" s="30">
        <f t="array" ref="K108">E108+G108</f>
        <v>104499</v>
      </c>
      <c r="L108" s="30"/>
    </row>
    <row r="109" spans="1:12" ht="20.100000000000001" customHeight="1">
      <c r="A109" s="20" t="s">
        <v>230</v>
      </c>
      <c r="B109" s="21" t="s">
        <v>231</v>
      </c>
      <c r="C109" s="28">
        <f t="array" ref="C109">H109+I109</f>
        <v>154087</v>
      </c>
      <c r="D109" s="29">
        <v>77184</v>
      </c>
      <c r="E109" s="29">
        <v>62620</v>
      </c>
      <c r="F109" s="29">
        <v>7892</v>
      </c>
      <c r="G109" s="29">
        <v>6391</v>
      </c>
      <c r="H109" s="30">
        <f t="array" ref="H109">E109+D109</f>
        <v>139804</v>
      </c>
      <c r="I109" s="30">
        <f t="array" ref="I109">G109+F109</f>
        <v>14283</v>
      </c>
      <c r="J109" s="30">
        <f t="array" ref="J109">D109+F109</f>
        <v>85076</v>
      </c>
      <c r="K109" s="30">
        <f t="array" ref="K109">E109+G109</f>
        <v>69011</v>
      </c>
      <c r="L109" s="30"/>
    </row>
    <row r="110" spans="1:12" ht="20.100000000000001" customHeight="1">
      <c r="A110" s="20" t="s">
        <v>232</v>
      </c>
      <c r="B110" s="21" t="s">
        <v>233</v>
      </c>
      <c r="C110" s="28">
        <f t="array" ref="C110">H110+I110</f>
        <v>124618</v>
      </c>
      <c r="D110" s="29">
        <v>62422</v>
      </c>
      <c r="E110" s="29">
        <v>50644</v>
      </c>
      <c r="F110" s="29">
        <v>6383</v>
      </c>
      <c r="G110" s="29">
        <v>5169</v>
      </c>
      <c r="H110" s="30">
        <f t="array" ref="H110">E110+D110</f>
        <v>113066</v>
      </c>
      <c r="I110" s="30">
        <f t="array" ref="I110">G110+F110</f>
        <v>11552</v>
      </c>
      <c r="J110" s="30">
        <f t="array" ref="J110">D110+F110</f>
        <v>68805</v>
      </c>
      <c r="K110" s="30">
        <f t="array" ref="K110">E110+G110</f>
        <v>55813</v>
      </c>
      <c r="L110" s="30"/>
    </row>
    <row r="111" spans="1:12" ht="20.100000000000001" customHeight="1">
      <c r="A111" s="20" t="s">
        <v>234</v>
      </c>
      <c r="B111" s="21" t="s">
        <v>235</v>
      </c>
      <c r="C111" s="28">
        <f t="array" ref="C111">H111+I111</f>
        <v>100447</v>
      </c>
      <c r="D111" s="29">
        <v>50315</v>
      </c>
      <c r="E111" s="29">
        <v>40821</v>
      </c>
      <c r="F111" s="29">
        <v>5145</v>
      </c>
      <c r="G111" s="29">
        <v>4166</v>
      </c>
      <c r="H111" s="30">
        <f t="array" ref="H111">E111+D111</f>
        <v>91136</v>
      </c>
      <c r="I111" s="30">
        <f t="array" ref="I111">G111+F111</f>
        <v>9311</v>
      </c>
      <c r="J111" s="30">
        <f t="array" ref="J111">D111+F111</f>
        <v>55460</v>
      </c>
      <c r="K111" s="30">
        <f t="array" ref="K111">E111+G111</f>
        <v>44987</v>
      </c>
      <c r="L111" s="30"/>
    </row>
    <row r="112" spans="1:12" ht="20.100000000000001" customHeight="1">
      <c r="A112" s="20" t="s">
        <v>236</v>
      </c>
      <c r="B112" s="21" t="s">
        <v>237</v>
      </c>
      <c r="C112" s="28">
        <f t="array" ref="C112">H112+I112</f>
        <v>81746</v>
      </c>
      <c r="D112" s="29">
        <v>40947</v>
      </c>
      <c r="E112" s="29">
        <v>33221</v>
      </c>
      <c r="F112" s="29">
        <v>4187</v>
      </c>
      <c r="G112" s="29">
        <v>3391</v>
      </c>
      <c r="H112" s="30">
        <f t="array" ref="H112">E112+D112</f>
        <v>74168</v>
      </c>
      <c r="I112" s="30">
        <f t="array" ref="I112">G112+F112</f>
        <v>7578</v>
      </c>
      <c r="J112" s="30">
        <f t="array" ref="J112">D112+F112</f>
        <v>45134</v>
      </c>
      <c r="K112" s="30">
        <f t="array" ref="K112">E112+G112</f>
        <v>36612</v>
      </c>
      <c r="L112" s="30"/>
    </row>
    <row r="113" spans="1:12" ht="20.100000000000001" customHeight="1">
      <c r="A113" s="20" t="s">
        <v>238</v>
      </c>
      <c r="B113" s="21" t="s">
        <v>239</v>
      </c>
      <c r="C113" s="28">
        <f t="array" ref="C113">H113+I113</f>
        <v>58458</v>
      </c>
      <c r="D113" s="29">
        <v>28877</v>
      </c>
      <c r="E113" s="29">
        <v>23428</v>
      </c>
      <c r="F113" s="29">
        <v>3400</v>
      </c>
      <c r="G113" s="29">
        <v>2753</v>
      </c>
      <c r="H113" s="30">
        <f t="array" ref="H113">E113+D113</f>
        <v>52305</v>
      </c>
      <c r="I113" s="30">
        <f t="array" ref="I113">G113+F113</f>
        <v>6153</v>
      </c>
      <c r="J113" s="30">
        <f t="array" ref="J113">D113+F113</f>
        <v>32277</v>
      </c>
      <c r="K113" s="30">
        <f t="array" ref="K113">E113+G113</f>
        <v>26181</v>
      </c>
      <c r="L113" s="30"/>
    </row>
    <row r="114" spans="1:12" ht="20.100000000000001" customHeight="1">
      <c r="A114" s="20" t="s">
        <v>240</v>
      </c>
      <c r="B114" s="21" t="s">
        <v>241</v>
      </c>
      <c r="C114" s="28">
        <f t="array" ref="C114">H114+I114</f>
        <v>42375</v>
      </c>
      <c r="D114" s="29">
        <v>20932</v>
      </c>
      <c r="E114" s="29">
        <v>16982</v>
      </c>
      <c r="F114" s="29">
        <v>2465</v>
      </c>
      <c r="G114" s="29">
        <v>1996</v>
      </c>
      <c r="H114" s="30">
        <f t="array" ref="H114">E114+D114</f>
        <v>37914</v>
      </c>
      <c r="I114" s="30">
        <f t="array" ref="I114">G114+F114</f>
        <v>4461</v>
      </c>
      <c r="J114" s="30">
        <f t="array" ref="J114">D114+F114</f>
        <v>23397</v>
      </c>
      <c r="K114" s="30">
        <f t="array" ref="K114">E114+G114</f>
        <v>18978</v>
      </c>
      <c r="L114" s="30"/>
    </row>
    <row r="115" spans="1:12" ht="20.100000000000001" customHeight="1">
      <c r="A115" s="20" t="s">
        <v>242</v>
      </c>
      <c r="B115" s="21" t="s">
        <v>243</v>
      </c>
      <c r="C115" s="28">
        <f t="array" ref="C115">H115+I115</f>
        <v>28452</v>
      </c>
      <c r="D115" s="29">
        <v>14054</v>
      </c>
      <c r="E115" s="29">
        <v>11403</v>
      </c>
      <c r="F115" s="29">
        <v>1655</v>
      </c>
      <c r="G115" s="29">
        <v>1340</v>
      </c>
      <c r="H115" s="30">
        <f t="array" ref="H115">E115+D115</f>
        <v>25457</v>
      </c>
      <c r="I115" s="30">
        <f t="array" ref="I115">G115+F115</f>
        <v>2995</v>
      </c>
      <c r="J115" s="30">
        <f t="array" ref="J115">D115+F115</f>
        <v>15709</v>
      </c>
      <c r="K115" s="30">
        <f t="array" ref="K115">E115+G115</f>
        <v>12743</v>
      </c>
      <c r="L115" s="30"/>
    </row>
    <row r="116" spans="1:12" ht="20.100000000000001" customHeight="1">
      <c r="A116" s="20" t="s">
        <v>244</v>
      </c>
      <c r="B116" s="21" t="s">
        <v>245</v>
      </c>
      <c r="C116" s="28">
        <f t="array" ref="C116">H116+I116</f>
        <v>19066</v>
      </c>
      <c r="D116" s="29">
        <v>9418</v>
      </c>
      <c r="E116" s="29">
        <v>7641</v>
      </c>
      <c r="F116" s="29">
        <v>1109</v>
      </c>
      <c r="G116" s="29">
        <v>898</v>
      </c>
      <c r="H116" s="30">
        <f t="array" ref="H116">E116+D116</f>
        <v>17059</v>
      </c>
      <c r="I116" s="30">
        <f t="array" ref="I116">G116+F116</f>
        <v>2007</v>
      </c>
      <c r="J116" s="30">
        <f t="array" ref="J116">D116+F116</f>
        <v>10527</v>
      </c>
      <c r="K116" s="30">
        <f t="array" ref="K116">E116+G116</f>
        <v>8539</v>
      </c>
      <c r="L116" s="30"/>
    </row>
    <row r="117" spans="1:12" ht="20.100000000000001" customHeight="1">
      <c r="A117" s="20" t="s">
        <v>246</v>
      </c>
      <c r="B117" s="21" t="s">
        <v>247</v>
      </c>
      <c r="C117" s="28">
        <f t="array" ref="C117">H117+I117</f>
        <v>30366</v>
      </c>
      <c r="D117" s="29">
        <v>15000</v>
      </c>
      <c r="E117" s="29">
        <v>12170</v>
      </c>
      <c r="F117" s="29">
        <v>1766</v>
      </c>
      <c r="G117" s="29">
        <v>1430</v>
      </c>
      <c r="H117" s="30">
        <f t="array" ref="H117">E117+D117</f>
        <v>27170</v>
      </c>
      <c r="I117" s="30">
        <f t="array" ref="I117">G117+F117</f>
        <v>3196</v>
      </c>
      <c r="J117" s="30">
        <f t="array" ref="J117">D117+F117</f>
        <v>16766</v>
      </c>
      <c r="K117" s="30">
        <f t="array" ref="K117">E117+G117</f>
        <v>13600</v>
      </c>
      <c r="L117" s="30"/>
    </row>
    <row r="118" spans="1:12" ht="20.100000000000001" customHeight="1">
      <c r="A118" s="20" t="s">
        <v>248</v>
      </c>
      <c r="B118" s="21" t="s">
        <v>249</v>
      </c>
      <c r="C118" s="28">
        <f t="array" ref="C118">SUM(C18:C117)</f>
        <v>83577142</v>
      </c>
      <c r="D118" s="28">
        <f t="array" ref="D118">SUM(D18:D117)</f>
        <v>29483615</v>
      </c>
      <c r="E118" s="28">
        <f t="array" ref="E118">SUM(E18:E117)</f>
        <v>28192961</v>
      </c>
      <c r="F118" s="28">
        <f t="array" ref="F118">SUM(F18:F117)</f>
        <v>12812218</v>
      </c>
      <c r="G118" s="28">
        <f t="array" ref="G118">SUM(G18:G117)</f>
        <v>13088348</v>
      </c>
      <c r="H118" s="30">
        <f>SUM(H18:H117)</f>
        <v>57676576</v>
      </c>
      <c r="I118" s="30">
        <f>SUM(I18:I117)</f>
        <v>25900566</v>
      </c>
      <c r="J118" s="30">
        <f t="array" ref="J118">D118+F118</f>
        <v>42295833</v>
      </c>
      <c r="K118" s="30">
        <f t="array" ref="K118">E118+G118</f>
        <v>41281309</v>
      </c>
      <c r="L118" s="30"/>
    </row>
    <row r="119" spans="1:12" ht="20.100000000000001" customHeight="1">
      <c r="A119" s="10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ht="20.100000000000001" customHeight="1">
      <c r="A120" s="20" t="s">
        <v>250</v>
      </c>
      <c r="B120" s="21" t="s">
        <v>251</v>
      </c>
      <c r="C120" s="29">
        <v>2025</v>
      </c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ht="20.100000000000001" customHeight="1">
      <c r="A121" s="10"/>
      <c r="B121" s="11"/>
      <c r="C121" s="30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ht="20.100000000000001" customHeight="1">
      <c r="A122" s="20" t="s">
        <v>252</v>
      </c>
      <c r="B122" s="21" t="s">
        <v>39</v>
      </c>
      <c r="C122" s="26" t="s">
        <v>253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20.100000000000001" customHeight="1">
      <c r="A123" s="10"/>
      <c r="B123" s="21" t="s">
        <v>41</v>
      </c>
      <c r="C123" s="22" t="s">
        <v>254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20.100000000000001" customHeight="1">
      <c r="A124" s="10"/>
      <c r="B124" s="21" t="s">
        <v>43</v>
      </c>
      <c r="C124" s="27" t="s">
        <v>44</v>
      </c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ht="20.100000000000001" customHeight="1">
      <c r="A125" s="10"/>
      <c r="B125" s="21" t="s">
        <v>45</v>
      </c>
      <c r="C125" s="22" t="s">
        <v>255</v>
      </c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ht="20.100000000000001" customHeight="1">
      <c r="A126" s="10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ht="20.100000000000001" customHeight="1">
      <c r="A127" s="10"/>
      <c r="B127" s="21" t="s">
        <v>256</v>
      </c>
      <c r="C127" s="31">
        <f t="array" ref="C127">I118/(H118+I118)</f>
        <v>0.30990011599104456</v>
      </c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ht="20.100000000000001" customHeight="1">
      <c r="A128" s="10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ht="26.85" customHeight="1">
      <c r="A129" s="16"/>
      <c r="B129" s="17" t="s">
        <v>257</v>
      </c>
      <c r="C129" s="23" t="s">
        <v>258</v>
      </c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ht="32.1" customHeight="1">
      <c r="A130" s="10"/>
      <c r="B130" s="32" t="s">
        <v>259</v>
      </c>
      <c r="C130" s="28">
        <f t="array" ref="C130">D130+E130+F130+G130</f>
        <v>0</v>
      </c>
      <c r="D130" s="28">
        <f t="array" ref="D130">IF($H$236=0,0,D$18*H130/$H$236)</f>
        <v>0</v>
      </c>
      <c r="E130" s="28">
        <f t="array" ref="E130">IF($H$236=0,0,E$18*H130/$H$236)</f>
        <v>0</v>
      </c>
      <c r="F130" s="28">
        <f t="array" ref="F130">IF($I$236=0,0,F$18*I130/$I$236)</f>
        <v>0</v>
      </c>
      <c r="G130" s="28">
        <f t="array" ref="G130">IF($I$236=0,0,G$18*I130/$I$236)</f>
        <v>0</v>
      </c>
      <c r="H130" s="24"/>
      <c r="I130" s="24"/>
      <c r="J130" s="30"/>
      <c r="K130" s="30"/>
      <c r="L130" s="12"/>
    </row>
    <row r="131" spans="1:12" ht="32.1" customHeight="1">
      <c r="A131" s="10"/>
      <c r="B131" s="32" t="s">
        <v>260</v>
      </c>
      <c r="C131" s="28">
        <f t="array" ref="C131">D131+E131+F131+G131</f>
        <v>0</v>
      </c>
      <c r="D131" s="28">
        <f t="array" ref="D131">IF($J$236=0,0,D$18*$J131/$J$236)</f>
        <v>0</v>
      </c>
      <c r="E131" s="28">
        <f t="array" ref="E131">IF($J$236=0,0,E$18*$J131/$J$236)</f>
        <v>0</v>
      </c>
      <c r="F131" s="28">
        <f t="array" ref="F131">IF($J$236=0,0,F$18*$J131/$J$236)</f>
        <v>0</v>
      </c>
      <c r="G131" s="28">
        <f t="array" ref="G131">IF($J$236=0,0,G$18*$J131/$J$236)</f>
        <v>0</v>
      </c>
      <c r="H131" s="30"/>
      <c r="I131" s="30"/>
      <c r="J131" s="29"/>
      <c r="K131" s="30"/>
      <c r="L131" s="12"/>
    </row>
    <row r="132" spans="1:12" ht="32.1" customHeight="1">
      <c r="A132" s="10"/>
      <c r="B132" s="32" t="s">
        <v>261</v>
      </c>
      <c r="C132" s="28">
        <f t="array" ref="C132">D132+E132+F132+G132</f>
        <v>0</v>
      </c>
      <c r="D132" s="28">
        <f t="array" ref="D132">IF($H$236=0,0,D$18*H132/$H$236)</f>
        <v>0</v>
      </c>
      <c r="E132" s="28">
        <f t="array" ref="E132">IF($H$236=0,0,E$18*H132/$H$236)</f>
        <v>0</v>
      </c>
      <c r="F132" s="28">
        <f t="array" ref="F132">IF($I$236=0,0,F$18*I132/$I$236)</f>
        <v>0</v>
      </c>
      <c r="G132" s="28">
        <f t="array" ref="G132">IF($I$236=0,0,G$18*I132/$I$236)</f>
        <v>0</v>
      </c>
      <c r="H132" s="28">
        <f t="array" ref="H132">H$134*$L132</f>
        <v>0</v>
      </c>
      <c r="I132" s="28">
        <f t="array" ref="I132">I$134*$L132</f>
        <v>0</v>
      </c>
      <c r="J132" s="30"/>
      <c r="K132" s="30"/>
      <c r="L132" s="12"/>
    </row>
    <row r="133" spans="1:12" ht="32.1" customHeight="1">
      <c r="A133" s="10"/>
      <c r="B133" s="32" t="s">
        <v>262</v>
      </c>
      <c r="C133" s="28">
        <f t="array" ref="C133">D133+E133+F133+G133</f>
        <v>0</v>
      </c>
      <c r="D133" s="28">
        <f t="array" ref="D133">IF($J$236=0,0,D$18*$J133/$J$236)</f>
        <v>0</v>
      </c>
      <c r="E133" s="28">
        <f t="array" ref="E133">IF($J$236=0,0,E$18*$J133/$J$236)</f>
        <v>0</v>
      </c>
      <c r="F133" s="28">
        <f t="array" ref="F133">IF($J$236=0,0,F$18*$J133/$J$236)</f>
        <v>0</v>
      </c>
      <c r="G133" s="28">
        <f t="array" ref="G133">IF($J$236=0,0,G$18*$J133/$J$236)</f>
        <v>0</v>
      </c>
      <c r="H133" s="30"/>
      <c r="I133" s="30"/>
      <c r="J133" s="28">
        <f t="array" ref="J133">J$134*$L133</f>
        <v>0</v>
      </c>
      <c r="K133" s="30"/>
      <c r="L133" s="12"/>
    </row>
    <row r="134" spans="1:12" ht="32.1" customHeight="1">
      <c r="A134" s="10"/>
      <c r="B134" s="32" t="s">
        <v>263</v>
      </c>
      <c r="C134" s="12"/>
      <c r="D134" s="12"/>
      <c r="E134" s="12"/>
      <c r="F134" s="12"/>
      <c r="G134" s="12"/>
      <c r="H134" s="24"/>
      <c r="I134" s="24"/>
      <c r="J134" s="24"/>
      <c r="K134" s="12"/>
      <c r="L134" s="12"/>
    </row>
    <row r="135" spans="1:12" ht="20.100000000000001" customHeight="1">
      <c r="A135" s="10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ht="20.100000000000001" customHeight="1">
      <c r="A136" s="20" t="s">
        <v>264</v>
      </c>
      <c r="B136" s="21" t="s">
        <v>49</v>
      </c>
      <c r="C136" s="28">
        <f t="array" ref="C136">D136+E136+F136+G136</f>
        <v>0</v>
      </c>
      <c r="D136" s="28">
        <f t="array" ref="D136">IF($H$236=0,0,D$18*H136/$H$236)</f>
        <v>0</v>
      </c>
      <c r="E136" s="28">
        <f t="array" ref="E136">IF($H$236=0,0,E$18*H136/$H$236)</f>
        <v>0</v>
      </c>
      <c r="F136" s="28">
        <f t="array" ref="F136">IF($I$236=0,0,F$18*I136/$I$236)</f>
        <v>0</v>
      </c>
      <c r="G136" s="28">
        <f t="array" ref="G136">IF($I$236=0,0,G$18*I136/$I$236)</f>
        <v>0</v>
      </c>
      <c r="H136" s="24"/>
      <c r="I136" s="24"/>
      <c r="J136" s="30"/>
      <c r="K136" s="30"/>
      <c r="L136" s="12"/>
    </row>
    <row r="137" spans="1:12" ht="20.100000000000001" customHeight="1">
      <c r="A137" s="20" t="s">
        <v>265</v>
      </c>
      <c r="B137" s="21" t="s">
        <v>51</v>
      </c>
      <c r="C137" s="28">
        <f t="array" ref="C137">D137+E137+F137+G137</f>
        <v>0</v>
      </c>
      <c r="D137" s="28">
        <f t="array" ref="D137">IF($H$236=0,0,D$18*H137/$H$236)</f>
        <v>0</v>
      </c>
      <c r="E137" s="28">
        <f t="array" ref="E137">IF($H$236=0,0,E$18*H137/$H$236)</f>
        <v>0</v>
      </c>
      <c r="F137" s="28">
        <f t="array" ref="F137">IF($I$236=0,0,F$18*I137/$I$236)</f>
        <v>0</v>
      </c>
      <c r="G137" s="28">
        <f t="array" ref="G137">IF($I$236=0,0,G$18*I137/$I$236)</f>
        <v>0</v>
      </c>
      <c r="H137" s="24"/>
      <c r="I137" s="24"/>
      <c r="J137" s="30"/>
      <c r="K137" s="30"/>
      <c r="L137" s="12"/>
    </row>
    <row r="138" spans="1:12" ht="20.100000000000001" customHeight="1">
      <c r="A138" s="20" t="s">
        <v>266</v>
      </c>
      <c r="B138" s="21" t="s">
        <v>53</v>
      </c>
      <c r="C138" s="28">
        <f t="array" ref="C138">D138+E138+F138+G138</f>
        <v>0</v>
      </c>
      <c r="D138" s="28">
        <f t="array" ref="D138">IF($H$236=0,0,D$18*H138/$H$236)</f>
        <v>0</v>
      </c>
      <c r="E138" s="28">
        <f t="array" ref="E138">IF($H$236=0,0,E$18*H138/$H$236)</f>
        <v>0</v>
      </c>
      <c r="F138" s="28">
        <f t="array" ref="F138">IF($I$236=0,0,F$18*I138/$I$236)</f>
        <v>0</v>
      </c>
      <c r="G138" s="28">
        <f t="array" ref="G138">IF($I$236=0,0,G$18*I138/$I$236)</f>
        <v>0</v>
      </c>
      <c r="H138" s="24"/>
      <c r="I138" s="24"/>
      <c r="J138" s="30"/>
      <c r="K138" s="30"/>
      <c r="L138" s="12"/>
    </row>
    <row r="139" spans="1:12" ht="20.100000000000001" customHeight="1">
      <c r="A139" s="20" t="s">
        <v>267</v>
      </c>
      <c r="B139" s="21" t="s">
        <v>55</v>
      </c>
      <c r="C139" s="28">
        <f t="array" ref="C139">D139+E139+F139+G139</f>
        <v>0</v>
      </c>
      <c r="D139" s="28">
        <f t="array" ref="D139">IF($H$236=0,0,D$18*H139/$H$236)</f>
        <v>0</v>
      </c>
      <c r="E139" s="28">
        <f t="array" ref="E139">IF($H$236=0,0,E$18*H139/$H$236)</f>
        <v>0</v>
      </c>
      <c r="F139" s="28">
        <f t="array" ref="F139">IF($I$236=0,0,F$18*I139/$I$236)</f>
        <v>0</v>
      </c>
      <c r="G139" s="28">
        <f t="array" ref="G139">IF($I$236=0,0,G$18*I139/$I$236)</f>
        <v>0</v>
      </c>
      <c r="H139" s="24"/>
      <c r="I139" s="24"/>
      <c r="J139" s="30"/>
      <c r="K139" s="30"/>
      <c r="L139" s="12"/>
    </row>
    <row r="140" spans="1:12" ht="20.100000000000001" customHeight="1">
      <c r="A140" s="20" t="s">
        <v>268</v>
      </c>
      <c r="B140" s="21" t="s">
        <v>57</v>
      </c>
      <c r="C140" s="28">
        <f t="array" ref="C140">D140+E140+F140+G140</f>
        <v>0</v>
      </c>
      <c r="D140" s="28">
        <f t="array" ref="D140">IF($H$236=0,0,D$18*H140/$H$236)</f>
        <v>0</v>
      </c>
      <c r="E140" s="28">
        <f t="array" ref="E140">IF($H$236=0,0,E$18*H140/$H$236)</f>
        <v>0</v>
      </c>
      <c r="F140" s="28">
        <f t="array" ref="F140">IF($I$236=0,0,F$18*I140/$I$236)</f>
        <v>0</v>
      </c>
      <c r="G140" s="28">
        <f t="array" ref="G140">IF($I$236=0,0,G$18*I140/$I$236)</f>
        <v>0</v>
      </c>
      <c r="H140" s="24"/>
      <c r="I140" s="24"/>
      <c r="J140" s="30"/>
      <c r="K140" s="30"/>
      <c r="L140" s="12"/>
    </row>
    <row r="141" spans="1:12" ht="20.100000000000001" customHeight="1">
      <c r="A141" s="20" t="s">
        <v>269</v>
      </c>
      <c r="B141" s="21" t="s">
        <v>59</v>
      </c>
      <c r="C141" s="28">
        <f t="array" ref="C141">D141+E141+F141+G141</f>
        <v>0</v>
      </c>
      <c r="D141" s="28">
        <f t="array" ref="D141">IF($H$236=0,0,D$18*H141/$H$236)</f>
        <v>0</v>
      </c>
      <c r="E141" s="28">
        <f t="array" ref="E141">IF($H$236=0,0,E$18*H141/$H$236)</f>
        <v>0</v>
      </c>
      <c r="F141" s="28">
        <f t="array" ref="F141">IF($I$236=0,0,F$18*I141/$I$236)</f>
        <v>0</v>
      </c>
      <c r="G141" s="28">
        <f t="array" ref="G141">IF($I$236=0,0,G$18*I141/$I$236)</f>
        <v>0</v>
      </c>
      <c r="H141" s="24"/>
      <c r="I141" s="24"/>
      <c r="J141" s="30"/>
      <c r="K141" s="30"/>
      <c r="L141" s="12"/>
    </row>
    <row r="142" spans="1:12" ht="20.100000000000001" customHeight="1">
      <c r="A142" s="20" t="s">
        <v>270</v>
      </c>
      <c r="B142" s="21" t="s">
        <v>61</v>
      </c>
      <c r="C142" s="28">
        <f t="array" ref="C142">D142+E142+F142+G142</f>
        <v>0</v>
      </c>
      <c r="D142" s="28">
        <f t="array" ref="D142">IF($H$236=0,0,D$18*H142/$H$236)</f>
        <v>0</v>
      </c>
      <c r="E142" s="28">
        <f t="array" ref="E142">IF($H$236=0,0,E$18*H142/$H$236)</f>
        <v>0</v>
      </c>
      <c r="F142" s="28">
        <f t="array" ref="F142">IF($I$236=0,0,F$18*I142/$I$236)</f>
        <v>0</v>
      </c>
      <c r="G142" s="28">
        <f t="array" ref="G142">IF($I$236=0,0,G$18*I142/$I$236)</f>
        <v>0</v>
      </c>
      <c r="H142" s="24"/>
      <c r="I142" s="24"/>
      <c r="J142" s="30"/>
      <c r="K142" s="30"/>
      <c r="L142" s="12"/>
    </row>
    <row r="143" spans="1:12" ht="20.100000000000001" customHeight="1">
      <c r="A143" s="20" t="s">
        <v>271</v>
      </c>
      <c r="B143" s="21" t="s">
        <v>63</v>
      </c>
      <c r="C143" s="28">
        <f t="array" ref="C143">D143+E143+F143+G143</f>
        <v>0</v>
      </c>
      <c r="D143" s="28">
        <f t="array" ref="D143">IF($H$236=0,0,D$18*H143/$H$236)</f>
        <v>0</v>
      </c>
      <c r="E143" s="28">
        <f t="array" ref="E143">IF($H$236=0,0,E$18*H143/$H$236)</f>
        <v>0</v>
      </c>
      <c r="F143" s="28">
        <f t="array" ref="F143">IF($I$236=0,0,F$18*I143/$I$236)</f>
        <v>0</v>
      </c>
      <c r="G143" s="28">
        <f t="array" ref="G143">IF($I$236=0,0,G$18*I143/$I$236)</f>
        <v>0</v>
      </c>
      <c r="H143" s="24"/>
      <c r="I143" s="24"/>
      <c r="J143" s="30"/>
      <c r="K143" s="30"/>
      <c r="L143" s="12"/>
    </row>
    <row r="144" spans="1:12" ht="20.100000000000001" customHeight="1">
      <c r="A144" s="20" t="s">
        <v>272</v>
      </c>
      <c r="B144" s="21" t="s">
        <v>65</v>
      </c>
      <c r="C144" s="28">
        <f t="array" ref="C144">D144+E144+F144+G144</f>
        <v>0</v>
      </c>
      <c r="D144" s="28">
        <f t="array" ref="D144">IF($H$236=0,0,D$18*H144/$H$236)</f>
        <v>0</v>
      </c>
      <c r="E144" s="28">
        <f t="array" ref="E144">IF($H$236=0,0,E$18*H144/$H$236)</f>
        <v>0</v>
      </c>
      <c r="F144" s="28">
        <f t="array" ref="F144">IF($I$236=0,0,F$18*I144/$I$236)</f>
        <v>0</v>
      </c>
      <c r="G144" s="28">
        <f t="array" ref="G144">IF($I$236=0,0,G$18*I144/$I$236)</f>
        <v>0</v>
      </c>
      <c r="H144" s="24"/>
      <c r="I144" s="24"/>
      <c r="J144" s="30"/>
      <c r="K144" s="30"/>
      <c r="L144" s="12"/>
    </row>
    <row r="145" spans="1:12" ht="20.100000000000001" customHeight="1">
      <c r="A145" s="20" t="s">
        <v>273</v>
      </c>
      <c r="B145" s="21" t="s">
        <v>67</v>
      </c>
      <c r="C145" s="28">
        <f t="array" ref="C145">D145+E145+F145+G145</f>
        <v>0</v>
      </c>
      <c r="D145" s="28">
        <f t="array" ref="D145">IF($H$236=0,0,D$18*H145/$H$236)</f>
        <v>0</v>
      </c>
      <c r="E145" s="28">
        <f t="array" ref="E145">IF($H$236=0,0,E$18*H145/$H$236)</f>
        <v>0</v>
      </c>
      <c r="F145" s="28">
        <f t="array" ref="F145">IF($I$236=0,0,F$18*I145/$I$236)</f>
        <v>0</v>
      </c>
      <c r="G145" s="28">
        <f t="array" ref="G145">IF($I$236=0,0,G$18*I145/$I$236)</f>
        <v>0</v>
      </c>
      <c r="H145" s="24"/>
      <c r="I145" s="24"/>
      <c r="J145" s="30"/>
      <c r="K145" s="30"/>
      <c r="L145" s="12"/>
    </row>
    <row r="146" spans="1:12" ht="20.100000000000001" customHeight="1">
      <c r="A146" s="20" t="s">
        <v>274</v>
      </c>
      <c r="B146" s="21" t="s">
        <v>69</v>
      </c>
      <c r="C146" s="28">
        <f t="array" ref="C146">D146+E146+F146+G146</f>
        <v>22.488237200781583</v>
      </c>
      <c r="D146" s="28">
        <f t="array" ref="D146">IF($H$236=0,0,D$18*H146/$H$236)</f>
        <v>7.1417495451450517</v>
      </c>
      <c r="E146" s="28">
        <f t="array" ref="E146">IF($H$236=0,0,E$18*H146/$H$236)</f>
        <v>7.503764971146011</v>
      </c>
      <c r="F146" s="28">
        <f t="array" ref="F146">IF($I$236=0,0,F$18*I146/$I$236)</f>
        <v>3.8078024826081025</v>
      </c>
      <c r="G146" s="28">
        <f t="array" ref="G146">IF($I$236=0,0,G$18*I146/$I$236)</f>
        <v>4.0349202018824171</v>
      </c>
      <c r="H146" s="24">
        <v>17</v>
      </c>
      <c r="I146" s="24">
        <v>6</v>
      </c>
      <c r="J146" s="30"/>
      <c r="K146" s="30"/>
      <c r="L146" s="12"/>
    </row>
    <row r="147" spans="1:12" ht="20.100000000000001" customHeight="1">
      <c r="A147" s="20" t="s">
        <v>275</v>
      </c>
      <c r="B147" s="21" t="s">
        <v>71</v>
      </c>
      <c r="C147" s="28">
        <f t="array" ref="C147">D147+E147+F147+G147</f>
        <v>22.488237200781583</v>
      </c>
      <c r="D147" s="28">
        <f t="array" ref="D147">IF($H$236=0,0,D$18*H147/$H$236)</f>
        <v>7.1417495451450517</v>
      </c>
      <c r="E147" s="28">
        <f t="array" ref="E147">IF($H$236=0,0,E$18*H147/$H$236)</f>
        <v>7.503764971146011</v>
      </c>
      <c r="F147" s="28">
        <f t="array" ref="F147">IF($I$236=0,0,F$18*I147/$I$236)</f>
        <v>3.8078024826081025</v>
      </c>
      <c r="G147" s="28">
        <f t="array" ref="G147">IF($I$236=0,0,G$18*I147/$I$236)</f>
        <v>4.0349202018824171</v>
      </c>
      <c r="H147" s="24">
        <v>17</v>
      </c>
      <c r="I147" s="24">
        <v>6</v>
      </c>
      <c r="J147" s="30"/>
      <c r="K147" s="30"/>
      <c r="L147" s="12"/>
    </row>
    <row r="148" spans="1:12" ht="20.100000000000001" customHeight="1">
      <c r="A148" s="20" t="s">
        <v>276</v>
      </c>
      <c r="B148" s="21" t="s">
        <v>73</v>
      </c>
      <c r="C148" s="28">
        <f t="array" ref="C148">D148+E148+F148+G148</f>
        <v>22.488237200781583</v>
      </c>
      <c r="D148" s="28">
        <f t="array" ref="D148">IF($H$236=0,0,D$18*H148/$H$236)</f>
        <v>7.1417495451450517</v>
      </c>
      <c r="E148" s="28">
        <f t="array" ref="E148">IF($H$236=0,0,E$18*H148/$H$236)</f>
        <v>7.503764971146011</v>
      </c>
      <c r="F148" s="28">
        <f t="array" ref="F148">IF($I$236=0,0,F$18*I148/$I$236)</f>
        <v>3.8078024826081025</v>
      </c>
      <c r="G148" s="28">
        <f t="array" ref="G148">IF($I$236=0,0,G$18*I148/$I$236)</f>
        <v>4.0349202018824171</v>
      </c>
      <c r="H148" s="24">
        <v>17</v>
      </c>
      <c r="I148" s="24">
        <v>6</v>
      </c>
      <c r="J148" s="30"/>
      <c r="K148" s="30"/>
      <c r="L148" s="12"/>
    </row>
    <row r="149" spans="1:12" ht="20.100000000000001" customHeight="1">
      <c r="A149" s="20" t="s">
        <v>277</v>
      </c>
      <c r="B149" s="21" t="s">
        <v>75</v>
      </c>
      <c r="C149" s="28">
        <f t="array" ref="C149">D149+E149+F149+G149</f>
        <v>22.488237200781583</v>
      </c>
      <c r="D149" s="28">
        <f t="array" ref="D149">IF($H$236=0,0,D$18*H149/$H$236)</f>
        <v>7.1417495451450517</v>
      </c>
      <c r="E149" s="28">
        <f t="array" ref="E149">IF($H$236=0,0,E$18*H149/$H$236)</f>
        <v>7.503764971146011</v>
      </c>
      <c r="F149" s="28">
        <f t="array" ref="F149">IF($I$236=0,0,F$18*I149/$I$236)</f>
        <v>3.8078024826081025</v>
      </c>
      <c r="G149" s="28">
        <f t="array" ref="G149">IF($I$236=0,0,G$18*I149/$I$236)</f>
        <v>4.0349202018824171</v>
      </c>
      <c r="H149" s="24">
        <v>17</v>
      </c>
      <c r="I149" s="24">
        <v>6</v>
      </c>
      <c r="J149" s="30"/>
      <c r="K149" s="30"/>
      <c r="L149" s="12"/>
    </row>
    <row r="150" spans="1:12" ht="20.100000000000001" customHeight="1">
      <c r="A150" s="20" t="s">
        <v>278</v>
      </c>
      <c r="B150" s="21" t="s">
        <v>77</v>
      </c>
      <c r="C150" s="28">
        <f t="array" ref="C150">D150+E150+F150+G150</f>
        <v>22.488237200781583</v>
      </c>
      <c r="D150" s="28">
        <f t="array" ref="D150">IF($H$236=0,0,D$18*H150/$H$236)</f>
        <v>7.1417495451450517</v>
      </c>
      <c r="E150" s="28">
        <f t="array" ref="E150">IF($H$236=0,0,E$18*H150/$H$236)</f>
        <v>7.503764971146011</v>
      </c>
      <c r="F150" s="28">
        <f t="array" ref="F150">IF($I$236=0,0,F$18*I150/$I$236)</f>
        <v>3.8078024826081025</v>
      </c>
      <c r="G150" s="28">
        <f t="array" ref="G150">IF($I$236=0,0,G$18*I150/$I$236)</f>
        <v>4.0349202018824171</v>
      </c>
      <c r="H150" s="24">
        <v>17</v>
      </c>
      <c r="I150" s="24">
        <v>6</v>
      </c>
      <c r="J150" s="30"/>
      <c r="K150" s="30"/>
      <c r="L150" s="12"/>
    </row>
    <row r="151" spans="1:12" ht="20.100000000000001" customHeight="1">
      <c r="A151" s="20" t="s">
        <v>279</v>
      </c>
      <c r="B151" s="21" t="s">
        <v>79</v>
      </c>
      <c r="C151" s="28">
        <f t="array" ref="C151">D151+E151+F151+G151</f>
        <v>2142.4766153489559</v>
      </c>
      <c r="D151" s="28">
        <f t="array" ref="D151">IF($H$236=0,0,D$18*H151/$H$236)</f>
        <v>512.52555559276254</v>
      </c>
      <c r="E151" s="28">
        <f t="array" ref="E151">IF($H$236=0,0,E$18*H151/$H$236)</f>
        <v>538.50548616459605</v>
      </c>
      <c r="F151" s="28">
        <f t="array" ref="F151">IF($I$236=0,0,F$18*I151/$I$236)</f>
        <v>529.91917882962764</v>
      </c>
      <c r="G151" s="28">
        <f t="array" ref="G151">IF($I$236=0,0,G$18*I151/$I$236)</f>
        <v>561.52639476196975</v>
      </c>
      <c r="H151" s="24">
        <v>1220</v>
      </c>
      <c r="I151" s="24">
        <v>835</v>
      </c>
      <c r="J151" s="30"/>
      <c r="K151" s="30"/>
      <c r="L151" s="25"/>
    </row>
    <row r="152" spans="1:12" ht="20.100000000000001" customHeight="1">
      <c r="A152" s="20" t="s">
        <v>280</v>
      </c>
      <c r="B152" s="21" t="s">
        <v>81</v>
      </c>
      <c r="C152" s="28">
        <f t="array" ref="C152">D152+E152+F152+G152</f>
        <v>2142.4766153489559</v>
      </c>
      <c r="D152" s="28">
        <f t="array" ref="D152">IF($H$236=0,0,D$18*H152/$H$236)</f>
        <v>512.52555559276254</v>
      </c>
      <c r="E152" s="28">
        <f t="array" ref="E152">IF($H$236=0,0,E$18*H152/$H$236)</f>
        <v>538.50548616459605</v>
      </c>
      <c r="F152" s="28">
        <f t="array" ref="F152">IF($I$236=0,0,F$18*I152/$I$236)</f>
        <v>529.91917882962764</v>
      </c>
      <c r="G152" s="28">
        <f t="array" ref="G152">IF($I$236=0,0,G$18*I152/$I$236)</f>
        <v>561.52639476196975</v>
      </c>
      <c r="H152" s="24">
        <v>1220</v>
      </c>
      <c r="I152" s="24">
        <v>835</v>
      </c>
      <c r="J152" s="30"/>
      <c r="K152" s="30"/>
      <c r="L152" s="12">
        <v>6.9147178140127304E-3</v>
      </c>
    </row>
    <row r="153" spans="1:12" ht="20.100000000000001" customHeight="1">
      <c r="A153" s="20" t="s">
        <v>281</v>
      </c>
      <c r="B153" s="21" t="s">
        <v>83</v>
      </c>
      <c r="C153" s="28">
        <f t="array" ref="C153">D153+E153+F153+G153</f>
        <v>2142.4766153489559</v>
      </c>
      <c r="D153" s="28">
        <f t="array" ref="D153">IF($H$236=0,0,D$18*H153/$H$236)</f>
        <v>512.52555559276254</v>
      </c>
      <c r="E153" s="28">
        <f t="array" ref="E153">IF($H$236=0,0,E$18*H153/$H$236)</f>
        <v>538.50548616459605</v>
      </c>
      <c r="F153" s="28">
        <f t="array" ref="F153">IF($I$236=0,0,F$18*I153/$I$236)</f>
        <v>529.91917882962764</v>
      </c>
      <c r="G153" s="28">
        <f t="array" ref="G153">IF($I$236=0,0,G$18*I153/$I$236)</f>
        <v>561.52639476196975</v>
      </c>
      <c r="H153" s="24">
        <v>1220</v>
      </c>
      <c r="I153" s="24">
        <v>835</v>
      </c>
      <c r="J153" s="30"/>
      <c r="K153" s="30"/>
      <c r="L153" s="12">
        <v>8.3199262714216508E-3</v>
      </c>
    </row>
    <row r="154" spans="1:12" ht="20.100000000000001" customHeight="1">
      <c r="A154" s="20" t="s">
        <v>282</v>
      </c>
      <c r="B154" s="21" t="s">
        <v>85</v>
      </c>
      <c r="C154" s="28">
        <f t="array" ref="C154">D154+E154+F154+G154</f>
        <v>2142.4766153489559</v>
      </c>
      <c r="D154" s="28">
        <f t="array" ref="D154">IF($H$236=0,0,D$18*H154/$H$236)</f>
        <v>512.52555559276254</v>
      </c>
      <c r="E154" s="28">
        <f t="array" ref="E154">IF($H$236=0,0,E$18*H154/$H$236)</f>
        <v>538.50548616459605</v>
      </c>
      <c r="F154" s="28">
        <f t="array" ref="F154">IF($I$236=0,0,F$18*I154/$I$236)</f>
        <v>529.91917882962764</v>
      </c>
      <c r="G154" s="28">
        <f t="array" ref="G154">IF($I$236=0,0,G$18*I154/$I$236)</f>
        <v>561.52639476196975</v>
      </c>
      <c r="H154" s="24">
        <v>1220</v>
      </c>
      <c r="I154" s="24">
        <v>835</v>
      </c>
      <c r="J154" s="30"/>
      <c r="K154" s="30"/>
      <c r="L154" s="12">
        <v>9.9110922879079404E-3</v>
      </c>
    </row>
    <row r="155" spans="1:12" ht="20.100000000000001" customHeight="1">
      <c r="A155" s="20" t="s">
        <v>283</v>
      </c>
      <c r="B155" s="21" t="s">
        <v>87</v>
      </c>
      <c r="C155" s="28">
        <f t="array" ref="C155">D155+E155+F155+G155</f>
        <v>2142.4766153489559</v>
      </c>
      <c r="D155" s="28">
        <f t="array" ref="D155">IF($H$236=0,0,D$18*H155/$H$236)</f>
        <v>512.52555559276254</v>
      </c>
      <c r="E155" s="28">
        <f t="array" ref="E155">IF($H$236=0,0,E$18*H155/$H$236)</f>
        <v>538.50548616459605</v>
      </c>
      <c r="F155" s="28">
        <f t="array" ref="F155">IF($I$236=0,0,F$18*I155/$I$236)</f>
        <v>529.91917882962764</v>
      </c>
      <c r="G155" s="28">
        <f t="array" ref="G155">IF($I$236=0,0,G$18*I155/$I$236)</f>
        <v>561.52639476196975</v>
      </c>
      <c r="H155" s="24">
        <v>1220</v>
      </c>
      <c r="I155" s="24">
        <v>835</v>
      </c>
      <c r="J155" s="30"/>
      <c r="K155" s="30"/>
      <c r="L155" s="12">
        <v>1.1689086936454301E-2</v>
      </c>
    </row>
    <row r="156" spans="1:12" ht="20.100000000000001" customHeight="1">
      <c r="A156" s="20" t="s">
        <v>284</v>
      </c>
      <c r="B156" s="21" t="s">
        <v>89</v>
      </c>
      <c r="C156" s="28">
        <f t="array" ref="C156">D156+E156+F156+G156</f>
        <v>13116.705127678664</v>
      </c>
      <c r="D156" s="28">
        <f t="array" ref="D156">IF($H$236=0,0,D$18*H156/$H$236)</f>
        <v>2854.1792005714988</v>
      </c>
      <c r="E156" s="28">
        <f t="array" ref="E156">IF($H$236=0,0,E$18*H156/$H$236)</f>
        <v>2998.8576008215296</v>
      </c>
      <c r="F156" s="28">
        <f t="array" ref="F156">IF($I$236=0,0,F$18*I156/$I$236)</f>
        <v>3526.6597326422043</v>
      </c>
      <c r="G156" s="28">
        <f t="array" ref="G156">IF($I$236=0,0,G$18*I156/$I$236)</f>
        <v>3737.0085936434321</v>
      </c>
      <c r="H156" s="24">
        <v>6794</v>
      </c>
      <c r="I156" s="24">
        <v>5557</v>
      </c>
      <c r="J156" s="30"/>
      <c r="K156" s="30"/>
      <c r="L156" s="12">
        <v>1.36488695618289E-2</v>
      </c>
    </row>
    <row r="157" spans="1:12" ht="20.100000000000001" customHeight="1">
      <c r="A157" s="20" t="s">
        <v>285</v>
      </c>
      <c r="B157" s="21" t="s">
        <v>91</v>
      </c>
      <c r="C157" s="28">
        <f t="array" ref="C157">D157+E157+F157+G157</f>
        <v>13116.705127678664</v>
      </c>
      <c r="D157" s="28">
        <f t="array" ref="D157">IF($H$236=0,0,D$18*H157/$H$236)</f>
        <v>2854.1792005714988</v>
      </c>
      <c r="E157" s="28">
        <f t="array" ref="E157">IF($H$236=0,0,E$18*H157/$H$236)</f>
        <v>2998.8576008215296</v>
      </c>
      <c r="F157" s="28">
        <f t="array" ref="F157">IF($I$236=0,0,F$18*I157/$I$236)</f>
        <v>3526.6597326422043</v>
      </c>
      <c r="G157" s="28">
        <f t="array" ref="G157">IF($I$236=0,0,G$18*I157/$I$236)</f>
        <v>3737.0085936434321</v>
      </c>
      <c r="H157" s="24">
        <v>6794</v>
      </c>
      <c r="I157" s="24">
        <v>5557</v>
      </c>
      <c r="J157" s="30"/>
      <c r="K157" s="30"/>
      <c r="L157" s="12">
        <v>1.5778648597335299E-2</v>
      </c>
    </row>
    <row r="158" spans="1:12" ht="20.100000000000001" customHeight="1">
      <c r="A158" s="20" t="s">
        <v>286</v>
      </c>
      <c r="B158" s="21" t="s">
        <v>93</v>
      </c>
      <c r="C158" s="28">
        <f t="array" ref="C158">D158+E158+F158+G158</f>
        <v>13116.705127678664</v>
      </c>
      <c r="D158" s="28">
        <f t="array" ref="D158">IF($H$236=0,0,D$18*H158/$H$236)</f>
        <v>2854.1792005714988</v>
      </c>
      <c r="E158" s="28">
        <f t="array" ref="E158">IF($H$236=0,0,E$18*H158/$H$236)</f>
        <v>2998.8576008215296</v>
      </c>
      <c r="F158" s="28">
        <f t="array" ref="F158">IF($I$236=0,0,F$18*I158/$I$236)</f>
        <v>3526.6597326422043</v>
      </c>
      <c r="G158" s="28">
        <f t="array" ref="G158">IF($I$236=0,0,G$18*I158/$I$236)</f>
        <v>3737.0085936434321</v>
      </c>
      <c r="H158" s="24">
        <v>6794</v>
      </c>
      <c r="I158" s="24">
        <v>5557</v>
      </c>
      <c r="J158" s="30"/>
      <c r="K158" s="30"/>
      <c r="L158" s="12">
        <v>1.80592600248171E-2</v>
      </c>
    </row>
    <row r="159" spans="1:12" ht="20.100000000000001" customHeight="1">
      <c r="A159" s="20" t="s">
        <v>287</v>
      </c>
      <c r="B159" s="21" t="s">
        <v>95</v>
      </c>
      <c r="C159" s="28">
        <f t="array" ref="C159">D159+E159+F159+G159</f>
        <v>13116.705127678664</v>
      </c>
      <c r="D159" s="28">
        <f t="array" ref="D159">IF($H$236=0,0,D$18*H159/$H$236)</f>
        <v>2854.1792005714988</v>
      </c>
      <c r="E159" s="28">
        <f t="array" ref="E159">IF($H$236=0,0,E$18*H159/$H$236)</f>
        <v>2998.8576008215296</v>
      </c>
      <c r="F159" s="28">
        <f t="array" ref="F159">IF($I$236=0,0,F$18*I159/$I$236)</f>
        <v>3526.6597326422043</v>
      </c>
      <c r="G159" s="28">
        <f t="array" ref="G159">IF($I$236=0,0,G$18*I159/$I$236)</f>
        <v>3737.0085936434321</v>
      </c>
      <c r="H159" s="24">
        <v>6794</v>
      </c>
      <c r="I159" s="24">
        <v>5557</v>
      </c>
      <c r="J159" s="30"/>
      <c r="K159" s="30"/>
      <c r="L159" s="12">
        <v>2.0463839660521999E-2</v>
      </c>
    </row>
    <row r="160" spans="1:12" ht="20.100000000000001" customHeight="1">
      <c r="A160" s="20" t="s">
        <v>288</v>
      </c>
      <c r="B160" s="21" t="s">
        <v>97</v>
      </c>
      <c r="C160" s="28">
        <f t="array" ref="C160">D160+E160+F160+G160</f>
        <v>13116.705127678664</v>
      </c>
      <c r="D160" s="28">
        <f t="array" ref="D160">IF($H$236=0,0,D$18*H160/$H$236)</f>
        <v>2854.1792005714988</v>
      </c>
      <c r="E160" s="28">
        <f t="array" ref="E160">IF($H$236=0,0,E$18*H160/$H$236)</f>
        <v>2998.8576008215296</v>
      </c>
      <c r="F160" s="28">
        <f t="array" ref="F160">IF($I$236=0,0,F$18*I160/$I$236)</f>
        <v>3526.6597326422043</v>
      </c>
      <c r="G160" s="28">
        <f t="array" ref="G160">IF($I$236=0,0,G$18*I160/$I$236)</f>
        <v>3737.0085936434321</v>
      </c>
      <c r="H160" s="24">
        <v>6794</v>
      </c>
      <c r="I160" s="24">
        <v>5557</v>
      </c>
      <c r="J160" s="30"/>
      <c r="K160" s="30"/>
      <c r="L160" s="12">
        <v>2.2957855795062501E-2</v>
      </c>
    </row>
    <row r="161" spans="1:12" ht="20.100000000000001" customHeight="1">
      <c r="A161" s="20" t="s">
        <v>289</v>
      </c>
      <c r="B161" s="21" t="s">
        <v>99</v>
      </c>
      <c r="C161" s="28">
        <f t="array" ref="C161">D161+E161+F161+G161</f>
        <v>33099.18956123657</v>
      </c>
      <c r="D161" s="28">
        <f t="array" ref="D161">IF($H$236=0,0,D$18*H161/$H$236)</f>
        <v>8906.6018886247202</v>
      </c>
      <c r="E161" s="28">
        <f t="array" ref="E161">IF($H$236=0,0,E$18*H161/$H$236)</f>
        <v>9358.0777148980342</v>
      </c>
      <c r="F161" s="28">
        <f t="array" ref="F161">IF($I$236=0,0,F$18*I161/$I$236)</f>
        <v>7202.4583958532257</v>
      </c>
      <c r="G161" s="28">
        <f t="array" ref="G161">IF($I$236=0,0,G$18*I161/$I$236)</f>
        <v>7632.0515618605923</v>
      </c>
      <c r="H161" s="24">
        <v>21201</v>
      </c>
      <c r="I161" s="24">
        <v>11349</v>
      </c>
      <c r="J161" s="30"/>
      <c r="K161" s="30"/>
      <c r="L161" s="12">
        <v>2.5499551921128499E-2</v>
      </c>
    </row>
    <row r="162" spans="1:12" ht="20.100000000000001" customHeight="1">
      <c r="A162" s="20" t="s">
        <v>290</v>
      </c>
      <c r="B162" s="21" t="s">
        <v>101</v>
      </c>
      <c r="C162" s="28">
        <f t="array" ref="C162">D162+E162+F162+G162</f>
        <v>33099.18956123657</v>
      </c>
      <c r="D162" s="28">
        <f t="array" ref="D162">IF($H$236=0,0,D$18*H162/$H$236)</f>
        <v>8906.6018886247202</v>
      </c>
      <c r="E162" s="28">
        <f t="array" ref="E162">IF($H$236=0,0,E$18*H162/$H$236)</f>
        <v>9358.0777148980342</v>
      </c>
      <c r="F162" s="28">
        <f t="array" ref="F162">IF($I$236=0,0,F$18*I162/$I$236)</f>
        <v>7202.4583958532257</v>
      </c>
      <c r="G162" s="28">
        <f t="array" ref="G162">IF($I$236=0,0,G$18*I162/$I$236)</f>
        <v>7632.0515618605923</v>
      </c>
      <c r="H162" s="24">
        <v>21201</v>
      </c>
      <c r="I162" s="24">
        <v>11349</v>
      </c>
      <c r="J162" s="30"/>
      <c r="K162" s="30"/>
      <c r="L162" s="12">
        <v>2.8040825879609502E-2</v>
      </c>
    </row>
    <row r="163" spans="1:12" ht="20.100000000000001" customHeight="1">
      <c r="A163" s="20" t="s">
        <v>291</v>
      </c>
      <c r="B163" s="21" t="s">
        <v>103</v>
      </c>
      <c r="C163" s="28">
        <f t="array" ref="C163">D163+E163+F163+G163</f>
        <v>33099.18956123657</v>
      </c>
      <c r="D163" s="28">
        <f t="array" ref="D163">IF($H$236=0,0,D$18*H163/$H$236)</f>
        <v>8906.6018886247202</v>
      </c>
      <c r="E163" s="28">
        <f t="array" ref="E163">IF($H$236=0,0,E$18*H163/$H$236)</f>
        <v>9358.0777148980342</v>
      </c>
      <c r="F163" s="28">
        <f t="array" ref="F163">IF($I$236=0,0,F$18*I163/$I$236)</f>
        <v>7202.4583958532257</v>
      </c>
      <c r="G163" s="28">
        <f t="array" ref="G163">IF($I$236=0,0,G$18*I163/$I$236)</f>
        <v>7632.0515618605923</v>
      </c>
      <c r="H163" s="24">
        <v>21201</v>
      </c>
      <c r="I163" s="24">
        <v>11349</v>
      </c>
      <c r="J163" s="30"/>
      <c r="K163" s="30"/>
      <c r="L163" s="12">
        <v>3.05285430463022E-2</v>
      </c>
    </row>
    <row r="164" spans="1:12" ht="20.100000000000001" customHeight="1">
      <c r="A164" s="20" t="s">
        <v>292</v>
      </c>
      <c r="B164" s="21" t="s">
        <v>105</v>
      </c>
      <c r="C164" s="28">
        <f t="array" ref="C164">D164+E164+F164+G164</f>
        <v>33099.18956123657</v>
      </c>
      <c r="D164" s="28">
        <f t="array" ref="D164">IF($H$236=0,0,D$18*H164/$H$236)</f>
        <v>8906.6018886247202</v>
      </c>
      <c r="E164" s="28">
        <f t="array" ref="E164">IF($H$236=0,0,E$18*H164/$H$236)</f>
        <v>9358.0777148980342</v>
      </c>
      <c r="F164" s="28">
        <f t="array" ref="F164">IF($I$236=0,0,F$18*I164/$I$236)</f>
        <v>7202.4583958532257</v>
      </c>
      <c r="G164" s="28">
        <f t="array" ref="G164">IF($I$236=0,0,G$18*I164/$I$236)</f>
        <v>7632.0515618605923</v>
      </c>
      <c r="H164" s="24">
        <v>21201</v>
      </c>
      <c r="I164" s="24">
        <v>11349</v>
      </c>
      <c r="J164" s="30"/>
      <c r="K164" s="30"/>
      <c r="L164" s="12">
        <v>3.2906249197362701E-2</v>
      </c>
    </row>
    <row r="165" spans="1:12" ht="20.100000000000001" customHeight="1">
      <c r="A165" s="20" t="s">
        <v>293</v>
      </c>
      <c r="B165" s="21" t="s">
        <v>107</v>
      </c>
      <c r="C165" s="28">
        <f t="array" ref="C165">D165+E165+F165+G165</f>
        <v>33099.18956123657</v>
      </c>
      <c r="D165" s="28">
        <f t="array" ref="D165">IF($H$236=0,0,D$18*H165/$H$236)</f>
        <v>8906.6018886247202</v>
      </c>
      <c r="E165" s="28">
        <f t="array" ref="E165">IF($H$236=0,0,E$18*H165/$H$236)</f>
        <v>9358.0777148980342</v>
      </c>
      <c r="F165" s="28">
        <f t="array" ref="F165">IF($I$236=0,0,F$18*I165/$I$236)</f>
        <v>7202.4583958532257</v>
      </c>
      <c r="G165" s="28">
        <f t="array" ref="G165">IF($I$236=0,0,G$18*I165/$I$236)</f>
        <v>7632.0515618605923</v>
      </c>
      <c r="H165" s="24">
        <v>21201</v>
      </c>
      <c r="I165" s="24">
        <v>11349</v>
      </c>
      <c r="J165" s="30"/>
      <c r="K165" s="30"/>
      <c r="L165" s="12">
        <v>3.51162160482748E-2</v>
      </c>
    </row>
    <row r="166" spans="1:12" ht="20.100000000000001" customHeight="1">
      <c r="A166" s="20" t="s">
        <v>294</v>
      </c>
      <c r="B166" s="21" t="s">
        <v>109</v>
      </c>
      <c r="C166" s="28">
        <f t="array" ref="C166">D166+E166+F166+G166</f>
        <v>48830.354182278039</v>
      </c>
      <c r="D166" s="28">
        <f t="array" ref="D166">IF($H$236=0,0,D$18*H166/$H$236)</f>
        <v>14946.00138633091</v>
      </c>
      <c r="E166" s="28">
        <f t="array" ref="E166">IF($H$236=0,0,E$18*H166/$H$236)</f>
        <v>15703.614492850686</v>
      </c>
      <c r="F166" s="28">
        <f t="array" ref="F166">IF($I$236=0,0,F$18*I166/$I$236)</f>
        <v>8827.1207884326832</v>
      </c>
      <c r="G166" s="28">
        <f t="array" ref="G166">IF($I$236=0,0,G$18*I166/$I$236)</f>
        <v>9353.6175146637561</v>
      </c>
      <c r="H166" s="24">
        <v>35577</v>
      </c>
      <c r="I166" s="24">
        <v>13909</v>
      </c>
      <c r="J166" s="30"/>
      <c r="K166" s="30"/>
      <c r="L166" s="12">
        <v>3.7101722129919398E-2</v>
      </c>
    </row>
    <row r="167" spans="1:12" ht="20.100000000000001" customHeight="1">
      <c r="A167" s="20" t="s">
        <v>295</v>
      </c>
      <c r="B167" s="21" t="s">
        <v>111</v>
      </c>
      <c r="C167" s="28">
        <f t="array" ref="C167">D167+E167+F167+G167</f>
        <v>48830.354182278039</v>
      </c>
      <c r="D167" s="28">
        <f t="array" ref="D167">IF($H$236=0,0,D$18*H167/$H$236)</f>
        <v>14946.00138633091</v>
      </c>
      <c r="E167" s="28">
        <f t="array" ref="E167">IF($H$236=0,0,E$18*H167/$H$236)</f>
        <v>15703.614492850686</v>
      </c>
      <c r="F167" s="28">
        <f t="array" ref="F167">IF($I$236=0,0,F$18*I167/$I$236)</f>
        <v>8827.1207884326832</v>
      </c>
      <c r="G167" s="28">
        <f t="array" ref="G167">IF($I$236=0,0,G$18*I167/$I$236)</f>
        <v>9353.6175146637561</v>
      </c>
      <c r="H167" s="24">
        <v>35577</v>
      </c>
      <c r="I167" s="24">
        <v>13909</v>
      </c>
      <c r="J167" s="30"/>
      <c r="K167" s="30"/>
      <c r="L167" s="12">
        <v>3.8809446673187302E-2</v>
      </c>
    </row>
    <row r="168" spans="1:12" ht="20.100000000000001" customHeight="1">
      <c r="A168" s="20" t="s">
        <v>296</v>
      </c>
      <c r="B168" s="21" t="s">
        <v>113</v>
      </c>
      <c r="C168" s="28">
        <f t="array" ref="C168">D168+E168+F168+G168</f>
        <v>48830.354182278039</v>
      </c>
      <c r="D168" s="28">
        <f t="array" ref="D168">IF($H$236=0,0,D$18*H168/$H$236)</f>
        <v>14946.00138633091</v>
      </c>
      <c r="E168" s="28">
        <f t="array" ref="E168">IF($H$236=0,0,E$18*H168/$H$236)</f>
        <v>15703.614492850686</v>
      </c>
      <c r="F168" s="28">
        <f t="array" ref="F168">IF($I$236=0,0,F$18*I168/$I$236)</f>
        <v>8827.1207884326832</v>
      </c>
      <c r="G168" s="28">
        <f t="array" ref="G168">IF($I$236=0,0,G$18*I168/$I$236)</f>
        <v>9353.6175146637561</v>
      </c>
      <c r="H168" s="24">
        <v>35577</v>
      </c>
      <c r="I168" s="24">
        <v>13909</v>
      </c>
      <c r="J168" s="30"/>
      <c r="K168" s="30"/>
      <c r="L168" s="12">
        <v>4.0191837266123798E-2</v>
      </c>
    </row>
    <row r="169" spans="1:12" ht="20.100000000000001" customHeight="1">
      <c r="A169" s="20" t="s">
        <v>297</v>
      </c>
      <c r="B169" s="21" t="s">
        <v>115</v>
      </c>
      <c r="C169" s="28">
        <f t="array" ref="C169">D169+E169+F169+G169</f>
        <v>48830.354182278039</v>
      </c>
      <c r="D169" s="28">
        <f t="array" ref="D169">IF($H$236=0,0,D$18*H169/$H$236)</f>
        <v>14946.00138633091</v>
      </c>
      <c r="E169" s="28">
        <f t="array" ref="E169">IF($H$236=0,0,E$18*H169/$H$236)</f>
        <v>15703.614492850686</v>
      </c>
      <c r="F169" s="28">
        <f t="array" ref="F169">IF($I$236=0,0,F$18*I169/$I$236)</f>
        <v>8827.1207884326832</v>
      </c>
      <c r="G169" s="28">
        <f t="array" ref="G169">IF($I$236=0,0,G$18*I169/$I$236)</f>
        <v>9353.6175146637561</v>
      </c>
      <c r="H169" s="24">
        <v>35577</v>
      </c>
      <c r="I169" s="24">
        <v>13909</v>
      </c>
      <c r="J169" s="30"/>
      <c r="K169" s="30"/>
      <c r="L169" s="12">
        <v>4.12093053576299E-2</v>
      </c>
    </row>
    <row r="170" spans="1:12" ht="20.100000000000001" customHeight="1">
      <c r="A170" s="20" t="s">
        <v>298</v>
      </c>
      <c r="B170" s="21" t="s">
        <v>117</v>
      </c>
      <c r="C170" s="28">
        <f t="array" ref="C170">D170+E170+F170+G170</f>
        <v>48830.354182278039</v>
      </c>
      <c r="D170" s="28">
        <f t="array" ref="D170">IF($H$236=0,0,D$18*H170/$H$236)</f>
        <v>14946.00138633091</v>
      </c>
      <c r="E170" s="28">
        <f t="array" ref="E170">IF($H$236=0,0,E$18*H170/$H$236)</f>
        <v>15703.614492850686</v>
      </c>
      <c r="F170" s="28">
        <f t="array" ref="F170">IF($I$236=0,0,F$18*I170/$I$236)</f>
        <v>8827.1207884326832</v>
      </c>
      <c r="G170" s="28">
        <f t="array" ref="G170">IF($I$236=0,0,G$18*I170/$I$236)</f>
        <v>9353.6175146637561</v>
      </c>
      <c r="H170" s="24">
        <v>35577</v>
      </c>
      <c r="I170" s="24">
        <v>13909</v>
      </c>
      <c r="J170" s="30"/>
      <c r="K170" s="30"/>
      <c r="L170" s="12">
        <v>4.1832108446929098E-2</v>
      </c>
    </row>
    <row r="171" spans="1:12" ht="20.100000000000001" customHeight="1">
      <c r="A171" s="20" t="s">
        <v>299</v>
      </c>
      <c r="B171" s="21" t="s">
        <v>119</v>
      </c>
      <c r="C171" s="28">
        <f t="array" ref="C171">D171+E171+F171+G171</f>
        <v>30230.513085209343</v>
      </c>
      <c r="D171" s="28">
        <f t="array" ref="D171">IF($H$236=0,0,D$18*H171/$H$236)</f>
        <v>8610.4293339584092</v>
      </c>
      <c r="E171" s="28">
        <f t="array" ref="E171">IF($H$236=0,0,E$18*H171/$H$236)</f>
        <v>9046.8921675652145</v>
      </c>
      <c r="F171" s="28">
        <f t="array" ref="F171">IF($I$236=0,0,F$18*I171/$I$236)</f>
        <v>6104.5420133678899</v>
      </c>
      <c r="G171" s="28">
        <f t="array" ref="G171">IF($I$236=0,0,G$18*I171/$I$236)</f>
        <v>6468.649570317828</v>
      </c>
      <c r="H171" s="24">
        <v>20496</v>
      </c>
      <c r="I171" s="24">
        <v>9619</v>
      </c>
      <c r="J171" s="30"/>
      <c r="K171" s="30"/>
      <c r="L171" s="12">
        <v>4.2041794168341001E-2</v>
      </c>
    </row>
    <row r="172" spans="1:12" ht="20.100000000000001" customHeight="1">
      <c r="A172" s="20" t="s">
        <v>300</v>
      </c>
      <c r="B172" s="21" t="s">
        <v>121</v>
      </c>
      <c r="C172" s="28">
        <f t="array" ref="C172">D172+E172+F172+G172</f>
        <v>30230.513085209343</v>
      </c>
      <c r="D172" s="28">
        <f t="array" ref="D172">IF($H$236=0,0,D$18*H172/$H$236)</f>
        <v>8610.4293339584092</v>
      </c>
      <c r="E172" s="28">
        <f t="array" ref="E172">IF($H$236=0,0,E$18*H172/$H$236)</f>
        <v>9046.8921675652145</v>
      </c>
      <c r="F172" s="28">
        <f t="array" ref="F172">IF($I$236=0,0,F$18*I172/$I$236)</f>
        <v>6104.5420133678899</v>
      </c>
      <c r="G172" s="28">
        <f t="array" ref="G172">IF($I$236=0,0,G$18*I172/$I$236)</f>
        <v>6468.649570317828</v>
      </c>
      <c r="H172" s="24">
        <v>20496</v>
      </c>
      <c r="I172" s="24">
        <v>9619</v>
      </c>
      <c r="J172" s="30"/>
      <c r="K172" s="30"/>
      <c r="L172" s="12">
        <v>4.1832108446929098E-2</v>
      </c>
    </row>
    <row r="173" spans="1:12" ht="20.100000000000001" customHeight="1">
      <c r="A173" s="20" t="s">
        <v>301</v>
      </c>
      <c r="B173" s="21" t="s">
        <v>123</v>
      </c>
      <c r="C173" s="28">
        <f t="array" ref="C173">D173+E173+F173+G173</f>
        <v>30230.513085209343</v>
      </c>
      <c r="D173" s="28">
        <f t="array" ref="D173">IF($H$236=0,0,D$18*H173/$H$236)</f>
        <v>8610.4293339584092</v>
      </c>
      <c r="E173" s="28">
        <f t="array" ref="E173">IF($H$236=0,0,E$18*H173/$H$236)</f>
        <v>9046.8921675652145</v>
      </c>
      <c r="F173" s="28">
        <f t="array" ref="F173">IF($I$236=0,0,F$18*I173/$I$236)</f>
        <v>6104.5420133678899</v>
      </c>
      <c r="G173" s="28">
        <f t="array" ref="G173">IF($I$236=0,0,G$18*I173/$I$236)</f>
        <v>6468.649570317828</v>
      </c>
      <c r="H173" s="24">
        <v>20496</v>
      </c>
      <c r="I173" s="24">
        <v>9619</v>
      </c>
      <c r="J173" s="30"/>
      <c r="K173" s="30"/>
      <c r="L173" s="12">
        <v>4.12093053576299E-2</v>
      </c>
    </row>
    <row r="174" spans="1:12" ht="20.100000000000001" customHeight="1">
      <c r="A174" s="20" t="s">
        <v>302</v>
      </c>
      <c r="B174" s="21" t="s">
        <v>125</v>
      </c>
      <c r="C174" s="28">
        <f t="array" ref="C174">D174+E174+F174+G174</f>
        <v>30230.513085209343</v>
      </c>
      <c r="D174" s="28">
        <f t="array" ref="D174">IF($H$236=0,0,D$18*H174/$H$236)</f>
        <v>8610.4293339584092</v>
      </c>
      <c r="E174" s="28">
        <f t="array" ref="E174">IF($H$236=0,0,E$18*H174/$H$236)</f>
        <v>9046.8921675652145</v>
      </c>
      <c r="F174" s="28">
        <f t="array" ref="F174">IF($I$236=0,0,F$18*I174/$I$236)</f>
        <v>6104.5420133678899</v>
      </c>
      <c r="G174" s="28">
        <f t="array" ref="G174">IF($I$236=0,0,G$18*I174/$I$236)</f>
        <v>6468.649570317828</v>
      </c>
      <c r="H174" s="24">
        <v>20496</v>
      </c>
      <c r="I174" s="24">
        <v>9619</v>
      </c>
      <c r="J174" s="30"/>
      <c r="K174" s="30"/>
      <c r="L174" s="12">
        <v>4.0191837266123798E-2</v>
      </c>
    </row>
    <row r="175" spans="1:12" ht="20.100000000000001" customHeight="1">
      <c r="A175" s="20" t="s">
        <v>303</v>
      </c>
      <c r="B175" s="21" t="s">
        <v>127</v>
      </c>
      <c r="C175" s="28">
        <f t="array" ref="C175">D175+E175+F175+G175</f>
        <v>30230.513085209343</v>
      </c>
      <c r="D175" s="28">
        <f t="array" ref="D175">IF($H$236=0,0,D$18*H175/$H$236)</f>
        <v>8610.4293339584092</v>
      </c>
      <c r="E175" s="28">
        <f t="array" ref="E175">IF($H$236=0,0,E$18*H175/$H$236)</f>
        <v>9046.8921675652145</v>
      </c>
      <c r="F175" s="28">
        <f t="array" ref="F175">IF($I$236=0,0,F$18*I175/$I$236)</f>
        <v>6104.5420133678899</v>
      </c>
      <c r="G175" s="28">
        <f t="array" ref="G175">IF($I$236=0,0,G$18*I175/$I$236)</f>
        <v>6468.649570317828</v>
      </c>
      <c r="H175" s="24">
        <v>20496</v>
      </c>
      <c r="I175" s="24">
        <v>9619</v>
      </c>
      <c r="J175" s="30"/>
      <c r="K175" s="30"/>
      <c r="L175" s="12">
        <v>3.8809446673187302E-2</v>
      </c>
    </row>
    <row r="176" spans="1:12" ht="20.100000000000001" customHeight="1">
      <c r="A176" s="20" t="s">
        <v>304</v>
      </c>
      <c r="B176" s="21" t="s">
        <v>129</v>
      </c>
      <c r="C176" s="28">
        <f t="array" ref="C176">D176+E176+F176+G176</f>
        <v>6791.4883026522257</v>
      </c>
      <c r="D176" s="28">
        <f t="array" ref="D176">IF($H$236=0,0,D$18*H176/$H$236)</f>
        <v>1711.9193762627108</v>
      </c>
      <c r="E176" s="28">
        <f t="array" ref="E176">IF($H$236=0,0,E$18*H176/$H$236)</f>
        <v>1798.6966033776469</v>
      </c>
      <c r="F176" s="28">
        <f t="array" ref="F176">IF($I$236=0,0,F$18*I176/$I$236)</f>
        <v>1592.9307052243896</v>
      </c>
      <c r="G176" s="28">
        <f t="array" ref="G176">IF($I$236=0,0,G$18*I176/$I$236)</f>
        <v>1687.9416177874778</v>
      </c>
      <c r="H176" s="24">
        <v>4075</v>
      </c>
      <c r="I176" s="24">
        <v>2510</v>
      </c>
      <c r="J176" s="30"/>
      <c r="K176" s="30"/>
      <c r="L176" s="12">
        <v>3.7101722129919398E-2</v>
      </c>
    </row>
    <row r="177" spans="1:12" ht="20.100000000000001" customHeight="1">
      <c r="A177" s="20" t="s">
        <v>305</v>
      </c>
      <c r="B177" s="21" t="s">
        <v>131</v>
      </c>
      <c r="C177" s="28">
        <f t="array" ref="C177">D177+E177+F177+G177</f>
        <v>6791.4883026522257</v>
      </c>
      <c r="D177" s="28">
        <f t="array" ref="D177">IF($H$236=0,0,D$18*H177/$H$236)</f>
        <v>1711.9193762627108</v>
      </c>
      <c r="E177" s="28">
        <f t="array" ref="E177">IF($H$236=0,0,E$18*H177/$H$236)</f>
        <v>1798.6966033776469</v>
      </c>
      <c r="F177" s="28">
        <f t="array" ref="F177">IF($I$236=0,0,F$18*I177/$I$236)</f>
        <v>1592.9307052243896</v>
      </c>
      <c r="G177" s="28">
        <f t="array" ref="G177">IF($I$236=0,0,G$18*I177/$I$236)</f>
        <v>1687.9416177874778</v>
      </c>
      <c r="H177" s="24">
        <v>4075</v>
      </c>
      <c r="I177" s="24">
        <v>2510</v>
      </c>
      <c r="J177" s="30"/>
      <c r="K177" s="30"/>
      <c r="L177" s="12">
        <v>3.51162160482748E-2</v>
      </c>
    </row>
    <row r="178" spans="1:12" ht="20.100000000000001" customHeight="1">
      <c r="A178" s="20" t="s">
        <v>306</v>
      </c>
      <c r="B178" s="21" t="s">
        <v>133</v>
      </c>
      <c r="C178" s="28">
        <f t="array" ref="C178">D178+E178+F178+G178</f>
        <v>6791.4883026522257</v>
      </c>
      <c r="D178" s="28">
        <f t="array" ref="D178">IF($H$236=0,0,D$18*H178/$H$236)</f>
        <v>1711.9193762627108</v>
      </c>
      <c r="E178" s="28">
        <f t="array" ref="E178">IF($H$236=0,0,E$18*H178/$H$236)</f>
        <v>1798.6966033776469</v>
      </c>
      <c r="F178" s="28">
        <f t="array" ref="F178">IF($I$236=0,0,F$18*I178/$I$236)</f>
        <v>1592.9307052243896</v>
      </c>
      <c r="G178" s="28">
        <f t="array" ref="G178">IF($I$236=0,0,G$18*I178/$I$236)</f>
        <v>1687.9416177874778</v>
      </c>
      <c r="H178" s="24">
        <v>4075</v>
      </c>
      <c r="I178" s="24">
        <v>2510</v>
      </c>
      <c r="J178" s="30"/>
      <c r="K178" s="30"/>
      <c r="L178" s="12">
        <v>3.2906249197362701E-2</v>
      </c>
    </row>
    <row r="179" spans="1:12" ht="20.100000000000001" customHeight="1">
      <c r="A179" s="20" t="s">
        <v>307</v>
      </c>
      <c r="B179" s="21" t="s">
        <v>135</v>
      </c>
      <c r="C179" s="28">
        <f t="array" ref="C179">D179+E179+F179+G179</f>
        <v>6791.4883026522257</v>
      </c>
      <c r="D179" s="28">
        <f t="array" ref="D179">IF($H$236=0,0,D$18*H179/$H$236)</f>
        <v>1711.9193762627108</v>
      </c>
      <c r="E179" s="28">
        <f t="array" ref="E179">IF($H$236=0,0,E$18*H179/$H$236)</f>
        <v>1798.6966033776469</v>
      </c>
      <c r="F179" s="28">
        <f t="array" ref="F179">IF($I$236=0,0,F$18*I179/$I$236)</f>
        <v>1592.9307052243896</v>
      </c>
      <c r="G179" s="28">
        <f t="array" ref="G179">IF($I$236=0,0,G$18*I179/$I$236)</f>
        <v>1687.9416177874778</v>
      </c>
      <c r="H179" s="24">
        <v>4075</v>
      </c>
      <c r="I179" s="24">
        <v>2510</v>
      </c>
      <c r="J179" s="30"/>
      <c r="K179" s="30"/>
      <c r="L179" s="12">
        <v>3.05285430463022E-2</v>
      </c>
    </row>
    <row r="180" spans="1:12" ht="20.100000000000001" customHeight="1">
      <c r="A180" s="20" t="s">
        <v>308</v>
      </c>
      <c r="B180" s="21" t="s">
        <v>137</v>
      </c>
      <c r="C180" s="28">
        <f t="array" ref="C180">D180+E180+F180+G180</f>
        <v>6791.4883026522257</v>
      </c>
      <c r="D180" s="28">
        <f t="array" ref="D180">IF($H$236=0,0,D$18*H180/$H$236)</f>
        <v>1711.9193762627108</v>
      </c>
      <c r="E180" s="28">
        <f t="array" ref="E180">IF($H$236=0,0,E$18*H180/$H$236)</f>
        <v>1798.6966033776469</v>
      </c>
      <c r="F180" s="28">
        <f t="array" ref="F180">IF($I$236=0,0,F$18*I180/$I$236)</f>
        <v>1592.9307052243896</v>
      </c>
      <c r="G180" s="28">
        <f t="array" ref="G180">IF($I$236=0,0,G$18*I180/$I$236)</f>
        <v>1687.9416177874778</v>
      </c>
      <c r="H180" s="24">
        <v>4075</v>
      </c>
      <c r="I180" s="24">
        <v>2510</v>
      </c>
      <c r="J180" s="30"/>
      <c r="K180" s="30"/>
      <c r="L180" s="12">
        <v>2.8040825879609502E-2</v>
      </c>
    </row>
    <row r="181" spans="1:12" ht="20.100000000000001" customHeight="1">
      <c r="A181" s="20" t="s">
        <v>309</v>
      </c>
      <c r="B181" s="21" t="s">
        <v>139</v>
      </c>
      <c r="C181" s="28">
        <f t="array" ref="C181">D181+E181+F181+G181</f>
        <v>442.78488839542251</v>
      </c>
      <c r="D181" s="28">
        <f t="array" ref="D181">IF($H$236=0,0,D$18*H181/$H$236)</f>
        <v>87.801509113842101</v>
      </c>
      <c r="E181" s="28">
        <f t="array" ref="E181">IF($H$236=0,0,E$18*H181/$H$236)</f>
        <v>92.252169351148027</v>
      </c>
      <c r="F181" s="28">
        <f t="array" ref="F181">IF($I$236=0,0,F$18*I181/$I$236)</f>
        <v>127.56138316737143</v>
      </c>
      <c r="G181" s="28">
        <f t="array" ref="G181">IF($I$236=0,0,G$18*I181/$I$236)</f>
        <v>135.16982676306097</v>
      </c>
      <c r="H181" s="24">
        <v>209</v>
      </c>
      <c r="I181" s="24">
        <v>201</v>
      </c>
      <c r="J181" s="30"/>
      <c r="K181" s="30"/>
      <c r="L181" s="12">
        <v>2.5499551921128499E-2</v>
      </c>
    </row>
    <row r="182" spans="1:12" ht="20.100000000000001" customHeight="1">
      <c r="A182" s="20" t="s">
        <v>310</v>
      </c>
      <c r="B182" s="21" t="s">
        <v>141</v>
      </c>
      <c r="C182" s="28">
        <f t="array" ref="C182">D182+E182+F182+G182</f>
        <v>442.78488839542251</v>
      </c>
      <c r="D182" s="28">
        <f t="array" ref="D182">IF($H$236=0,0,D$18*H182/$H$236)</f>
        <v>87.801509113842101</v>
      </c>
      <c r="E182" s="28">
        <f t="array" ref="E182">IF($H$236=0,0,E$18*H182/$H$236)</f>
        <v>92.252169351148027</v>
      </c>
      <c r="F182" s="28">
        <f t="array" ref="F182">IF($I$236=0,0,F$18*I182/$I$236)</f>
        <v>127.56138316737143</v>
      </c>
      <c r="G182" s="28">
        <f t="array" ref="G182">IF($I$236=0,0,G$18*I182/$I$236)</f>
        <v>135.16982676306097</v>
      </c>
      <c r="H182" s="24">
        <v>209</v>
      </c>
      <c r="I182" s="24">
        <v>201</v>
      </c>
      <c r="J182" s="30"/>
      <c r="K182" s="30"/>
      <c r="L182" s="12">
        <v>2.2957855795062501E-2</v>
      </c>
    </row>
    <row r="183" spans="1:12" ht="20.100000000000001" customHeight="1">
      <c r="A183" s="20" t="s">
        <v>311</v>
      </c>
      <c r="B183" s="21" t="s">
        <v>143</v>
      </c>
      <c r="C183" s="28">
        <f t="array" ref="C183">D183+E183+F183+G183</f>
        <v>442.78488839542251</v>
      </c>
      <c r="D183" s="28">
        <f t="array" ref="D183">IF($H$236=0,0,D$18*H183/$H$236)</f>
        <v>87.801509113842101</v>
      </c>
      <c r="E183" s="28">
        <f t="array" ref="E183">IF($H$236=0,0,E$18*H183/$H$236)</f>
        <v>92.252169351148027</v>
      </c>
      <c r="F183" s="28">
        <f t="array" ref="F183">IF($I$236=0,0,F$18*I183/$I$236)</f>
        <v>127.56138316737143</v>
      </c>
      <c r="G183" s="28">
        <f t="array" ref="G183">IF($I$236=0,0,G$18*I183/$I$236)</f>
        <v>135.16982676306097</v>
      </c>
      <c r="H183" s="24">
        <v>209</v>
      </c>
      <c r="I183" s="24">
        <v>201</v>
      </c>
      <c r="J183" s="30"/>
      <c r="K183" s="30"/>
      <c r="L183" s="12">
        <v>2.0463839660521999E-2</v>
      </c>
    </row>
    <row r="184" spans="1:12" ht="20.100000000000001" customHeight="1">
      <c r="A184" s="20" t="s">
        <v>312</v>
      </c>
      <c r="B184" s="21" t="s">
        <v>145</v>
      </c>
      <c r="C184" s="28">
        <f t="array" ref="C184">D184+E184+F184+G184</f>
        <v>442.78488839542251</v>
      </c>
      <c r="D184" s="28">
        <f t="array" ref="D184">IF($H$236=0,0,D$18*H184/$H$236)</f>
        <v>87.801509113842101</v>
      </c>
      <c r="E184" s="28">
        <f t="array" ref="E184">IF($H$236=0,0,E$18*H184/$H$236)</f>
        <v>92.252169351148027</v>
      </c>
      <c r="F184" s="28">
        <f t="array" ref="F184">IF($I$236=0,0,F$18*I184/$I$236)</f>
        <v>127.56138316737143</v>
      </c>
      <c r="G184" s="28">
        <f t="array" ref="G184">IF($I$236=0,0,G$18*I184/$I$236)</f>
        <v>135.16982676306097</v>
      </c>
      <c r="H184" s="24">
        <v>209</v>
      </c>
      <c r="I184" s="24">
        <v>201</v>
      </c>
      <c r="J184" s="30"/>
      <c r="K184" s="30"/>
      <c r="L184" s="12">
        <v>1.80592600248171E-2</v>
      </c>
    </row>
    <row r="185" spans="1:12" ht="20.100000000000001" customHeight="1">
      <c r="A185" s="20" t="s">
        <v>313</v>
      </c>
      <c r="B185" s="21" t="s">
        <v>147</v>
      </c>
      <c r="C185" s="28">
        <f t="array" ref="C185">D185+E185+F185+G185</f>
        <v>442.78488839542251</v>
      </c>
      <c r="D185" s="28">
        <f t="array" ref="D185">IF($H$236=0,0,D$18*H185/$H$236)</f>
        <v>87.801509113842101</v>
      </c>
      <c r="E185" s="28">
        <f t="array" ref="E185">IF($H$236=0,0,E$18*H185/$H$236)</f>
        <v>92.252169351148027</v>
      </c>
      <c r="F185" s="28">
        <f t="array" ref="F185">IF($I$236=0,0,F$18*I185/$I$236)</f>
        <v>127.56138316737143</v>
      </c>
      <c r="G185" s="28">
        <f t="array" ref="G185">IF($I$236=0,0,G$18*I185/$I$236)</f>
        <v>135.16982676306097</v>
      </c>
      <c r="H185" s="24">
        <v>209</v>
      </c>
      <c r="I185" s="24">
        <v>201</v>
      </c>
      <c r="J185" s="30"/>
      <c r="K185" s="30"/>
      <c r="L185" s="12">
        <v>1.5778648597335299E-2</v>
      </c>
    </row>
    <row r="186" spans="1:12" ht="20.100000000000001" customHeight="1">
      <c r="A186" s="20" t="s">
        <v>314</v>
      </c>
      <c r="B186" s="21" t="s">
        <v>149</v>
      </c>
      <c r="C186" s="28">
        <f t="array" ref="C186">D186+E186+F186+G186</f>
        <v>0</v>
      </c>
      <c r="D186" s="28">
        <f t="array" ref="D186">IF($H$236=0,0,D$18*H186/$H$236)</f>
        <v>0</v>
      </c>
      <c r="E186" s="28">
        <f t="array" ref="E186">IF($H$236=0,0,E$18*H186/$H$236)</f>
        <v>0</v>
      </c>
      <c r="F186" s="28">
        <f t="array" ref="F186">IF($I$236=0,0,F$18*I186/$I$236)</f>
        <v>0</v>
      </c>
      <c r="G186" s="28">
        <f t="array" ref="G186">IF($I$236=0,0,G$18*I186/$I$236)</f>
        <v>0</v>
      </c>
      <c r="H186" s="24"/>
      <c r="I186" s="24"/>
      <c r="J186" s="30"/>
      <c r="K186" s="30"/>
      <c r="L186" s="12">
        <v>1.36488695618289E-2</v>
      </c>
    </row>
    <row r="187" spans="1:12" ht="20.100000000000001" customHeight="1">
      <c r="A187" s="20" t="s">
        <v>315</v>
      </c>
      <c r="B187" s="21" t="s">
        <v>151</v>
      </c>
      <c r="C187" s="28">
        <f t="array" ref="C187">D187+E187+F187+G187</f>
        <v>0</v>
      </c>
      <c r="D187" s="28">
        <f t="array" ref="D187">IF($H$236=0,0,D$18*H187/$H$236)</f>
        <v>0</v>
      </c>
      <c r="E187" s="28">
        <f t="array" ref="E187">IF($H$236=0,0,E$18*H187/$H$236)</f>
        <v>0</v>
      </c>
      <c r="F187" s="28">
        <f t="array" ref="F187">IF($I$236=0,0,F$18*I187/$I$236)</f>
        <v>0</v>
      </c>
      <c r="G187" s="28">
        <f t="array" ref="G187">IF($I$236=0,0,G$18*I187/$I$236)</f>
        <v>0</v>
      </c>
      <c r="H187" s="24"/>
      <c r="I187" s="24"/>
      <c r="J187" s="30"/>
      <c r="K187" s="30"/>
      <c r="L187" s="12">
        <v>1.1689086936454301E-2</v>
      </c>
    </row>
    <row r="188" spans="1:12" ht="20.100000000000001" customHeight="1">
      <c r="A188" s="20" t="s">
        <v>316</v>
      </c>
      <c r="B188" s="21" t="s">
        <v>153</v>
      </c>
      <c r="C188" s="28">
        <f t="array" ref="C188">D188+E188+F188+G188</f>
        <v>0</v>
      </c>
      <c r="D188" s="28">
        <f t="array" ref="D188">IF($H$236=0,0,D$18*H188/$H$236)</f>
        <v>0</v>
      </c>
      <c r="E188" s="28">
        <f t="array" ref="E188">IF($H$236=0,0,E$18*H188/$H$236)</f>
        <v>0</v>
      </c>
      <c r="F188" s="28">
        <f t="array" ref="F188">IF($I$236=0,0,F$18*I188/$I$236)</f>
        <v>0</v>
      </c>
      <c r="G188" s="28">
        <f t="array" ref="G188">IF($I$236=0,0,G$18*I188/$I$236)</f>
        <v>0</v>
      </c>
      <c r="H188" s="24"/>
      <c r="I188" s="24"/>
      <c r="J188" s="30"/>
      <c r="K188" s="30"/>
      <c r="L188" s="12">
        <v>9.9110922879079404E-3</v>
      </c>
    </row>
    <row r="189" spans="1:12" ht="20.100000000000001" customHeight="1">
      <c r="A189" s="20" t="s">
        <v>317</v>
      </c>
      <c r="B189" s="21" t="s">
        <v>155</v>
      </c>
      <c r="C189" s="28">
        <f t="array" ref="C189">D189+E189+F189+G189</f>
        <v>0</v>
      </c>
      <c r="D189" s="28">
        <f t="array" ref="D189">IF($H$236=0,0,D$18*H189/$H$236)</f>
        <v>0</v>
      </c>
      <c r="E189" s="28">
        <f t="array" ref="E189">IF($H$236=0,0,E$18*H189/$H$236)</f>
        <v>0</v>
      </c>
      <c r="F189" s="28">
        <f t="array" ref="F189">IF($I$236=0,0,F$18*I189/$I$236)</f>
        <v>0</v>
      </c>
      <c r="G189" s="28">
        <f t="array" ref="G189">IF($I$236=0,0,G$18*I189/$I$236)</f>
        <v>0</v>
      </c>
      <c r="H189" s="24"/>
      <c r="I189" s="24"/>
      <c r="J189" s="30"/>
      <c r="K189" s="30"/>
      <c r="L189" s="12">
        <v>8.3199262714216508E-3</v>
      </c>
    </row>
    <row r="190" spans="1:12" ht="20.100000000000001" customHeight="1">
      <c r="A190" s="20" t="s">
        <v>318</v>
      </c>
      <c r="B190" s="21" t="s">
        <v>157</v>
      </c>
      <c r="C190" s="28">
        <f t="array" ref="C190">D190+E190+F190+G190</f>
        <v>0</v>
      </c>
      <c r="D190" s="28">
        <f t="array" ref="D190">IF($H$236=0,0,D$18*H190/$H$236)</f>
        <v>0</v>
      </c>
      <c r="E190" s="28">
        <f t="array" ref="E190">IF($H$236=0,0,E$18*H190/$H$236)</f>
        <v>0</v>
      </c>
      <c r="F190" s="28">
        <f t="array" ref="F190">IF($I$236=0,0,F$18*I190/$I$236)</f>
        <v>0</v>
      </c>
      <c r="G190" s="28">
        <f t="array" ref="G190">IF($I$236=0,0,G$18*I190/$I$236)</f>
        <v>0</v>
      </c>
      <c r="H190" s="24"/>
      <c r="I190" s="24"/>
      <c r="J190" s="30"/>
      <c r="K190" s="30"/>
      <c r="L190" s="12">
        <v>6.9147178140127304E-3</v>
      </c>
    </row>
    <row r="191" spans="1:12" ht="20.100000000000001" customHeight="1">
      <c r="A191" s="20" t="s">
        <v>319</v>
      </c>
      <c r="B191" s="21" t="s">
        <v>159</v>
      </c>
      <c r="C191" s="28">
        <f t="array" ref="C191">D191+E191+F191+G191</f>
        <v>0</v>
      </c>
      <c r="D191" s="28">
        <f t="array" ref="D191">IF($H$236=0,0,D$18*H191/$H$236)</f>
        <v>0</v>
      </c>
      <c r="E191" s="28">
        <f t="array" ref="E191">IF($H$236=0,0,E$18*H191/$H$236)</f>
        <v>0</v>
      </c>
      <c r="F191" s="28">
        <f t="array" ref="F191">IF($I$236=0,0,F$18*I191/$I$236)</f>
        <v>0</v>
      </c>
      <c r="G191" s="28">
        <f t="array" ref="G191">IF($I$236=0,0,G$18*I191/$I$236)</f>
        <v>0</v>
      </c>
      <c r="H191" s="24"/>
      <c r="I191" s="24"/>
      <c r="J191" s="30"/>
      <c r="K191" s="30"/>
      <c r="L191" s="12"/>
    </row>
    <row r="192" spans="1:12" ht="20.100000000000001" customHeight="1">
      <c r="A192" s="20" t="s">
        <v>320</v>
      </c>
      <c r="B192" s="21" t="s">
        <v>161</v>
      </c>
      <c r="C192" s="28">
        <f t="array" ref="C192">D192+E192+F192+G192</f>
        <v>0</v>
      </c>
      <c r="D192" s="28">
        <f t="array" ref="D192">IF($H$236=0,0,D$18*H192/$H$236)</f>
        <v>0</v>
      </c>
      <c r="E192" s="28">
        <f t="array" ref="E192">IF($H$236=0,0,E$18*H192/$H$236)</f>
        <v>0</v>
      </c>
      <c r="F192" s="28">
        <f t="array" ref="F192">IF($I$236=0,0,F$18*I192/$I$236)</f>
        <v>0</v>
      </c>
      <c r="G192" s="28">
        <f t="array" ref="G192">IF($I$236=0,0,G$18*I192/$I$236)</f>
        <v>0</v>
      </c>
      <c r="H192" s="24"/>
      <c r="I192" s="24"/>
      <c r="J192" s="30"/>
      <c r="K192" s="30"/>
      <c r="L192" s="12"/>
    </row>
    <row r="193" spans="1:12" ht="20.100000000000001" customHeight="1">
      <c r="A193" s="20" t="s">
        <v>321</v>
      </c>
      <c r="B193" s="21" t="s">
        <v>163</v>
      </c>
      <c r="C193" s="28">
        <f t="array" ref="C193">D193+E193+F193+G193</f>
        <v>0</v>
      </c>
      <c r="D193" s="28">
        <f t="array" ref="D193">IF($H$236=0,0,D$18*H193/$H$236)</f>
        <v>0</v>
      </c>
      <c r="E193" s="28">
        <f t="array" ref="E193">IF($H$236=0,0,E$18*H193/$H$236)</f>
        <v>0</v>
      </c>
      <c r="F193" s="28">
        <f t="array" ref="F193">IF($I$236=0,0,F$18*I193/$I$236)</f>
        <v>0</v>
      </c>
      <c r="G193" s="28">
        <f t="array" ref="G193">IF($I$236=0,0,G$18*I193/$I$236)</f>
        <v>0</v>
      </c>
      <c r="H193" s="24"/>
      <c r="I193" s="24"/>
      <c r="J193" s="30"/>
      <c r="K193" s="30"/>
      <c r="L193" s="12"/>
    </row>
    <row r="194" spans="1:12" ht="20.100000000000001" customHeight="1">
      <c r="A194" s="20" t="s">
        <v>322</v>
      </c>
      <c r="B194" s="21" t="s">
        <v>165</v>
      </c>
      <c r="C194" s="28">
        <f t="array" ref="C194">D194+E194+F194+G194</f>
        <v>0</v>
      </c>
      <c r="D194" s="28">
        <f t="array" ref="D194">IF($H$236=0,0,D$18*H194/$H$236)</f>
        <v>0</v>
      </c>
      <c r="E194" s="28">
        <f t="array" ref="E194">IF($H$236=0,0,E$18*H194/$H$236)</f>
        <v>0</v>
      </c>
      <c r="F194" s="28">
        <f t="array" ref="F194">IF($I$236=0,0,F$18*I194/$I$236)</f>
        <v>0</v>
      </c>
      <c r="G194" s="28">
        <f t="array" ref="G194">IF($I$236=0,0,G$18*I194/$I$236)</f>
        <v>0</v>
      </c>
      <c r="H194" s="24"/>
      <c r="I194" s="24"/>
      <c r="J194" s="30"/>
      <c r="K194" s="30"/>
      <c r="L194" s="12"/>
    </row>
    <row r="195" spans="1:12" ht="20.100000000000001" customHeight="1">
      <c r="A195" s="20" t="s">
        <v>323</v>
      </c>
      <c r="B195" s="21" t="s">
        <v>167</v>
      </c>
      <c r="C195" s="28">
        <f t="array" ref="C195">D195+E195+F195+G195</f>
        <v>0</v>
      </c>
      <c r="D195" s="28">
        <f t="array" ref="D195">IF($H$236=0,0,D$18*H195/$H$236)</f>
        <v>0</v>
      </c>
      <c r="E195" s="28">
        <f t="array" ref="E195">IF($H$236=0,0,E$18*H195/$H$236)</f>
        <v>0</v>
      </c>
      <c r="F195" s="28">
        <f t="array" ref="F195">IF($I$236=0,0,F$18*I195/$I$236)</f>
        <v>0</v>
      </c>
      <c r="G195" s="28">
        <f t="array" ref="G195">IF($I$236=0,0,G$18*I195/$I$236)</f>
        <v>0</v>
      </c>
      <c r="H195" s="24"/>
      <c r="I195" s="24"/>
      <c r="J195" s="30"/>
      <c r="K195" s="30"/>
      <c r="L195" s="12"/>
    </row>
    <row r="196" spans="1:12" ht="20.100000000000001" customHeight="1">
      <c r="A196" s="20" t="s">
        <v>324</v>
      </c>
      <c r="B196" s="21" t="s">
        <v>169</v>
      </c>
      <c r="C196" s="28">
        <f t="array" ref="C196">D196+E196+F196+G196</f>
        <v>0</v>
      </c>
      <c r="D196" s="28">
        <f t="array" ref="D196">IF($H$236=0,0,D$18*H196/$H$236)</f>
        <v>0</v>
      </c>
      <c r="E196" s="28">
        <f t="array" ref="E196">IF($H$236=0,0,E$18*H196/$H$236)</f>
        <v>0</v>
      </c>
      <c r="F196" s="28">
        <f t="array" ref="F196">IF($I$236=0,0,F$18*I196/$I$236)</f>
        <v>0</v>
      </c>
      <c r="G196" s="28">
        <f t="array" ref="G196">IF($I$236=0,0,G$18*I196/$I$236)</f>
        <v>0</v>
      </c>
      <c r="H196" s="24"/>
      <c r="I196" s="24"/>
      <c r="J196" s="30"/>
      <c r="K196" s="30"/>
      <c r="L196" s="12"/>
    </row>
    <row r="197" spans="1:12" ht="20.100000000000001" customHeight="1">
      <c r="A197" s="20" t="s">
        <v>325</v>
      </c>
      <c r="B197" s="21" t="s">
        <v>171</v>
      </c>
      <c r="C197" s="28">
        <f t="array" ref="C197">D197+E197+F197+G197</f>
        <v>0</v>
      </c>
      <c r="D197" s="28">
        <f t="array" ref="D197">IF($H$236=0,0,D$18*H197/$H$236)</f>
        <v>0</v>
      </c>
      <c r="E197" s="28">
        <f t="array" ref="E197">IF($H$236=0,0,E$18*H197/$H$236)</f>
        <v>0</v>
      </c>
      <c r="F197" s="28">
        <f t="array" ref="F197">IF($I$236=0,0,F$18*I197/$I$236)</f>
        <v>0</v>
      </c>
      <c r="G197" s="28">
        <f t="array" ref="G197">IF($I$236=0,0,G$18*I197/$I$236)</f>
        <v>0</v>
      </c>
      <c r="H197" s="24"/>
      <c r="I197" s="24"/>
      <c r="J197" s="30"/>
      <c r="K197" s="30"/>
      <c r="L197" s="12"/>
    </row>
    <row r="198" spans="1:12" ht="20.100000000000001" customHeight="1">
      <c r="A198" s="20" t="s">
        <v>326</v>
      </c>
      <c r="B198" s="21" t="s">
        <v>173</v>
      </c>
      <c r="C198" s="28">
        <f t="array" ref="C198">D198+E198+F198+G198</f>
        <v>0</v>
      </c>
      <c r="D198" s="28">
        <f t="array" ref="D198">IF($H$236=0,0,D$18*H198/$H$236)</f>
        <v>0</v>
      </c>
      <c r="E198" s="28">
        <f t="array" ref="E198">IF($H$236=0,0,E$18*H198/$H$236)</f>
        <v>0</v>
      </c>
      <c r="F198" s="28">
        <f t="array" ref="F198">IF($I$236=0,0,F$18*I198/$I$236)</f>
        <v>0</v>
      </c>
      <c r="G198" s="28">
        <f t="array" ref="G198">IF($I$236=0,0,G$18*I198/$I$236)</f>
        <v>0</v>
      </c>
      <c r="H198" s="24"/>
      <c r="I198" s="24"/>
      <c r="J198" s="30"/>
      <c r="K198" s="30"/>
      <c r="L198" s="12"/>
    </row>
    <row r="199" spans="1:12" ht="20.100000000000001" customHeight="1">
      <c r="A199" s="20" t="s">
        <v>327</v>
      </c>
      <c r="B199" s="21" t="s">
        <v>175</v>
      </c>
      <c r="C199" s="28">
        <f t="array" ref="C199">D199+E199+F199+G199</f>
        <v>0</v>
      </c>
      <c r="D199" s="28">
        <f t="array" ref="D199">IF($H$236=0,0,D$18*H199/$H$236)</f>
        <v>0</v>
      </c>
      <c r="E199" s="28">
        <f t="array" ref="E199">IF($H$236=0,0,E$18*H199/$H$236)</f>
        <v>0</v>
      </c>
      <c r="F199" s="28">
        <f t="array" ref="F199">IF($I$236=0,0,F$18*I199/$I$236)</f>
        <v>0</v>
      </c>
      <c r="G199" s="28">
        <f t="array" ref="G199">IF($I$236=0,0,G$18*I199/$I$236)</f>
        <v>0</v>
      </c>
      <c r="H199" s="24"/>
      <c r="I199" s="24"/>
      <c r="J199" s="30"/>
      <c r="K199" s="30"/>
      <c r="L199" s="12"/>
    </row>
    <row r="200" spans="1:12" ht="20.100000000000001" customHeight="1">
      <c r="A200" s="20" t="s">
        <v>328</v>
      </c>
      <c r="B200" s="21" t="s">
        <v>177</v>
      </c>
      <c r="C200" s="28">
        <f t="array" ref="C200">D200+E200+F200+G200</f>
        <v>0</v>
      </c>
      <c r="D200" s="28">
        <f t="array" ref="D200">IF($H$236=0,0,D$18*H200/$H$236)</f>
        <v>0</v>
      </c>
      <c r="E200" s="28">
        <f t="array" ref="E200">IF($H$236=0,0,E$18*H200/$H$236)</f>
        <v>0</v>
      </c>
      <c r="F200" s="28">
        <f t="array" ref="F200">IF($I$236=0,0,F$18*I200/$I$236)</f>
        <v>0</v>
      </c>
      <c r="G200" s="28">
        <f t="array" ref="G200">IF($I$236=0,0,G$18*I200/$I$236)</f>
        <v>0</v>
      </c>
      <c r="H200" s="24"/>
      <c r="I200" s="24"/>
      <c r="J200" s="30"/>
      <c r="K200" s="30"/>
      <c r="L200" s="12"/>
    </row>
    <row r="201" spans="1:12" ht="20.100000000000001" customHeight="1">
      <c r="A201" s="20" t="s">
        <v>329</v>
      </c>
      <c r="B201" s="21" t="s">
        <v>179</v>
      </c>
      <c r="C201" s="28">
        <f t="array" ref="C201">D201+E201+F201+G201</f>
        <v>0</v>
      </c>
      <c r="D201" s="28">
        <f t="array" ref="D201">IF($H$236=0,0,D$18*H201/$H$236)</f>
        <v>0</v>
      </c>
      <c r="E201" s="28">
        <f t="array" ref="E201">IF($H$236=0,0,E$18*H201/$H$236)</f>
        <v>0</v>
      </c>
      <c r="F201" s="28">
        <f t="array" ref="F201">IF($I$236=0,0,F$18*I201/$I$236)</f>
        <v>0</v>
      </c>
      <c r="G201" s="28">
        <f t="array" ref="G201">IF($I$236=0,0,G$18*I201/$I$236)</f>
        <v>0</v>
      </c>
      <c r="H201" s="24"/>
      <c r="I201" s="24"/>
      <c r="J201" s="30"/>
      <c r="K201" s="30"/>
      <c r="L201" s="12"/>
    </row>
    <row r="202" spans="1:12" ht="20.100000000000001" customHeight="1">
      <c r="A202" s="20" t="s">
        <v>330</v>
      </c>
      <c r="B202" s="21" t="s">
        <v>181</v>
      </c>
      <c r="C202" s="28">
        <f t="array" ref="C202">D202+E202+F202+G202</f>
        <v>0</v>
      </c>
      <c r="D202" s="28">
        <f t="array" ref="D202">IF($H$236=0,0,D$18*H202/$H$236)</f>
        <v>0</v>
      </c>
      <c r="E202" s="28">
        <f t="array" ref="E202">IF($H$236=0,0,E$18*H202/$H$236)</f>
        <v>0</v>
      </c>
      <c r="F202" s="28">
        <f t="array" ref="F202">IF($I$236=0,0,F$18*I202/$I$236)</f>
        <v>0</v>
      </c>
      <c r="G202" s="28">
        <f t="array" ref="G202">IF($I$236=0,0,G$18*I202/$I$236)</f>
        <v>0</v>
      </c>
      <c r="H202" s="24"/>
      <c r="I202" s="24"/>
      <c r="J202" s="30"/>
      <c r="K202" s="30"/>
      <c r="L202" s="12"/>
    </row>
    <row r="203" spans="1:12" ht="20.100000000000001" customHeight="1">
      <c r="A203" s="20" t="s">
        <v>331</v>
      </c>
      <c r="B203" s="21" t="s">
        <v>183</v>
      </c>
      <c r="C203" s="28">
        <f t="array" ref="C203">D203+E203+F203+G203</f>
        <v>0</v>
      </c>
      <c r="D203" s="28">
        <f t="array" ref="D203">IF($H$236=0,0,D$18*H203/$H$236)</f>
        <v>0</v>
      </c>
      <c r="E203" s="28">
        <f t="array" ref="E203">IF($H$236=0,0,E$18*H203/$H$236)</f>
        <v>0</v>
      </c>
      <c r="F203" s="28">
        <f t="array" ref="F203">IF($I$236=0,0,F$18*I203/$I$236)</f>
        <v>0</v>
      </c>
      <c r="G203" s="28">
        <f t="array" ref="G203">IF($I$236=0,0,G$18*I203/$I$236)</f>
        <v>0</v>
      </c>
      <c r="H203" s="24"/>
      <c r="I203" s="24"/>
      <c r="J203" s="30"/>
      <c r="K203" s="30"/>
      <c r="L203" s="12"/>
    </row>
    <row r="204" spans="1:12" ht="20.100000000000001" customHeight="1">
      <c r="A204" s="20" t="s">
        <v>332</v>
      </c>
      <c r="B204" s="21" t="s">
        <v>185</v>
      </c>
      <c r="C204" s="28">
        <f t="array" ref="C204">D204+E204+F204+G204</f>
        <v>0</v>
      </c>
      <c r="D204" s="28">
        <f t="array" ref="D204">IF($H$236=0,0,D$18*H204/$H$236)</f>
        <v>0</v>
      </c>
      <c r="E204" s="28">
        <f t="array" ref="E204">IF($H$236=0,0,E$18*H204/$H$236)</f>
        <v>0</v>
      </c>
      <c r="F204" s="28">
        <f t="array" ref="F204">IF($I$236=0,0,F$18*I204/$I$236)</f>
        <v>0</v>
      </c>
      <c r="G204" s="28">
        <f t="array" ref="G204">IF($I$236=0,0,G$18*I204/$I$236)</f>
        <v>0</v>
      </c>
      <c r="H204" s="24"/>
      <c r="I204" s="24"/>
      <c r="J204" s="30"/>
      <c r="K204" s="30"/>
      <c r="L204" s="12"/>
    </row>
    <row r="205" spans="1:12" ht="20.100000000000001" customHeight="1">
      <c r="A205" s="20" t="s">
        <v>333</v>
      </c>
      <c r="B205" s="21" t="s">
        <v>187</v>
      </c>
      <c r="C205" s="28">
        <f t="array" ref="C205">D205+E205+F205+G205</f>
        <v>0</v>
      </c>
      <c r="D205" s="28">
        <f t="array" ref="D205">IF($H$236=0,0,D$18*H205/$H$236)</f>
        <v>0</v>
      </c>
      <c r="E205" s="28">
        <f t="array" ref="E205">IF($H$236=0,0,E$18*H205/$H$236)</f>
        <v>0</v>
      </c>
      <c r="F205" s="28">
        <f t="array" ref="F205">IF($I$236=0,0,F$18*I205/$I$236)</f>
        <v>0</v>
      </c>
      <c r="G205" s="28">
        <f t="array" ref="G205">IF($I$236=0,0,G$18*I205/$I$236)</f>
        <v>0</v>
      </c>
      <c r="H205" s="24"/>
      <c r="I205" s="24"/>
      <c r="J205" s="30"/>
      <c r="K205" s="30"/>
      <c r="L205" s="12"/>
    </row>
    <row r="206" spans="1:12" ht="20.100000000000001" customHeight="1">
      <c r="A206" s="20" t="s">
        <v>334</v>
      </c>
      <c r="B206" s="21" t="s">
        <v>189</v>
      </c>
      <c r="C206" s="28">
        <f t="array" ref="C206">D206+E206+F206+G206</f>
        <v>0</v>
      </c>
      <c r="D206" s="28">
        <f t="array" ref="D206">IF($H$236=0,0,D$18*H206/$H$236)</f>
        <v>0</v>
      </c>
      <c r="E206" s="28">
        <f t="array" ref="E206">IF($H$236=0,0,E$18*H206/$H$236)</f>
        <v>0</v>
      </c>
      <c r="F206" s="28">
        <f t="array" ref="F206">IF($I$236=0,0,F$18*I206/$I$236)</f>
        <v>0</v>
      </c>
      <c r="G206" s="28">
        <f t="array" ref="G206">IF($I$236=0,0,G$18*I206/$I$236)</f>
        <v>0</v>
      </c>
      <c r="H206" s="24"/>
      <c r="I206" s="24"/>
      <c r="J206" s="30"/>
      <c r="K206" s="30"/>
      <c r="L206" s="12"/>
    </row>
    <row r="207" spans="1:12" ht="20.100000000000001" customHeight="1">
      <c r="A207" s="20" t="s">
        <v>335</v>
      </c>
      <c r="B207" s="21" t="s">
        <v>191</v>
      </c>
      <c r="C207" s="28">
        <f t="array" ref="C207">D207+E207+F207+G207</f>
        <v>0</v>
      </c>
      <c r="D207" s="28">
        <f t="array" ref="D207">IF($H$236=0,0,D$18*H207/$H$236)</f>
        <v>0</v>
      </c>
      <c r="E207" s="28">
        <f t="array" ref="E207">IF($H$236=0,0,E$18*H207/$H$236)</f>
        <v>0</v>
      </c>
      <c r="F207" s="28">
        <f t="array" ref="F207">IF($I$236=0,0,F$18*I207/$I$236)</f>
        <v>0</v>
      </c>
      <c r="G207" s="28">
        <f t="array" ref="G207">IF($I$236=0,0,G$18*I207/$I$236)</f>
        <v>0</v>
      </c>
      <c r="H207" s="24"/>
      <c r="I207" s="24"/>
      <c r="J207" s="30"/>
      <c r="K207" s="30"/>
      <c r="L207" s="12"/>
    </row>
    <row r="208" spans="1:12" ht="20.100000000000001" customHeight="1">
      <c r="A208" s="20" t="s">
        <v>336</v>
      </c>
      <c r="B208" s="21" t="s">
        <v>193</v>
      </c>
      <c r="C208" s="28">
        <f t="array" ref="C208">D208+E208+F208+G208</f>
        <v>0</v>
      </c>
      <c r="D208" s="28">
        <f t="array" ref="D208">IF($H$236=0,0,D$18*H208/$H$236)</f>
        <v>0</v>
      </c>
      <c r="E208" s="28">
        <f t="array" ref="E208">IF($H$236=0,0,E$18*H208/$H$236)</f>
        <v>0</v>
      </c>
      <c r="F208" s="28">
        <f t="array" ref="F208">IF($I$236=0,0,F$18*I208/$I$236)</f>
        <v>0</v>
      </c>
      <c r="G208" s="28">
        <f t="array" ref="G208">IF($I$236=0,0,G$18*I208/$I$236)</f>
        <v>0</v>
      </c>
      <c r="H208" s="24"/>
      <c r="I208" s="24"/>
      <c r="J208" s="30"/>
      <c r="K208" s="30"/>
      <c r="L208" s="12"/>
    </row>
    <row r="209" spans="1:12" ht="20.100000000000001" customHeight="1">
      <c r="A209" s="20" t="s">
        <v>337</v>
      </c>
      <c r="B209" s="21" t="s">
        <v>195</v>
      </c>
      <c r="C209" s="28">
        <f t="array" ref="C209">D209+E209+F209+G209</f>
        <v>0</v>
      </c>
      <c r="D209" s="28">
        <f t="array" ref="D209">IF($H$236=0,0,D$18*H209/$H$236)</f>
        <v>0</v>
      </c>
      <c r="E209" s="28">
        <f t="array" ref="E209">IF($H$236=0,0,E$18*H209/$H$236)</f>
        <v>0</v>
      </c>
      <c r="F209" s="28">
        <f t="array" ref="F209">IF($I$236=0,0,F$18*I209/$I$236)</f>
        <v>0</v>
      </c>
      <c r="G209" s="28">
        <f t="array" ref="G209">IF($I$236=0,0,G$18*I209/$I$236)</f>
        <v>0</v>
      </c>
      <c r="H209" s="24"/>
      <c r="I209" s="24"/>
      <c r="J209" s="30"/>
      <c r="K209" s="30"/>
      <c r="L209" s="12"/>
    </row>
    <row r="210" spans="1:12" ht="20.100000000000001" customHeight="1">
      <c r="A210" s="20" t="s">
        <v>338</v>
      </c>
      <c r="B210" s="21" t="s">
        <v>197</v>
      </c>
      <c r="C210" s="28">
        <f t="array" ref="C210">D210+E210+F210+G210</f>
        <v>0</v>
      </c>
      <c r="D210" s="28">
        <f t="array" ref="D210">IF($H$236=0,0,D$18*H210/$H$236)</f>
        <v>0</v>
      </c>
      <c r="E210" s="28">
        <f t="array" ref="E210">IF($H$236=0,0,E$18*H210/$H$236)</f>
        <v>0</v>
      </c>
      <c r="F210" s="28">
        <f t="array" ref="F210">IF($I$236=0,0,F$18*I210/$I$236)</f>
        <v>0</v>
      </c>
      <c r="G210" s="28">
        <f t="array" ref="G210">IF($I$236=0,0,G$18*I210/$I$236)</f>
        <v>0</v>
      </c>
      <c r="H210" s="24"/>
      <c r="I210" s="24"/>
      <c r="J210" s="30"/>
      <c r="K210" s="30"/>
      <c r="L210" s="12"/>
    </row>
    <row r="211" spans="1:12" ht="20.100000000000001" customHeight="1">
      <c r="A211" s="20" t="s">
        <v>339</v>
      </c>
      <c r="B211" s="21" t="s">
        <v>199</v>
      </c>
      <c r="C211" s="28">
        <f t="array" ref="C211">D211+E211+F211+G211</f>
        <v>0</v>
      </c>
      <c r="D211" s="28">
        <f t="array" ref="D211">IF($H$236=0,0,D$18*H211/$H$236)</f>
        <v>0</v>
      </c>
      <c r="E211" s="28">
        <f t="array" ref="E211">IF($H$236=0,0,E$18*H211/$H$236)</f>
        <v>0</v>
      </c>
      <c r="F211" s="28">
        <f t="array" ref="F211">IF($I$236=0,0,F$18*I211/$I$236)</f>
        <v>0</v>
      </c>
      <c r="G211" s="28">
        <f t="array" ref="G211">IF($I$236=0,0,G$18*I211/$I$236)</f>
        <v>0</v>
      </c>
      <c r="H211" s="24"/>
      <c r="I211" s="24"/>
      <c r="J211" s="30"/>
      <c r="K211" s="30"/>
      <c r="L211" s="12"/>
    </row>
    <row r="212" spans="1:12" ht="20.100000000000001" customHeight="1">
      <c r="A212" s="20" t="s">
        <v>340</v>
      </c>
      <c r="B212" s="21" t="s">
        <v>201</v>
      </c>
      <c r="C212" s="28">
        <f t="array" ref="C212">D212+E212+F212+G212</f>
        <v>0</v>
      </c>
      <c r="D212" s="28">
        <f t="array" ref="D212">IF($H$236=0,0,D$18*H212/$H$236)</f>
        <v>0</v>
      </c>
      <c r="E212" s="28">
        <f t="array" ref="E212">IF($H$236=0,0,E$18*H212/$H$236)</f>
        <v>0</v>
      </c>
      <c r="F212" s="28">
        <f t="array" ref="F212">IF($I$236=0,0,F$18*I212/$I$236)</f>
        <v>0</v>
      </c>
      <c r="G212" s="28">
        <f t="array" ref="G212">IF($I$236=0,0,G$18*I212/$I$236)</f>
        <v>0</v>
      </c>
      <c r="H212" s="24"/>
      <c r="I212" s="24"/>
      <c r="J212" s="30"/>
      <c r="K212" s="30"/>
      <c r="L212" s="12"/>
    </row>
    <row r="213" spans="1:12" ht="20.100000000000001" customHeight="1">
      <c r="A213" s="20" t="s">
        <v>341</v>
      </c>
      <c r="B213" s="21" t="s">
        <v>203</v>
      </c>
      <c r="C213" s="28">
        <f t="array" ref="C213">D213+E213+F213+G213</f>
        <v>0</v>
      </c>
      <c r="D213" s="28">
        <f t="array" ref="D213">IF($H$236=0,0,D$18*H213/$H$236)</f>
        <v>0</v>
      </c>
      <c r="E213" s="28">
        <f t="array" ref="E213">IF($H$236=0,0,E$18*H213/$H$236)</f>
        <v>0</v>
      </c>
      <c r="F213" s="28">
        <f t="array" ref="F213">IF($I$236=0,0,F$18*I213/$I$236)</f>
        <v>0</v>
      </c>
      <c r="G213" s="28">
        <f t="array" ref="G213">IF($I$236=0,0,G$18*I213/$I$236)</f>
        <v>0</v>
      </c>
      <c r="H213" s="24"/>
      <c r="I213" s="24"/>
      <c r="J213" s="30"/>
      <c r="K213" s="30"/>
      <c r="L213" s="12"/>
    </row>
    <row r="214" spans="1:12" ht="20.100000000000001" customHeight="1">
      <c r="A214" s="20" t="s">
        <v>342</v>
      </c>
      <c r="B214" s="21" t="s">
        <v>205</v>
      </c>
      <c r="C214" s="28">
        <f t="array" ref="C214">D214+E214+F214+G214</f>
        <v>0</v>
      </c>
      <c r="D214" s="28">
        <f t="array" ref="D214">IF($H$236=0,0,D$18*H214/$H$236)</f>
        <v>0</v>
      </c>
      <c r="E214" s="28">
        <f t="array" ref="E214">IF($H$236=0,0,E$18*H214/$H$236)</f>
        <v>0</v>
      </c>
      <c r="F214" s="28">
        <f t="array" ref="F214">IF($I$236=0,0,F$18*I214/$I$236)</f>
        <v>0</v>
      </c>
      <c r="G214" s="28">
        <f t="array" ref="G214">IF($I$236=0,0,G$18*I214/$I$236)</f>
        <v>0</v>
      </c>
      <c r="H214" s="24"/>
      <c r="I214" s="24"/>
      <c r="J214" s="30"/>
      <c r="K214" s="30"/>
      <c r="L214" s="12"/>
    </row>
    <row r="215" spans="1:12" ht="20.100000000000001" customHeight="1">
      <c r="A215" s="20" t="s">
        <v>343</v>
      </c>
      <c r="B215" s="21" t="s">
        <v>207</v>
      </c>
      <c r="C215" s="28">
        <f t="array" ref="C215">D215+E215+F215+G215</f>
        <v>0</v>
      </c>
      <c r="D215" s="28">
        <f t="array" ref="D215">IF($H$236=0,0,D$18*H215/$H$236)</f>
        <v>0</v>
      </c>
      <c r="E215" s="28">
        <f t="array" ref="E215">IF($H$236=0,0,E$18*H215/$H$236)</f>
        <v>0</v>
      </c>
      <c r="F215" s="28">
        <f t="array" ref="F215">IF($I$236=0,0,F$18*I215/$I$236)</f>
        <v>0</v>
      </c>
      <c r="G215" s="28">
        <f t="array" ref="G215">IF($I$236=0,0,G$18*I215/$I$236)</f>
        <v>0</v>
      </c>
      <c r="H215" s="24"/>
      <c r="I215" s="24"/>
      <c r="J215" s="30"/>
      <c r="K215" s="30"/>
      <c r="L215" s="12"/>
    </row>
    <row r="216" spans="1:12" ht="20.100000000000001" customHeight="1">
      <c r="A216" s="20" t="s">
        <v>344</v>
      </c>
      <c r="B216" s="21" t="s">
        <v>209</v>
      </c>
      <c r="C216" s="28">
        <f t="array" ref="C216">D216+E216+F216+G216</f>
        <v>0</v>
      </c>
      <c r="D216" s="28">
        <f t="array" ref="D216">IF($H$236=0,0,D$18*H216/$H$236)</f>
        <v>0</v>
      </c>
      <c r="E216" s="28">
        <f t="array" ref="E216">IF($H$236=0,0,E$18*H216/$H$236)</f>
        <v>0</v>
      </c>
      <c r="F216" s="28">
        <f t="array" ref="F216">IF($I$236=0,0,F$18*I216/$I$236)</f>
        <v>0</v>
      </c>
      <c r="G216" s="28">
        <f t="array" ref="G216">IF($I$236=0,0,G$18*I216/$I$236)</f>
        <v>0</v>
      </c>
      <c r="H216" s="24"/>
      <c r="I216" s="24"/>
      <c r="J216" s="30"/>
      <c r="K216" s="30"/>
      <c r="L216" s="12"/>
    </row>
    <row r="217" spans="1:12" ht="20.100000000000001" customHeight="1">
      <c r="A217" s="20" t="s">
        <v>345</v>
      </c>
      <c r="B217" s="21" t="s">
        <v>211</v>
      </c>
      <c r="C217" s="28">
        <f t="array" ref="C217">D217+E217+F217+G217</f>
        <v>0</v>
      </c>
      <c r="D217" s="28">
        <f t="array" ref="D217">IF($H$236=0,0,D$18*H217/$H$236)</f>
        <v>0</v>
      </c>
      <c r="E217" s="28">
        <f t="array" ref="E217">IF($H$236=0,0,E$18*H217/$H$236)</f>
        <v>0</v>
      </c>
      <c r="F217" s="28">
        <f t="array" ref="F217">IF($I$236=0,0,F$18*I217/$I$236)</f>
        <v>0</v>
      </c>
      <c r="G217" s="28">
        <f t="array" ref="G217">IF($I$236=0,0,G$18*I217/$I$236)</f>
        <v>0</v>
      </c>
      <c r="H217" s="24"/>
      <c r="I217" s="24"/>
      <c r="J217" s="30"/>
      <c r="K217" s="30"/>
      <c r="L217" s="12"/>
    </row>
    <row r="218" spans="1:12" ht="20.100000000000001" customHeight="1">
      <c r="A218" s="20" t="s">
        <v>346</v>
      </c>
      <c r="B218" s="21" t="s">
        <v>213</v>
      </c>
      <c r="C218" s="28">
        <f t="array" ref="C218">D218+E218+F218+G218</f>
        <v>0</v>
      </c>
      <c r="D218" s="28">
        <f t="array" ref="D218">IF($H$236=0,0,D$18*H218/$H$236)</f>
        <v>0</v>
      </c>
      <c r="E218" s="28">
        <f t="array" ref="E218">IF($H$236=0,0,E$18*H218/$H$236)</f>
        <v>0</v>
      </c>
      <c r="F218" s="28">
        <f t="array" ref="F218">IF($I$236=0,0,F$18*I218/$I$236)</f>
        <v>0</v>
      </c>
      <c r="G218" s="28">
        <f t="array" ref="G218">IF($I$236=0,0,G$18*I218/$I$236)</f>
        <v>0</v>
      </c>
      <c r="H218" s="24"/>
      <c r="I218" s="24"/>
      <c r="J218" s="30"/>
      <c r="K218" s="30"/>
      <c r="L218" s="12"/>
    </row>
    <row r="219" spans="1:12" ht="20.100000000000001" customHeight="1">
      <c r="A219" s="20" t="s">
        <v>347</v>
      </c>
      <c r="B219" s="21" t="s">
        <v>215</v>
      </c>
      <c r="C219" s="28">
        <f t="array" ref="C219">D219+E219+F219+G219</f>
        <v>0</v>
      </c>
      <c r="D219" s="28">
        <f t="array" ref="D219">IF($H$236=0,0,D$18*H219/$H$236)</f>
        <v>0</v>
      </c>
      <c r="E219" s="28">
        <f t="array" ref="E219">IF($H$236=0,0,E$18*H219/$H$236)</f>
        <v>0</v>
      </c>
      <c r="F219" s="28">
        <f t="array" ref="F219">IF($I$236=0,0,F$18*I219/$I$236)</f>
        <v>0</v>
      </c>
      <c r="G219" s="28">
        <f t="array" ref="G219">IF($I$236=0,0,G$18*I219/$I$236)</f>
        <v>0</v>
      </c>
      <c r="H219" s="24"/>
      <c r="I219" s="24"/>
      <c r="J219" s="30"/>
      <c r="K219" s="30"/>
      <c r="L219" s="12"/>
    </row>
    <row r="220" spans="1:12" ht="20.100000000000001" customHeight="1">
      <c r="A220" s="20" t="s">
        <v>348</v>
      </c>
      <c r="B220" s="21" t="s">
        <v>217</v>
      </c>
      <c r="C220" s="28">
        <f t="array" ref="C220">D220+E220+F220+G220</f>
        <v>0</v>
      </c>
      <c r="D220" s="28">
        <f t="array" ref="D220">IF($H$236=0,0,D$18*H220/$H$236)</f>
        <v>0</v>
      </c>
      <c r="E220" s="28">
        <f t="array" ref="E220">IF($H$236=0,0,E$18*H220/$H$236)</f>
        <v>0</v>
      </c>
      <c r="F220" s="28">
        <f t="array" ref="F220">IF($I$236=0,0,F$18*I220/$I$236)</f>
        <v>0</v>
      </c>
      <c r="G220" s="28">
        <f t="array" ref="G220">IF($I$236=0,0,G$18*I220/$I$236)</f>
        <v>0</v>
      </c>
      <c r="H220" s="24"/>
      <c r="I220" s="24"/>
      <c r="J220" s="30"/>
      <c r="K220" s="30"/>
      <c r="L220" s="12"/>
    </row>
    <row r="221" spans="1:12" ht="20.100000000000001" customHeight="1">
      <c r="A221" s="20" t="s">
        <v>349</v>
      </c>
      <c r="B221" s="21" t="s">
        <v>219</v>
      </c>
      <c r="C221" s="28">
        <f t="array" ref="C221">D221+E221+F221+G221</f>
        <v>0</v>
      </c>
      <c r="D221" s="28">
        <f t="array" ref="D221">IF($H$236=0,0,D$18*H221/$H$236)</f>
        <v>0</v>
      </c>
      <c r="E221" s="28">
        <f t="array" ref="E221">IF($H$236=0,0,E$18*H221/$H$236)</f>
        <v>0</v>
      </c>
      <c r="F221" s="28">
        <f t="array" ref="F221">IF($I$236=0,0,F$18*I221/$I$236)</f>
        <v>0</v>
      </c>
      <c r="G221" s="28">
        <f t="array" ref="G221">IF($I$236=0,0,G$18*I221/$I$236)</f>
        <v>0</v>
      </c>
      <c r="H221" s="24"/>
      <c r="I221" s="24"/>
      <c r="J221" s="30"/>
      <c r="K221" s="30"/>
      <c r="L221" s="12"/>
    </row>
    <row r="222" spans="1:12" ht="20.100000000000001" customHeight="1">
      <c r="A222" s="20" t="s">
        <v>350</v>
      </c>
      <c r="B222" s="21" t="s">
        <v>221</v>
      </c>
      <c r="C222" s="28">
        <f t="array" ref="C222">D222+E222+F222+G222</f>
        <v>0</v>
      </c>
      <c r="D222" s="28">
        <f t="array" ref="D222">IF($H$236=0,0,D$18*H222/$H$236)</f>
        <v>0</v>
      </c>
      <c r="E222" s="28">
        <f t="array" ref="E222">IF($H$236=0,0,E$18*H222/$H$236)</f>
        <v>0</v>
      </c>
      <c r="F222" s="28">
        <f t="array" ref="F222">IF($I$236=0,0,F$18*I222/$I$236)</f>
        <v>0</v>
      </c>
      <c r="G222" s="28">
        <f t="array" ref="G222">IF($I$236=0,0,G$18*I222/$I$236)</f>
        <v>0</v>
      </c>
      <c r="H222" s="24"/>
      <c r="I222" s="24"/>
      <c r="J222" s="30"/>
      <c r="K222" s="30"/>
      <c r="L222" s="12"/>
    </row>
    <row r="223" spans="1:12" ht="20.100000000000001" customHeight="1">
      <c r="A223" s="20" t="s">
        <v>351</v>
      </c>
      <c r="B223" s="21" t="s">
        <v>223</v>
      </c>
      <c r="C223" s="28">
        <f t="array" ref="C223">D223+E223+F223+G223</f>
        <v>0</v>
      </c>
      <c r="D223" s="28">
        <f t="array" ref="D223">IF($H$236=0,0,D$18*H223/$H$236)</f>
        <v>0</v>
      </c>
      <c r="E223" s="28">
        <f t="array" ref="E223">IF($H$236=0,0,E$18*H223/$H$236)</f>
        <v>0</v>
      </c>
      <c r="F223" s="28">
        <f t="array" ref="F223">IF($I$236=0,0,F$18*I223/$I$236)</f>
        <v>0</v>
      </c>
      <c r="G223" s="28">
        <f t="array" ref="G223">IF($I$236=0,0,G$18*I223/$I$236)</f>
        <v>0</v>
      </c>
      <c r="H223" s="24"/>
      <c r="I223" s="24"/>
      <c r="J223" s="30"/>
      <c r="K223" s="30"/>
      <c r="L223" s="12"/>
    </row>
    <row r="224" spans="1:12" ht="20.100000000000001" customHeight="1">
      <c r="A224" s="20" t="s">
        <v>352</v>
      </c>
      <c r="B224" s="21" t="s">
        <v>225</v>
      </c>
      <c r="C224" s="28">
        <f t="array" ref="C224">D224+E224+F224+G224</f>
        <v>0</v>
      </c>
      <c r="D224" s="28">
        <f t="array" ref="D224">IF($H$236=0,0,D$18*H224/$H$236)</f>
        <v>0</v>
      </c>
      <c r="E224" s="28">
        <f t="array" ref="E224">IF($H$236=0,0,E$18*H224/$H$236)</f>
        <v>0</v>
      </c>
      <c r="F224" s="28">
        <f t="array" ref="F224">IF($I$236=0,0,F$18*I224/$I$236)</f>
        <v>0</v>
      </c>
      <c r="G224" s="28">
        <f t="array" ref="G224">IF($I$236=0,0,G$18*I224/$I$236)</f>
        <v>0</v>
      </c>
      <c r="H224" s="24"/>
      <c r="I224" s="24"/>
      <c r="J224" s="30"/>
      <c r="K224" s="30"/>
      <c r="L224" s="12"/>
    </row>
    <row r="225" spans="1:12" ht="20.100000000000001" customHeight="1">
      <c r="A225" s="20" t="s">
        <v>353</v>
      </c>
      <c r="B225" s="21" t="s">
        <v>227</v>
      </c>
      <c r="C225" s="28">
        <f t="array" ref="C225">D225+E225+F225+G225</f>
        <v>0</v>
      </c>
      <c r="D225" s="28">
        <f t="array" ref="D225">IF($H$236=0,0,D$18*H225/$H$236)</f>
        <v>0</v>
      </c>
      <c r="E225" s="28">
        <f t="array" ref="E225">IF($H$236=0,0,E$18*H225/$H$236)</f>
        <v>0</v>
      </c>
      <c r="F225" s="28">
        <f t="array" ref="F225">IF($I$236=0,0,F$18*I225/$I$236)</f>
        <v>0</v>
      </c>
      <c r="G225" s="28">
        <f t="array" ref="G225">IF($I$236=0,0,G$18*I225/$I$236)</f>
        <v>0</v>
      </c>
      <c r="H225" s="24"/>
      <c r="I225" s="24"/>
      <c r="J225" s="30"/>
      <c r="K225" s="30"/>
      <c r="L225" s="12"/>
    </row>
    <row r="226" spans="1:12" ht="20.100000000000001" customHeight="1">
      <c r="A226" s="20" t="s">
        <v>354</v>
      </c>
      <c r="B226" s="21" t="s">
        <v>229</v>
      </c>
      <c r="C226" s="28">
        <f t="array" ref="C226">D226+E226+F226+G226</f>
        <v>0</v>
      </c>
      <c r="D226" s="28">
        <f t="array" ref="D226">IF($H$236=0,0,D$18*H226/$H$236)</f>
        <v>0</v>
      </c>
      <c r="E226" s="28">
        <f t="array" ref="E226">IF($H$236=0,0,E$18*H226/$H$236)</f>
        <v>0</v>
      </c>
      <c r="F226" s="28">
        <f t="array" ref="F226">IF($I$236=0,0,F$18*I226/$I$236)</f>
        <v>0</v>
      </c>
      <c r="G226" s="28">
        <f t="array" ref="G226">IF($I$236=0,0,G$18*I226/$I$236)</f>
        <v>0</v>
      </c>
      <c r="H226" s="24"/>
      <c r="I226" s="24"/>
      <c r="J226" s="30"/>
      <c r="K226" s="30"/>
      <c r="L226" s="12"/>
    </row>
    <row r="227" spans="1:12" ht="20.100000000000001" customHeight="1">
      <c r="A227" s="20" t="s">
        <v>355</v>
      </c>
      <c r="B227" s="21" t="s">
        <v>231</v>
      </c>
      <c r="C227" s="28">
        <f t="array" ref="C227">D227+E227+F227+G227</f>
        <v>0</v>
      </c>
      <c r="D227" s="28">
        <f t="array" ref="D227">IF($H$236=0,0,D$18*H227/$H$236)</f>
        <v>0</v>
      </c>
      <c r="E227" s="28">
        <f t="array" ref="E227">IF($H$236=0,0,E$18*H227/$H$236)</f>
        <v>0</v>
      </c>
      <c r="F227" s="28">
        <f t="array" ref="F227">IF($I$236=0,0,F$18*I227/$I$236)</f>
        <v>0</v>
      </c>
      <c r="G227" s="28">
        <f t="array" ref="G227">IF($I$236=0,0,G$18*I227/$I$236)</f>
        <v>0</v>
      </c>
      <c r="H227" s="24"/>
      <c r="I227" s="24"/>
      <c r="J227" s="30"/>
      <c r="K227" s="30"/>
      <c r="L227" s="12"/>
    </row>
    <row r="228" spans="1:12" ht="20.100000000000001" customHeight="1">
      <c r="A228" s="20" t="s">
        <v>356</v>
      </c>
      <c r="B228" s="21" t="s">
        <v>233</v>
      </c>
      <c r="C228" s="28">
        <f t="array" ref="C228">D228+E228+F228+G228</f>
        <v>0</v>
      </c>
      <c r="D228" s="28">
        <f t="array" ref="D228">IF($H$236=0,0,D$18*H228/$H$236)</f>
        <v>0</v>
      </c>
      <c r="E228" s="28">
        <f t="array" ref="E228">IF($H$236=0,0,E$18*H228/$H$236)</f>
        <v>0</v>
      </c>
      <c r="F228" s="28">
        <f t="array" ref="F228">IF($I$236=0,0,F$18*I228/$I$236)</f>
        <v>0</v>
      </c>
      <c r="G228" s="28">
        <f t="array" ref="G228">IF($I$236=0,0,G$18*I228/$I$236)</f>
        <v>0</v>
      </c>
      <c r="H228" s="24"/>
      <c r="I228" s="24"/>
      <c r="J228" s="30"/>
      <c r="K228" s="30"/>
      <c r="L228" s="12"/>
    </row>
    <row r="229" spans="1:12" ht="20.100000000000001" customHeight="1">
      <c r="A229" s="20" t="s">
        <v>357</v>
      </c>
      <c r="B229" s="21" t="s">
        <v>235</v>
      </c>
      <c r="C229" s="28">
        <f t="array" ref="C229">D229+E229+F229+G229</f>
        <v>0</v>
      </c>
      <c r="D229" s="28">
        <f t="array" ref="D229">IF($H$236=0,0,D$18*H229/$H$236)</f>
        <v>0</v>
      </c>
      <c r="E229" s="28">
        <f t="array" ref="E229">IF($H$236=0,0,E$18*H229/$H$236)</f>
        <v>0</v>
      </c>
      <c r="F229" s="28">
        <f t="array" ref="F229">IF($I$236=0,0,F$18*I229/$I$236)</f>
        <v>0</v>
      </c>
      <c r="G229" s="28">
        <f t="array" ref="G229">IF($I$236=0,0,G$18*I229/$I$236)</f>
        <v>0</v>
      </c>
      <c r="H229" s="24"/>
      <c r="I229" s="24"/>
      <c r="J229" s="30"/>
      <c r="K229" s="30"/>
      <c r="L229" s="12"/>
    </row>
    <row r="230" spans="1:12" ht="20.100000000000001" customHeight="1">
      <c r="A230" s="20" t="s">
        <v>358</v>
      </c>
      <c r="B230" s="21" t="s">
        <v>237</v>
      </c>
      <c r="C230" s="28">
        <f t="array" ref="C230">D230+E230+F230+G230</f>
        <v>0</v>
      </c>
      <c r="D230" s="28">
        <f t="array" ref="D230">IF($H$236=0,0,D$18*H230/$H$236)</f>
        <v>0</v>
      </c>
      <c r="E230" s="28">
        <f t="array" ref="E230">IF($H$236=0,0,E$18*H230/$H$236)</f>
        <v>0</v>
      </c>
      <c r="F230" s="28">
        <f t="array" ref="F230">IF($I$236=0,0,F$18*I230/$I$236)</f>
        <v>0</v>
      </c>
      <c r="G230" s="28">
        <f t="array" ref="G230">IF($I$236=0,0,G$18*I230/$I$236)</f>
        <v>0</v>
      </c>
      <c r="H230" s="24"/>
      <c r="I230" s="24"/>
      <c r="J230" s="30"/>
      <c r="K230" s="30"/>
      <c r="L230" s="12"/>
    </row>
    <row r="231" spans="1:12" ht="20.100000000000001" customHeight="1">
      <c r="A231" s="20" t="s">
        <v>359</v>
      </c>
      <c r="B231" s="21" t="s">
        <v>239</v>
      </c>
      <c r="C231" s="28">
        <f t="array" ref="C231">D231+E231+F231+G231</f>
        <v>0</v>
      </c>
      <c r="D231" s="28">
        <f t="array" ref="D231">IF($H$236=0,0,D$18*H231/$H$236)</f>
        <v>0</v>
      </c>
      <c r="E231" s="28">
        <f t="array" ref="E231">IF($H$236=0,0,E$18*H231/$H$236)</f>
        <v>0</v>
      </c>
      <c r="F231" s="28">
        <f t="array" ref="F231">IF($I$236=0,0,F$18*I231/$I$236)</f>
        <v>0</v>
      </c>
      <c r="G231" s="28">
        <f t="array" ref="G231">IF($I$236=0,0,G$18*I231/$I$236)</f>
        <v>0</v>
      </c>
      <c r="H231" s="24"/>
      <c r="I231" s="24"/>
      <c r="J231" s="30"/>
      <c r="K231" s="30"/>
      <c r="L231" s="12"/>
    </row>
    <row r="232" spans="1:12" ht="20.100000000000001" customHeight="1">
      <c r="A232" s="20" t="s">
        <v>360</v>
      </c>
      <c r="B232" s="21" t="s">
        <v>241</v>
      </c>
      <c r="C232" s="28">
        <f t="array" ref="C232">D232+E232+F232+G232</f>
        <v>0</v>
      </c>
      <c r="D232" s="28">
        <f t="array" ref="D232">IF($H$236=0,0,D$18*H232/$H$236)</f>
        <v>0</v>
      </c>
      <c r="E232" s="28">
        <f t="array" ref="E232">IF($H$236=0,0,E$18*H232/$H$236)</f>
        <v>0</v>
      </c>
      <c r="F232" s="28">
        <f t="array" ref="F232">IF($I$236=0,0,F$18*I232/$I$236)</f>
        <v>0</v>
      </c>
      <c r="G232" s="28">
        <f t="array" ref="G232">IF($I$236=0,0,G$18*I232/$I$236)</f>
        <v>0</v>
      </c>
      <c r="H232" s="24"/>
      <c r="I232" s="24"/>
      <c r="J232" s="30"/>
      <c r="K232" s="30"/>
      <c r="L232" s="12"/>
    </row>
    <row r="233" spans="1:12" ht="20.100000000000001" customHeight="1">
      <c r="A233" s="20" t="s">
        <v>361</v>
      </c>
      <c r="B233" s="21" t="s">
        <v>243</v>
      </c>
      <c r="C233" s="28">
        <f t="array" ref="C233">D233+E233+F233+G233</f>
        <v>0</v>
      </c>
      <c r="D233" s="28">
        <f t="array" ref="D233">IF($H$236=0,0,D$18*H233/$H$236)</f>
        <v>0</v>
      </c>
      <c r="E233" s="28">
        <f t="array" ref="E233">IF($H$236=0,0,E$18*H233/$H$236)</f>
        <v>0</v>
      </c>
      <c r="F233" s="28">
        <f t="array" ref="F233">IF($I$236=0,0,F$18*I233/$I$236)</f>
        <v>0</v>
      </c>
      <c r="G233" s="28">
        <f t="array" ref="G233">IF($I$236=0,0,G$18*I233/$I$236)</f>
        <v>0</v>
      </c>
      <c r="H233" s="24"/>
      <c r="I233" s="24"/>
      <c r="J233" s="30"/>
      <c r="K233" s="30"/>
      <c r="L233" s="12"/>
    </row>
    <row r="234" spans="1:12" ht="20.100000000000001" customHeight="1">
      <c r="A234" s="20" t="s">
        <v>362</v>
      </c>
      <c r="B234" s="21" t="s">
        <v>245</v>
      </c>
      <c r="C234" s="28">
        <f t="array" ref="C234">D234+E234+F234+G234</f>
        <v>0</v>
      </c>
      <c r="D234" s="28">
        <f t="array" ref="D234">IF($H$236=0,0,D$18*H234/$H$236)</f>
        <v>0</v>
      </c>
      <c r="E234" s="28">
        <f t="array" ref="E234">IF($H$236=0,0,E$18*H234/$H$236)</f>
        <v>0</v>
      </c>
      <c r="F234" s="28">
        <f t="array" ref="F234">IF($I$236=0,0,F$18*I234/$I$236)</f>
        <v>0</v>
      </c>
      <c r="G234" s="28">
        <f t="array" ref="G234">IF($I$236=0,0,G$18*I234/$I$236)</f>
        <v>0</v>
      </c>
      <c r="H234" s="24"/>
      <c r="I234" s="24"/>
      <c r="J234" s="30"/>
      <c r="K234" s="30"/>
      <c r="L234" s="12"/>
    </row>
    <row r="235" spans="1:12" ht="20.100000000000001" customHeight="1">
      <c r="A235" s="20" t="s">
        <v>363</v>
      </c>
      <c r="B235" s="21" t="s">
        <v>247</v>
      </c>
      <c r="C235" s="28">
        <f t="array" ref="C235">D235+E235+F235+G235</f>
        <v>0</v>
      </c>
      <c r="D235" s="28">
        <f t="array" ref="D235">IF($H$236=0,0,D$18*H235/$H$236)</f>
        <v>0</v>
      </c>
      <c r="E235" s="28">
        <f t="array" ref="E235">IF($H$236=0,0,E$18*H235/$H$236)</f>
        <v>0</v>
      </c>
      <c r="F235" s="28">
        <f t="array" ref="F235">IF($I$236=0,0,F$18*I235/$I$236)</f>
        <v>0</v>
      </c>
      <c r="G235" s="28">
        <f t="array" ref="G235">IF($I$236=0,0,G$18*I235/$I$236)</f>
        <v>0</v>
      </c>
      <c r="H235" s="24"/>
      <c r="I235" s="24"/>
      <c r="J235" s="30"/>
      <c r="K235" s="30"/>
      <c r="L235" s="12"/>
    </row>
    <row r="236" spans="1:12" ht="20.100000000000001" customHeight="1">
      <c r="A236" s="20" t="s">
        <v>364</v>
      </c>
      <c r="B236" s="21" t="s">
        <v>249</v>
      </c>
      <c r="C236" s="28">
        <f t="array" ref="C236">SUM(C136:C235)</f>
        <v>673380.00000000023</v>
      </c>
      <c r="D236" s="28">
        <f t="array" ref="D236">SUM(D136:D235)</f>
        <v>188182.99999999983</v>
      </c>
      <c r="E236" s="28">
        <f t="array" ref="E236">SUM(E136:E235)</f>
        <v>197721.99999999997</v>
      </c>
      <c r="F236" s="28">
        <f t="array" ref="F236">SUM(F136:F235)</f>
        <v>139575</v>
      </c>
      <c r="G236" s="28">
        <f t="array" ref="G236">SUM(G136:G235)</f>
        <v>147899.99999999997</v>
      </c>
      <c r="H236" s="28">
        <f t="array" ref="H236">SUM(H136:H235)</f>
        <v>447945</v>
      </c>
      <c r="I236" s="28">
        <f t="array" ref="I236">SUM(I136:I235)</f>
        <v>219930</v>
      </c>
      <c r="J236" s="28">
        <f t="array" ref="J236">SUM(J136:J235)</f>
        <v>0</v>
      </c>
      <c r="K236" s="12"/>
      <c r="L236" s="12">
        <f t="array" ref="L236">SUM(L136:L235)</f>
        <v>1</v>
      </c>
    </row>
    <row r="237" spans="1:12" ht="20.100000000000001" customHeight="1">
      <c r="A237" s="10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1:12" ht="20.100000000000001" customHeight="1">
      <c r="A238" s="20" t="s">
        <v>365</v>
      </c>
      <c r="B238" s="21" t="s">
        <v>39</v>
      </c>
      <c r="C238" s="26" t="str">
        <f t="array" ref="C238">IF(C239="","?",C239)&amp;IF(C240="","","; downloaded "&amp;C240)&amp;IF(C241="","","; "&amp;C241)</f>
        <v>https://ec.europa.eu/eurostat/databrowser/view/demo_facbc; downloaded 14.05.2026; Eurostat demo_facbc 2024: Geburten × Mutter-Alter × Geburtsland Mutter. 5-J-Bins gleichmäßig auf Einzelalter Mutter verteilt. Eingabe in H (Native_total) und I (Migrant_total) der Detail-Zeilen. Sheet verteilt auf D/E/F/G via D18-Pop-Struktur.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20.100000000000001" customHeight="1">
      <c r="A239" s="10"/>
      <c r="B239" s="21" t="s">
        <v>41</v>
      </c>
      <c r="C239" s="22" t="s">
        <v>366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20.100000000000001" customHeight="1">
      <c r="A240" s="10"/>
      <c r="B240" s="21" t="s">
        <v>43</v>
      </c>
      <c r="C240" s="27" t="s">
        <v>44</v>
      </c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1:12" ht="20.100000000000001" customHeight="1">
      <c r="A241" s="10"/>
      <c r="B241" s="21" t="s">
        <v>45</v>
      </c>
      <c r="C241" s="22" t="s">
        <v>367</v>
      </c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1:12" ht="20.100000000000001" customHeight="1">
      <c r="A242" s="10"/>
      <c r="B242" s="11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1:12" ht="20.100000000000001" customHeight="1">
      <c r="A243" s="10"/>
      <c r="B243" s="21" t="s">
        <v>368</v>
      </c>
      <c r="C243" s="12"/>
      <c r="D243" s="33">
        <f t="array" ref="D243">D236/$D118*1000000</f>
        <v>6382.6298098113084</v>
      </c>
      <c r="E243" s="33">
        <f t="array" ref="E243">E236/$D118*1000000</f>
        <v>6706.1654413815941</v>
      </c>
      <c r="F243" s="33">
        <f t="array" ref="F243">F236/$F118*1000000</f>
        <v>10893.89830863009</v>
      </c>
      <c r="G243" s="33">
        <f t="array" ref="G243">G236/$F118*1000000</f>
        <v>11543.668707479061</v>
      </c>
      <c r="H243" s="33">
        <f t="array" ref="H243">H236/$D118*1000000</f>
        <v>15193.014832136425</v>
      </c>
      <c r="I243" s="33">
        <f t="array" ref="I243">I236/$F118*1000000</f>
        <v>17165.646104366941</v>
      </c>
      <c r="J243" s="12"/>
      <c r="K243" s="12"/>
      <c r="L243" s="12"/>
    </row>
    <row r="244" spans="1:12" ht="20.100000000000001" customHeight="1">
      <c r="A244" s="10"/>
      <c r="B244" s="21" t="s">
        <v>369</v>
      </c>
      <c r="C244" s="31">
        <f t="array" ref="C244">C18/C$118</f>
        <v>8.0569876390365197E-3</v>
      </c>
      <c r="D244" s="31">
        <f t="array" ref="D244">D18/D$118</f>
        <v>6.3826298098113143E-3</v>
      </c>
      <c r="E244" s="31">
        <f t="array" ref="E244">E18/E$118</f>
        <v>7.0131689963320986E-3</v>
      </c>
      <c r="F244" s="31">
        <f t="array" ref="F244">F18/F$118</f>
        <v>1.0893898308630091E-2</v>
      </c>
      <c r="G244" s="31">
        <f t="array" ref="G244">G18/G$118</f>
        <v>1.1300127411037666E-2</v>
      </c>
      <c r="H244" s="31">
        <f t="array" ref="H244">H18/H$118</f>
        <v>6.6908444773143257E-3</v>
      </c>
      <c r="I244" s="31">
        <f t="array" ref="I244">I18/I$118</f>
        <v>1.1099178295949209E-2</v>
      </c>
      <c r="J244" s="31">
        <f t="array" ref="J244">J18/J$118</f>
        <v>7.7491794522642453E-3</v>
      </c>
      <c r="K244" s="31">
        <f t="array" ref="K244">K18/K$118</f>
        <v>8.3723604791698832E-3</v>
      </c>
      <c r="L244" s="12"/>
    </row>
    <row r="245" spans="1:12" ht="20.100000000000001" customHeight="1">
      <c r="A245" s="10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1:12" ht="26.85" customHeight="1">
      <c r="A246" s="16"/>
      <c r="B246" s="17" t="s">
        <v>370</v>
      </c>
      <c r="C246" s="23" t="s">
        <v>371</v>
      </c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ht="92.1" customHeight="1">
      <c r="A247" s="10"/>
      <c r="B247" s="11"/>
      <c r="C247" s="25"/>
      <c r="D247" s="34"/>
      <c r="E247" s="34"/>
      <c r="F247" s="34"/>
      <c r="G247" s="34"/>
      <c r="H247" s="35" t="s">
        <v>372</v>
      </c>
      <c r="I247" s="35" t="s">
        <v>372</v>
      </c>
      <c r="J247" s="34"/>
      <c r="K247" s="34"/>
      <c r="L247" s="36"/>
    </row>
    <row r="248" spans="1:12" ht="20.100000000000001" customHeight="1">
      <c r="A248" s="20" t="s">
        <v>373</v>
      </c>
      <c r="B248" s="21" t="s">
        <v>374</v>
      </c>
      <c r="C248" s="37">
        <v>1.36</v>
      </c>
      <c r="D248" s="28">
        <f t="array" ref="D248">H248*D18/(D18+E18)</f>
        <v>0</v>
      </c>
      <c r="E248" s="28">
        <f t="array" ref="E248">H248*E18/(D18+E18)</f>
        <v>0</v>
      </c>
      <c r="F248" s="28">
        <f t="array" ref="F248">I248*F18/(F18+G18)</f>
        <v>0</v>
      </c>
      <c r="G248" s="28">
        <f t="array" ref="G248">I248*G18/(F18+G18)</f>
        <v>0</v>
      </c>
      <c r="H248" s="38"/>
      <c r="I248" s="38"/>
      <c r="J248" s="37">
        <f t="array" ref="J248">D248+F248</f>
        <v>0</v>
      </c>
      <c r="K248" s="37">
        <f t="array" ref="K248">E248+G248</f>
        <v>0</v>
      </c>
      <c r="L248" s="12"/>
    </row>
    <row r="249" spans="1:12" ht="20.100000000000001" customHeight="1">
      <c r="A249" s="20" t="s">
        <v>375</v>
      </c>
      <c r="B249" s="21" t="s">
        <v>376</v>
      </c>
      <c r="C249" s="37"/>
      <c r="D249" s="26">
        <f t="array" ref="D249">IF($D$118=0,0,D$18*$D$619/$D$118)</f>
        <v>0.53097097387820313</v>
      </c>
      <c r="E249" s="26">
        <f t="array" ref="E249">IF($D$118=0,0,E$18*$D$619/$D$118)</f>
        <v>0.55788590306853481</v>
      </c>
      <c r="F249" s="26">
        <f t="array" ref="F249">IF($F$118=0,0,F$18*$F$619/$F$118)</f>
        <v>0.90626340029493724</v>
      </c>
      <c r="G249" s="26">
        <f t="array" ref="G249">IF($F$118=0,0,G$18*$F$619/$F$118)</f>
        <v>0.96031779977518339</v>
      </c>
      <c r="H249" s="26">
        <f t="array" ref="H249">IF($D$118=0,0,H$18*$D$619/$D$118)</f>
        <v>1.0888568769467379</v>
      </c>
      <c r="I249" s="26">
        <f t="array" ref="I249">IF($F$118=0,0,I$18*$F$619/$F$118)</f>
        <v>1.8665812000701205</v>
      </c>
      <c r="J249" s="12"/>
      <c r="K249" s="12"/>
      <c r="L249" s="12"/>
    </row>
    <row r="250" spans="1:12" ht="20.100000000000001" customHeight="1">
      <c r="A250" s="10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1:12" ht="20.100000000000001" customHeight="1">
      <c r="A251" s="20" t="s">
        <v>377</v>
      </c>
      <c r="B251" s="21" t="s">
        <v>39</v>
      </c>
      <c r="C251" s="26" t="s">
        <v>378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ht="20.100000000000001" customHeight="1">
      <c r="A252" s="10"/>
      <c r="B252" s="21" t="s">
        <v>41</v>
      </c>
      <c r="C252" s="22" t="s">
        <v>379</v>
      </c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1:12" ht="20.100000000000001" customHeight="1">
      <c r="A253" s="10"/>
      <c r="B253" s="21" t="s">
        <v>43</v>
      </c>
      <c r="C253" s="27" t="s">
        <v>44</v>
      </c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1:12" ht="20.100000000000001" customHeight="1">
      <c r="A254" s="10"/>
      <c r="B254" s="21" t="s">
        <v>45</v>
      </c>
      <c r="C254" s="22" t="s">
        <v>380</v>
      </c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1:12" ht="20.100000000000001" customHeight="1">
      <c r="A255" s="10"/>
      <c r="B255" s="11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spans="1:12" ht="20.100000000000001" customHeight="1">
      <c r="A256" s="10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1:12" ht="26.85" customHeight="1">
      <c r="A257" s="16"/>
      <c r="B257" s="17" t="s">
        <v>381</v>
      </c>
      <c r="C257" s="23" t="s">
        <v>382</v>
      </c>
      <c r="D257" s="19"/>
      <c r="E257" s="19"/>
      <c r="F257" s="19"/>
      <c r="G257" s="19"/>
      <c r="H257" s="19"/>
      <c r="I257" s="19"/>
      <c r="J257" s="19"/>
      <c r="K257" s="19"/>
      <c r="L257" s="19"/>
    </row>
    <row r="258" spans="1:12" ht="32.1" customHeight="1">
      <c r="A258" s="10"/>
      <c r="B258" s="32" t="s">
        <v>383</v>
      </c>
      <c r="C258" s="28">
        <f t="array" ref="C258">D258+E258+F258+G258</f>
        <v>0</v>
      </c>
      <c r="D258" s="24"/>
      <c r="E258" s="24"/>
      <c r="F258" s="24"/>
      <c r="G258" s="24"/>
      <c r="H258" s="30">
        <f t="array" ref="H258">E258+D258</f>
        <v>0</v>
      </c>
      <c r="I258" s="30">
        <f t="array" ref="I258">G258+F258</f>
        <v>0</v>
      </c>
      <c r="J258" s="30">
        <f t="array" ref="J258">D258+F258</f>
        <v>0</v>
      </c>
      <c r="K258" s="30">
        <f t="array" ref="K258">E258+G258</f>
        <v>0</v>
      </c>
      <c r="L258" s="12"/>
    </row>
    <row r="259" spans="1:12" ht="32.1" customHeight="1">
      <c r="A259" s="10"/>
      <c r="B259" s="32" t="s">
        <v>384</v>
      </c>
      <c r="C259" s="28">
        <f t="array" ref="C259">D259+E259+F259+G259</f>
        <v>0</v>
      </c>
      <c r="D259" s="28">
        <f t="array" ref="D259">IF($J15=0,0,$J259*D15/$J15)</f>
        <v>0</v>
      </c>
      <c r="E259" s="28">
        <f t="array" ref="E259">IF($K15=0,0,$K259*E15/$K15)</f>
        <v>0</v>
      </c>
      <c r="F259" s="28">
        <f t="array" ref="F259">IF($J15=0,0,$J259*F15/$J15)</f>
        <v>0</v>
      </c>
      <c r="G259" s="28">
        <f t="array" ref="G259">IF($K15=0,0,$K259*G15/$K15)</f>
        <v>0</v>
      </c>
      <c r="H259" s="30">
        <f t="array" ref="H259">E259+D259</f>
        <v>0</v>
      </c>
      <c r="I259" s="30">
        <f t="array" ref="I259">G259+F259</f>
        <v>0</v>
      </c>
      <c r="J259" s="29"/>
      <c r="K259" s="29"/>
      <c r="L259" s="12"/>
    </row>
    <row r="260" spans="1:12" ht="32.1" customHeight="1">
      <c r="A260" s="10"/>
      <c r="B260" s="32" t="s">
        <v>385</v>
      </c>
      <c r="C260" s="29"/>
      <c r="D260" s="28">
        <f t="array" ref="D260">IF($C16=0,0,$C260*D16/$C16)</f>
        <v>0</v>
      </c>
      <c r="E260" s="28">
        <f t="array" ref="E260">IF($C16=0,0,$C260*E16/$C16)</f>
        <v>0</v>
      </c>
      <c r="F260" s="28">
        <f t="array" ref="F260">IF($C16=0,0,$C260*F16/$C16)</f>
        <v>0</v>
      </c>
      <c r="G260" s="28">
        <f t="array" ref="G260">IF($C16=0,0,$C260*G16/$C16)</f>
        <v>0</v>
      </c>
      <c r="H260" s="30">
        <f t="array" ref="H260">E260+D260</f>
        <v>0</v>
      </c>
      <c r="I260" s="30">
        <f t="array" ref="I260">G260+F260</f>
        <v>0</v>
      </c>
      <c r="J260" s="30">
        <f t="array" ref="J260">D260+F260</f>
        <v>0</v>
      </c>
      <c r="K260" s="30">
        <f t="array" ref="K260">E260+G260</f>
        <v>0</v>
      </c>
      <c r="L260" s="12"/>
    </row>
    <row r="261" spans="1:12" ht="20.100000000000001" customHeight="1">
      <c r="A261" s="10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spans="1:12" ht="20.100000000000001" customHeight="1">
      <c r="A262" s="20" t="s">
        <v>386</v>
      </c>
      <c r="B262" s="21" t="s">
        <v>49</v>
      </c>
      <c r="C262" s="28">
        <f t="array" ref="C262">D262+E262+F262+G262</f>
        <v>2245</v>
      </c>
      <c r="D262" s="24">
        <v>586</v>
      </c>
      <c r="E262" s="24">
        <v>700</v>
      </c>
      <c r="F262" s="24">
        <v>435</v>
      </c>
      <c r="G262" s="24">
        <v>524</v>
      </c>
      <c r="H262" s="30">
        <f t="array" ref="H262">E262+D262</f>
        <v>1286</v>
      </c>
      <c r="I262" s="30">
        <f t="array" ref="I262">G262+F262</f>
        <v>959</v>
      </c>
      <c r="J262" s="30">
        <f t="array" ref="J262">D262+F262</f>
        <v>1021</v>
      </c>
      <c r="K262" s="30">
        <f t="array" ref="K262">E262+G262</f>
        <v>1224</v>
      </c>
      <c r="L262" s="12"/>
    </row>
    <row r="263" spans="1:12" ht="20.100000000000001" customHeight="1">
      <c r="A263" s="20" t="s">
        <v>387</v>
      </c>
      <c r="B263" s="21" t="s">
        <v>51</v>
      </c>
      <c r="C263" s="28">
        <f t="array" ref="C263">D263+E263+F263+G263</f>
        <v>168</v>
      </c>
      <c r="D263" s="24">
        <v>47</v>
      </c>
      <c r="E263" s="24">
        <v>49</v>
      </c>
      <c r="F263" s="24">
        <v>35</v>
      </c>
      <c r="G263" s="24">
        <v>37</v>
      </c>
      <c r="H263" s="30">
        <f t="array" ref="H263">E263+D263</f>
        <v>96</v>
      </c>
      <c r="I263" s="30">
        <f t="array" ref="I263">G263+F263</f>
        <v>72</v>
      </c>
      <c r="J263" s="30">
        <f t="array" ref="J263">D263+F263</f>
        <v>82</v>
      </c>
      <c r="K263" s="30">
        <f t="array" ref="K263">E263+G263</f>
        <v>86</v>
      </c>
      <c r="L263" s="12"/>
    </row>
    <row r="264" spans="1:12" ht="20.100000000000001" customHeight="1">
      <c r="A264" s="20" t="s">
        <v>388</v>
      </c>
      <c r="B264" s="21" t="s">
        <v>53</v>
      </c>
      <c r="C264" s="28">
        <f t="array" ref="C264">D264+E264+F264+G264</f>
        <v>111</v>
      </c>
      <c r="D264" s="24">
        <v>29</v>
      </c>
      <c r="E264" s="24">
        <v>35</v>
      </c>
      <c r="F264" s="24">
        <v>21</v>
      </c>
      <c r="G264" s="24">
        <v>26</v>
      </c>
      <c r="H264" s="30">
        <f t="array" ref="H264">E264+D264</f>
        <v>64</v>
      </c>
      <c r="I264" s="30">
        <f t="array" ref="I264">G264+F264</f>
        <v>47</v>
      </c>
      <c r="J264" s="30">
        <f t="array" ref="J264">D264+F264</f>
        <v>50</v>
      </c>
      <c r="K264" s="30">
        <f t="array" ref="K264">E264+G264</f>
        <v>61</v>
      </c>
      <c r="L264" s="12"/>
    </row>
    <row r="265" spans="1:12" ht="20.100000000000001" customHeight="1">
      <c r="A265" s="20" t="s">
        <v>389</v>
      </c>
      <c r="B265" s="21" t="s">
        <v>55</v>
      </c>
      <c r="C265" s="28">
        <f t="array" ref="C265">D265+E265+F265+G265</f>
        <v>91</v>
      </c>
      <c r="D265" s="24">
        <v>20</v>
      </c>
      <c r="E265" s="24">
        <v>33</v>
      </c>
      <c r="F265" s="24">
        <v>14</v>
      </c>
      <c r="G265" s="24">
        <v>24</v>
      </c>
      <c r="H265" s="30">
        <f t="array" ref="H265">E265+D265</f>
        <v>53</v>
      </c>
      <c r="I265" s="30">
        <f t="array" ref="I265">G265+F265</f>
        <v>38</v>
      </c>
      <c r="J265" s="30">
        <f t="array" ref="J265">D265+F265</f>
        <v>34</v>
      </c>
      <c r="K265" s="30">
        <f t="array" ref="K265">E265+G265</f>
        <v>57</v>
      </c>
      <c r="L265" s="12"/>
    </row>
    <row r="266" spans="1:12" ht="20.100000000000001" customHeight="1">
      <c r="A266" s="20" t="s">
        <v>390</v>
      </c>
      <c r="B266" s="21" t="s">
        <v>57</v>
      </c>
      <c r="C266" s="28">
        <f t="array" ref="C266">D266+E266+F266+G266</f>
        <v>72</v>
      </c>
      <c r="D266" s="24">
        <v>15</v>
      </c>
      <c r="E266" s="24">
        <v>26</v>
      </c>
      <c r="F266" s="24">
        <v>11</v>
      </c>
      <c r="G266" s="24">
        <v>20</v>
      </c>
      <c r="H266" s="30">
        <f t="array" ref="H266">E266+D266</f>
        <v>41</v>
      </c>
      <c r="I266" s="30">
        <f t="array" ref="I266">G266+F266</f>
        <v>31</v>
      </c>
      <c r="J266" s="30">
        <f t="array" ref="J266">D266+F266</f>
        <v>26</v>
      </c>
      <c r="K266" s="30">
        <f t="array" ref="K266">E266+G266</f>
        <v>46</v>
      </c>
      <c r="L266" s="12"/>
    </row>
    <row r="267" spans="1:12" ht="20.100000000000001" customHeight="1">
      <c r="A267" s="20" t="s">
        <v>391</v>
      </c>
      <c r="B267" s="21" t="s">
        <v>59</v>
      </c>
      <c r="C267" s="28">
        <f t="array" ref="C267">D267+E267+F267+G267</f>
        <v>77</v>
      </c>
      <c r="D267" s="24">
        <v>22</v>
      </c>
      <c r="E267" s="24">
        <v>22</v>
      </c>
      <c r="F267" s="24">
        <v>17</v>
      </c>
      <c r="G267" s="24">
        <v>16</v>
      </c>
      <c r="H267" s="30">
        <f t="array" ref="H267">E267+D267</f>
        <v>44</v>
      </c>
      <c r="I267" s="30">
        <f t="array" ref="I267">G267+F267</f>
        <v>33</v>
      </c>
      <c r="J267" s="30">
        <f t="array" ref="J267">D267+F267</f>
        <v>39</v>
      </c>
      <c r="K267" s="30">
        <f t="array" ref="K267">E267+G267</f>
        <v>38</v>
      </c>
      <c r="L267" s="12"/>
    </row>
    <row r="268" spans="1:12" ht="20.100000000000001" customHeight="1">
      <c r="A268" s="20" t="s">
        <v>392</v>
      </c>
      <c r="B268" s="21" t="s">
        <v>61</v>
      </c>
      <c r="C268" s="28">
        <f t="array" ref="C268">D268+E268+F268+G268</f>
        <v>80</v>
      </c>
      <c r="D268" s="24">
        <v>17</v>
      </c>
      <c r="E268" s="24">
        <v>28</v>
      </c>
      <c r="F268" s="24">
        <v>13</v>
      </c>
      <c r="G268" s="24">
        <v>22</v>
      </c>
      <c r="H268" s="30">
        <f t="array" ref="H268">E268+D268</f>
        <v>45</v>
      </c>
      <c r="I268" s="30">
        <f t="array" ref="I268">G268+F268</f>
        <v>35</v>
      </c>
      <c r="J268" s="30">
        <f t="array" ref="J268">D268+F268</f>
        <v>30</v>
      </c>
      <c r="K268" s="30">
        <f t="array" ref="K268">E268+G268</f>
        <v>50</v>
      </c>
      <c r="L268" s="12"/>
    </row>
    <row r="269" spans="1:12" ht="20.100000000000001" customHeight="1">
      <c r="A269" s="20" t="s">
        <v>393</v>
      </c>
      <c r="B269" s="21" t="s">
        <v>63</v>
      </c>
      <c r="C269" s="28">
        <f t="array" ref="C269">D269+E269+F269+G269</f>
        <v>74</v>
      </c>
      <c r="D269" s="24">
        <v>22</v>
      </c>
      <c r="E269" s="24">
        <v>20</v>
      </c>
      <c r="F269" s="24">
        <v>17</v>
      </c>
      <c r="G269" s="24">
        <v>15</v>
      </c>
      <c r="H269" s="30">
        <f t="array" ref="H269">E269+D269</f>
        <v>42</v>
      </c>
      <c r="I269" s="30">
        <f t="array" ref="I269">G269+F269</f>
        <v>32</v>
      </c>
      <c r="J269" s="30">
        <f t="array" ref="J269">D269+F269</f>
        <v>39</v>
      </c>
      <c r="K269" s="30">
        <f t="array" ref="K269">E269+G269</f>
        <v>35</v>
      </c>
      <c r="L269" s="12"/>
    </row>
    <row r="270" spans="1:12" ht="20.100000000000001" customHeight="1">
      <c r="A270" s="20" t="s">
        <v>394</v>
      </c>
      <c r="B270" s="21" t="s">
        <v>65</v>
      </c>
      <c r="C270" s="28">
        <f t="array" ref="C270">D270+E270+F270+G270</f>
        <v>69</v>
      </c>
      <c r="D270" s="24">
        <v>16</v>
      </c>
      <c r="E270" s="24">
        <v>23</v>
      </c>
      <c r="F270" s="24">
        <v>12</v>
      </c>
      <c r="G270" s="24">
        <v>18</v>
      </c>
      <c r="H270" s="30">
        <f t="array" ref="H270">E270+D270</f>
        <v>39</v>
      </c>
      <c r="I270" s="30">
        <f t="array" ref="I270">G270+F270</f>
        <v>30</v>
      </c>
      <c r="J270" s="30">
        <f t="array" ref="J270">D270+F270</f>
        <v>28</v>
      </c>
      <c r="K270" s="30">
        <f t="array" ref="K270">E270+G270</f>
        <v>41</v>
      </c>
      <c r="L270" s="12"/>
    </row>
    <row r="271" spans="1:12" ht="20.100000000000001" customHeight="1">
      <c r="A271" s="20" t="s">
        <v>395</v>
      </c>
      <c r="B271" s="21" t="s">
        <v>67</v>
      </c>
      <c r="C271" s="28">
        <f t="array" ref="C271">D271+E271+F271+G271</f>
        <v>61</v>
      </c>
      <c r="D271" s="24">
        <v>15</v>
      </c>
      <c r="E271" s="24">
        <v>19</v>
      </c>
      <c r="F271" s="24">
        <v>12</v>
      </c>
      <c r="G271" s="24">
        <v>15</v>
      </c>
      <c r="H271" s="30">
        <f t="array" ref="H271">E271+D271</f>
        <v>34</v>
      </c>
      <c r="I271" s="30">
        <f t="array" ref="I271">G271+F271</f>
        <v>27</v>
      </c>
      <c r="J271" s="30">
        <f t="array" ref="J271">D271+F271</f>
        <v>27</v>
      </c>
      <c r="K271" s="30">
        <f t="array" ref="K271">E271+G271</f>
        <v>34</v>
      </c>
      <c r="L271" s="12"/>
    </row>
    <row r="272" spans="1:12" ht="20.100000000000001" customHeight="1">
      <c r="A272" s="20" t="s">
        <v>396</v>
      </c>
      <c r="B272" s="21" t="s">
        <v>69</v>
      </c>
      <c r="C272" s="28">
        <f t="array" ref="C272">D272+E272+F272+G272</f>
        <v>63</v>
      </c>
      <c r="D272" s="24">
        <v>15</v>
      </c>
      <c r="E272" s="24">
        <v>21</v>
      </c>
      <c r="F272" s="24">
        <v>11</v>
      </c>
      <c r="G272" s="24">
        <v>16</v>
      </c>
      <c r="H272" s="30">
        <f t="array" ref="H272">E272+D272</f>
        <v>36</v>
      </c>
      <c r="I272" s="30">
        <f t="array" ref="I272">G272+F272</f>
        <v>27</v>
      </c>
      <c r="J272" s="30">
        <f t="array" ref="J272">D272+F272</f>
        <v>26</v>
      </c>
      <c r="K272" s="30">
        <f t="array" ref="K272">E272+G272</f>
        <v>37</v>
      </c>
      <c r="L272" s="12"/>
    </row>
    <row r="273" spans="1:12" ht="20.100000000000001" customHeight="1">
      <c r="A273" s="20" t="s">
        <v>397</v>
      </c>
      <c r="B273" s="21" t="s">
        <v>71</v>
      </c>
      <c r="C273" s="28">
        <f t="array" ref="C273">D273+E273+F273+G273</f>
        <v>58</v>
      </c>
      <c r="D273" s="24">
        <v>17</v>
      </c>
      <c r="E273" s="24">
        <v>17</v>
      </c>
      <c r="F273" s="24">
        <v>12</v>
      </c>
      <c r="G273" s="24">
        <v>12</v>
      </c>
      <c r="H273" s="30">
        <f t="array" ref="H273">E273+D273</f>
        <v>34</v>
      </c>
      <c r="I273" s="30">
        <f t="array" ref="I273">G273+F273</f>
        <v>24</v>
      </c>
      <c r="J273" s="30">
        <f t="array" ref="J273">D273+F273</f>
        <v>29</v>
      </c>
      <c r="K273" s="30">
        <f t="array" ref="K273">E273+G273</f>
        <v>29</v>
      </c>
      <c r="L273" s="12"/>
    </row>
    <row r="274" spans="1:12" ht="20.100000000000001" customHeight="1">
      <c r="A274" s="20" t="s">
        <v>398</v>
      </c>
      <c r="B274" s="21" t="s">
        <v>73</v>
      </c>
      <c r="C274" s="28">
        <f t="array" ref="C274">D274+E274+F274+G274</f>
        <v>50</v>
      </c>
      <c r="D274" s="24">
        <v>15</v>
      </c>
      <c r="E274" s="24">
        <v>14</v>
      </c>
      <c r="F274" s="24">
        <v>11</v>
      </c>
      <c r="G274" s="24">
        <v>10</v>
      </c>
      <c r="H274" s="30">
        <f t="array" ref="H274">E274+D274</f>
        <v>29</v>
      </c>
      <c r="I274" s="30">
        <f t="array" ref="I274">G274+F274</f>
        <v>21</v>
      </c>
      <c r="J274" s="30">
        <f t="array" ref="J274">D274+F274</f>
        <v>26</v>
      </c>
      <c r="K274" s="30">
        <f t="array" ref="K274">E274+G274</f>
        <v>24</v>
      </c>
      <c r="L274" s="12"/>
    </row>
    <row r="275" spans="1:12" ht="20.100000000000001" customHeight="1">
      <c r="A275" s="20" t="s">
        <v>399</v>
      </c>
      <c r="B275" s="21" t="s">
        <v>75</v>
      </c>
      <c r="C275" s="28">
        <f t="array" ref="C275">D275+E275+F275+G275</f>
        <v>91</v>
      </c>
      <c r="D275" s="24">
        <v>26</v>
      </c>
      <c r="E275" s="24">
        <v>26</v>
      </c>
      <c r="F275" s="24">
        <v>20</v>
      </c>
      <c r="G275" s="24">
        <v>19</v>
      </c>
      <c r="H275" s="30">
        <f t="array" ref="H275">E275+D275</f>
        <v>52</v>
      </c>
      <c r="I275" s="30">
        <f t="array" ref="I275">G275+F275</f>
        <v>39</v>
      </c>
      <c r="J275" s="30">
        <f t="array" ref="J275">D275+F275</f>
        <v>46</v>
      </c>
      <c r="K275" s="30">
        <f t="array" ref="K275">E275+G275</f>
        <v>45</v>
      </c>
      <c r="L275" s="12"/>
    </row>
    <row r="276" spans="1:12" ht="20.100000000000001" customHeight="1">
      <c r="A276" s="20" t="s">
        <v>400</v>
      </c>
      <c r="B276" s="21" t="s">
        <v>77</v>
      </c>
      <c r="C276" s="28">
        <f t="array" ref="C276">D276+E276+F276+G276</f>
        <v>84</v>
      </c>
      <c r="D276" s="24">
        <v>24</v>
      </c>
      <c r="E276" s="24">
        <v>25</v>
      </c>
      <c r="F276" s="24">
        <v>17</v>
      </c>
      <c r="G276" s="24">
        <v>18</v>
      </c>
      <c r="H276" s="30">
        <f t="array" ref="H276">E276+D276</f>
        <v>49</v>
      </c>
      <c r="I276" s="30">
        <f t="array" ref="I276">G276+F276</f>
        <v>35</v>
      </c>
      <c r="J276" s="30">
        <f t="array" ref="J276">D276+F276</f>
        <v>41</v>
      </c>
      <c r="K276" s="30">
        <f t="array" ref="K276">E276+G276</f>
        <v>43</v>
      </c>
      <c r="L276" s="12"/>
    </row>
    <row r="277" spans="1:12" ht="20.100000000000001" customHeight="1">
      <c r="A277" s="20" t="s">
        <v>401</v>
      </c>
      <c r="B277" s="21" t="s">
        <v>79</v>
      </c>
      <c r="C277" s="28">
        <f t="array" ref="C277">D277+E277+F277+G277</f>
        <v>116</v>
      </c>
      <c r="D277" s="24">
        <v>24</v>
      </c>
      <c r="E277" s="24">
        <v>41</v>
      </c>
      <c r="F277" s="24">
        <v>18</v>
      </c>
      <c r="G277" s="24">
        <v>33</v>
      </c>
      <c r="H277" s="30">
        <f t="array" ref="H277">E277+D277</f>
        <v>65</v>
      </c>
      <c r="I277" s="30">
        <f t="array" ref="I277">G277+F277</f>
        <v>51</v>
      </c>
      <c r="J277" s="30">
        <f t="array" ref="J277">D277+F277</f>
        <v>42</v>
      </c>
      <c r="K277" s="30">
        <f t="array" ref="K277">E277+G277</f>
        <v>74</v>
      </c>
      <c r="L277" s="12"/>
    </row>
    <row r="278" spans="1:12" ht="20.100000000000001" customHeight="1">
      <c r="A278" s="20" t="s">
        <v>402</v>
      </c>
      <c r="B278" s="21" t="s">
        <v>81</v>
      </c>
      <c r="C278" s="28">
        <f t="array" ref="C278">D278+E278+F278+G278</f>
        <v>140</v>
      </c>
      <c r="D278" s="24">
        <v>27</v>
      </c>
      <c r="E278" s="24">
        <v>52</v>
      </c>
      <c r="F278" s="24">
        <v>20</v>
      </c>
      <c r="G278" s="24">
        <v>41</v>
      </c>
      <c r="H278" s="30">
        <f t="array" ref="H278">E278+D278</f>
        <v>79</v>
      </c>
      <c r="I278" s="30">
        <f t="array" ref="I278">G278+F278</f>
        <v>61</v>
      </c>
      <c r="J278" s="30">
        <f t="array" ref="J278">D278+F278</f>
        <v>47</v>
      </c>
      <c r="K278" s="30">
        <f t="array" ref="K278">E278+G278</f>
        <v>93</v>
      </c>
      <c r="L278" s="12"/>
    </row>
    <row r="279" spans="1:12" ht="20.100000000000001" customHeight="1">
      <c r="A279" s="20" t="s">
        <v>403</v>
      </c>
      <c r="B279" s="21" t="s">
        <v>83</v>
      </c>
      <c r="C279" s="28">
        <f t="array" ref="C279">D279+E279+F279+G279</f>
        <v>183</v>
      </c>
      <c r="D279" s="24">
        <v>39</v>
      </c>
      <c r="E279" s="24">
        <v>63</v>
      </c>
      <c r="F279" s="24">
        <v>30</v>
      </c>
      <c r="G279" s="24">
        <v>51</v>
      </c>
      <c r="H279" s="30">
        <f t="array" ref="H279">E279+D279</f>
        <v>102</v>
      </c>
      <c r="I279" s="30">
        <f t="array" ref="I279">G279+F279</f>
        <v>81</v>
      </c>
      <c r="J279" s="30">
        <f t="array" ref="J279">D279+F279</f>
        <v>69</v>
      </c>
      <c r="K279" s="30">
        <f t="array" ref="K279">E279+G279</f>
        <v>114</v>
      </c>
      <c r="L279" s="12"/>
    </row>
    <row r="280" spans="1:12" ht="20.100000000000001" customHeight="1">
      <c r="A280" s="20" t="s">
        <v>404</v>
      </c>
      <c r="B280" s="21" t="s">
        <v>85</v>
      </c>
      <c r="C280" s="28">
        <f t="array" ref="C280">D280+E280+F280+G280</f>
        <v>211</v>
      </c>
      <c r="D280" s="24">
        <v>33</v>
      </c>
      <c r="E280" s="24">
        <v>85</v>
      </c>
      <c r="F280" s="24">
        <v>24</v>
      </c>
      <c r="G280" s="24">
        <v>69</v>
      </c>
      <c r="H280" s="30">
        <f t="array" ref="H280">E280+D280</f>
        <v>118</v>
      </c>
      <c r="I280" s="30">
        <f t="array" ref="I280">G280+F280</f>
        <v>93</v>
      </c>
      <c r="J280" s="30">
        <f t="array" ref="J280">D280+F280</f>
        <v>57</v>
      </c>
      <c r="K280" s="30">
        <f t="array" ref="K280">E280+G280</f>
        <v>154</v>
      </c>
      <c r="L280" s="12"/>
    </row>
    <row r="281" spans="1:12" ht="20.100000000000001" customHeight="1">
      <c r="A281" s="20" t="s">
        <v>405</v>
      </c>
      <c r="B281" s="21" t="s">
        <v>87</v>
      </c>
      <c r="C281" s="28">
        <f t="array" ref="C281">D281+E281+F281+G281</f>
        <v>259</v>
      </c>
      <c r="D281" s="24">
        <v>41</v>
      </c>
      <c r="E281" s="24">
        <v>104</v>
      </c>
      <c r="F281" s="24">
        <v>31</v>
      </c>
      <c r="G281" s="24">
        <v>83</v>
      </c>
      <c r="H281" s="30">
        <f t="array" ref="H281">E281+D281</f>
        <v>145</v>
      </c>
      <c r="I281" s="30">
        <f t="array" ref="I281">G281+F281</f>
        <v>114</v>
      </c>
      <c r="J281" s="30">
        <f t="array" ref="J281">D281+F281</f>
        <v>72</v>
      </c>
      <c r="K281" s="30">
        <f t="array" ref="K281">E281+G281</f>
        <v>187</v>
      </c>
      <c r="L281" s="12"/>
    </row>
    <row r="282" spans="1:12" ht="20.100000000000001" customHeight="1">
      <c r="A282" s="20" t="s">
        <v>406</v>
      </c>
      <c r="B282" s="21" t="s">
        <v>89</v>
      </c>
      <c r="C282" s="28">
        <f t="array" ref="C282">D282+E282+F282+G282</f>
        <v>286</v>
      </c>
      <c r="D282" s="24">
        <v>45</v>
      </c>
      <c r="E282" s="24">
        <v>126</v>
      </c>
      <c r="F282" s="24">
        <v>29</v>
      </c>
      <c r="G282" s="24">
        <v>86</v>
      </c>
      <c r="H282" s="30">
        <f t="array" ref="H282">E282+D282</f>
        <v>171</v>
      </c>
      <c r="I282" s="30">
        <f t="array" ref="I282">G282+F282</f>
        <v>115</v>
      </c>
      <c r="J282" s="30">
        <f t="array" ref="J282">D282+F282</f>
        <v>74</v>
      </c>
      <c r="K282" s="30">
        <f t="array" ref="K282">E282+G282</f>
        <v>212</v>
      </c>
      <c r="L282" s="12"/>
    </row>
    <row r="283" spans="1:12" ht="20.100000000000001" customHeight="1">
      <c r="A283" s="20" t="s">
        <v>407</v>
      </c>
      <c r="B283" s="21" t="s">
        <v>91</v>
      </c>
      <c r="C283" s="28">
        <f t="array" ref="C283">D283+E283+F283+G283</f>
        <v>306</v>
      </c>
      <c r="D283" s="24">
        <v>54</v>
      </c>
      <c r="E283" s="24">
        <v>129</v>
      </c>
      <c r="F283" s="24">
        <v>35</v>
      </c>
      <c r="G283" s="24">
        <v>88</v>
      </c>
      <c r="H283" s="30">
        <f t="array" ref="H283">E283+D283</f>
        <v>183</v>
      </c>
      <c r="I283" s="30">
        <f t="array" ref="I283">G283+F283</f>
        <v>123</v>
      </c>
      <c r="J283" s="30">
        <f t="array" ref="J283">D283+F283</f>
        <v>89</v>
      </c>
      <c r="K283" s="30">
        <f t="array" ref="K283">E283+G283</f>
        <v>217</v>
      </c>
      <c r="L283" s="12"/>
    </row>
    <row r="284" spans="1:12" ht="20.100000000000001" customHeight="1">
      <c r="A284" s="20" t="s">
        <v>408</v>
      </c>
      <c r="B284" s="21" t="s">
        <v>93</v>
      </c>
      <c r="C284" s="28">
        <f t="array" ref="C284">D284+E284+F284+G284</f>
        <v>277</v>
      </c>
      <c r="D284" s="24">
        <v>50</v>
      </c>
      <c r="E284" s="24">
        <v>116</v>
      </c>
      <c r="F284" s="24">
        <v>31</v>
      </c>
      <c r="G284" s="24">
        <v>80</v>
      </c>
      <c r="H284" s="30">
        <f t="array" ref="H284">E284+D284</f>
        <v>166</v>
      </c>
      <c r="I284" s="30">
        <f t="array" ref="I284">G284+F284</f>
        <v>111</v>
      </c>
      <c r="J284" s="30">
        <f t="array" ref="J284">D284+F284</f>
        <v>81</v>
      </c>
      <c r="K284" s="30">
        <f t="array" ref="K284">E284+G284</f>
        <v>196</v>
      </c>
      <c r="L284" s="12"/>
    </row>
    <row r="285" spans="1:12" ht="20.100000000000001" customHeight="1">
      <c r="A285" s="20" t="s">
        <v>409</v>
      </c>
      <c r="B285" s="21" t="s">
        <v>95</v>
      </c>
      <c r="C285" s="28">
        <f t="array" ref="C285">D285+E285+F285+G285</f>
        <v>276</v>
      </c>
      <c r="D285" s="24">
        <v>45</v>
      </c>
      <c r="E285" s="24">
        <v>120</v>
      </c>
      <c r="F285" s="24">
        <v>29</v>
      </c>
      <c r="G285" s="24">
        <v>82</v>
      </c>
      <c r="H285" s="30">
        <f t="array" ref="H285">E285+D285</f>
        <v>165</v>
      </c>
      <c r="I285" s="30">
        <f t="array" ref="I285">G285+F285</f>
        <v>111</v>
      </c>
      <c r="J285" s="30">
        <f t="array" ref="J285">D285+F285</f>
        <v>74</v>
      </c>
      <c r="K285" s="30">
        <f t="array" ref="K285">E285+G285</f>
        <v>202</v>
      </c>
      <c r="L285" s="12"/>
    </row>
    <row r="286" spans="1:12" ht="20.100000000000001" customHeight="1">
      <c r="A286" s="20" t="s">
        <v>410</v>
      </c>
      <c r="B286" s="21" t="s">
        <v>97</v>
      </c>
      <c r="C286" s="28">
        <f t="array" ref="C286">D286+E286+F286+G286</f>
        <v>306</v>
      </c>
      <c r="D286" s="24">
        <v>56</v>
      </c>
      <c r="E286" s="24">
        <v>128</v>
      </c>
      <c r="F286" s="24">
        <v>35</v>
      </c>
      <c r="G286" s="24">
        <v>87</v>
      </c>
      <c r="H286" s="30">
        <f t="array" ref="H286">E286+D286</f>
        <v>184</v>
      </c>
      <c r="I286" s="30">
        <f t="array" ref="I286">G286+F286</f>
        <v>122</v>
      </c>
      <c r="J286" s="30">
        <f t="array" ref="J286">D286+F286</f>
        <v>91</v>
      </c>
      <c r="K286" s="30">
        <f t="array" ref="K286">E286+G286</f>
        <v>215</v>
      </c>
      <c r="L286" s="12"/>
    </row>
    <row r="287" spans="1:12" ht="20.100000000000001" customHeight="1">
      <c r="A287" s="20" t="s">
        <v>411</v>
      </c>
      <c r="B287" s="21" t="s">
        <v>99</v>
      </c>
      <c r="C287" s="28">
        <f t="array" ref="C287">D287+E287+F287+G287</f>
        <v>309</v>
      </c>
      <c r="D287" s="24">
        <v>47</v>
      </c>
      <c r="E287" s="24">
        <v>139</v>
      </c>
      <c r="F287" s="24">
        <v>29</v>
      </c>
      <c r="G287" s="24">
        <v>94</v>
      </c>
      <c r="H287" s="30">
        <f t="array" ref="H287">E287+D287</f>
        <v>186</v>
      </c>
      <c r="I287" s="30">
        <f t="array" ref="I287">G287+F287</f>
        <v>123</v>
      </c>
      <c r="J287" s="30">
        <f t="array" ref="J287">D287+F287</f>
        <v>76</v>
      </c>
      <c r="K287" s="30">
        <f t="array" ref="K287">E287+G287</f>
        <v>233</v>
      </c>
      <c r="L287" s="12"/>
    </row>
    <row r="288" spans="1:12" ht="20.100000000000001" customHeight="1">
      <c r="A288" s="20" t="s">
        <v>412</v>
      </c>
      <c r="B288" s="21" t="s">
        <v>101</v>
      </c>
      <c r="C288" s="28">
        <f t="array" ref="C288">D288+E288+F288+G288</f>
        <v>340</v>
      </c>
      <c r="D288" s="24">
        <v>57</v>
      </c>
      <c r="E288" s="24">
        <v>148</v>
      </c>
      <c r="F288" s="24">
        <v>35</v>
      </c>
      <c r="G288" s="24">
        <v>100</v>
      </c>
      <c r="H288" s="30">
        <f t="array" ref="H288">E288+D288</f>
        <v>205</v>
      </c>
      <c r="I288" s="30">
        <f t="array" ref="I288">G288+F288</f>
        <v>135</v>
      </c>
      <c r="J288" s="30">
        <f t="array" ref="J288">D288+F288</f>
        <v>92</v>
      </c>
      <c r="K288" s="30">
        <f t="array" ref="K288">E288+G288</f>
        <v>248</v>
      </c>
      <c r="L288" s="12"/>
    </row>
    <row r="289" spans="1:12" ht="20.100000000000001" customHeight="1">
      <c r="A289" s="20" t="s">
        <v>413</v>
      </c>
      <c r="B289" s="21" t="s">
        <v>103</v>
      </c>
      <c r="C289" s="28">
        <f t="array" ref="C289">D289+E289+F289+G289</f>
        <v>365</v>
      </c>
      <c r="D289" s="24">
        <v>61</v>
      </c>
      <c r="E289" s="24">
        <v>159</v>
      </c>
      <c r="F289" s="24">
        <v>38</v>
      </c>
      <c r="G289" s="24">
        <v>107</v>
      </c>
      <c r="H289" s="30">
        <f t="array" ref="H289">E289+D289</f>
        <v>220</v>
      </c>
      <c r="I289" s="30">
        <f t="array" ref="I289">G289+F289</f>
        <v>145</v>
      </c>
      <c r="J289" s="30">
        <f t="array" ref="J289">D289+F289</f>
        <v>99</v>
      </c>
      <c r="K289" s="30">
        <f t="array" ref="K289">E289+G289</f>
        <v>266</v>
      </c>
      <c r="L289" s="12"/>
    </row>
    <row r="290" spans="1:12" ht="20.100000000000001" customHeight="1">
      <c r="A290" s="20" t="s">
        <v>414</v>
      </c>
      <c r="B290" s="21" t="s">
        <v>105</v>
      </c>
      <c r="C290" s="28">
        <f t="array" ref="C290">D290+E290+F290+G290</f>
        <v>353</v>
      </c>
      <c r="D290" s="24">
        <v>70</v>
      </c>
      <c r="E290" s="24">
        <v>143</v>
      </c>
      <c r="F290" s="24">
        <v>44</v>
      </c>
      <c r="G290" s="24">
        <v>96</v>
      </c>
      <c r="H290" s="30">
        <f t="array" ref="H290">E290+D290</f>
        <v>213</v>
      </c>
      <c r="I290" s="30">
        <f t="array" ref="I290">G290+F290</f>
        <v>140</v>
      </c>
      <c r="J290" s="30">
        <f t="array" ref="J290">D290+F290</f>
        <v>114</v>
      </c>
      <c r="K290" s="30">
        <f t="array" ref="K290">E290+G290</f>
        <v>239</v>
      </c>
      <c r="L290" s="12"/>
    </row>
    <row r="291" spans="1:12" ht="20.100000000000001" customHeight="1">
      <c r="A291" s="20" t="s">
        <v>415</v>
      </c>
      <c r="B291" s="21" t="s">
        <v>107</v>
      </c>
      <c r="C291" s="28">
        <f t="array" ref="C291">D291+E291+F291+G291</f>
        <v>369</v>
      </c>
      <c r="D291" s="24">
        <v>75</v>
      </c>
      <c r="E291" s="24">
        <v>148</v>
      </c>
      <c r="F291" s="24">
        <v>46</v>
      </c>
      <c r="G291" s="24">
        <v>100</v>
      </c>
      <c r="H291" s="30">
        <f t="array" ref="H291">E291+D291</f>
        <v>223</v>
      </c>
      <c r="I291" s="30">
        <f t="array" ref="I291">G291+F291</f>
        <v>146</v>
      </c>
      <c r="J291" s="30">
        <f t="array" ref="J291">D291+F291</f>
        <v>121</v>
      </c>
      <c r="K291" s="30">
        <f t="array" ref="K291">E291+G291</f>
        <v>248</v>
      </c>
      <c r="L291" s="12"/>
    </row>
    <row r="292" spans="1:12" ht="20.100000000000001" customHeight="1">
      <c r="A292" s="20" t="s">
        <v>416</v>
      </c>
      <c r="B292" s="21" t="s">
        <v>109</v>
      </c>
      <c r="C292" s="28">
        <f t="array" ref="C292">D292+E292+F292+G292</f>
        <v>386</v>
      </c>
      <c r="D292" s="24">
        <v>69</v>
      </c>
      <c r="E292" s="24">
        <v>164</v>
      </c>
      <c r="F292" s="24">
        <v>42</v>
      </c>
      <c r="G292" s="24">
        <v>111</v>
      </c>
      <c r="H292" s="30">
        <f t="array" ref="H292">E292+D292</f>
        <v>233</v>
      </c>
      <c r="I292" s="30">
        <f t="array" ref="I292">G292+F292</f>
        <v>153</v>
      </c>
      <c r="J292" s="30">
        <f t="array" ref="J292">D292+F292</f>
        <v>111</v>
      </c>
      <c r="K292" s="30">
        <f t="array" ref="K292">E292+G292</f>
        <v>275</v>
      </c>
      <c r="L292" s="12"/>
    </row>
    <row r="293" spans="1:12" ht="20.100000000000001" customHeight="1">
      <c r="A293" s="20" t="s">
        <v>417</v>
      </c>
      <c r="B293" s="21" t="s">
        <v>111</v>
      </c>
      <c r="C293" s="28">
        <f t="array" ref="C293">D293+E293+F293+G293</f>
        <v>401</v>
      </c>
      <c r="D293" s="24">
        <v>81</v>
      </c>
      <c r="E293" s="24">
        <v>162</v>
      </c>
      <c r="F293" s="24">
        <v>50</v>
      </c>
      <c r="G293" s="24">
        <v>108</v>
      </c>
      <c r="H293" s="30">
        <f t="array" ref="H293">E293+D293</f>
        <v>243</v>
      </c>
      <c r="I293" s="30">
        <f t="array" ref="I293">G293+F293</f>
        <v>158</v>
      </c>
      <c r="J293" s="30">
        <f t="array" ref="J293">D293+F293</f>
        <v>131</v>
      </c>
      <c r="K293" s="30">
        <f t="array" ref="K293">E293+G293</f>
        <v>270</v>
      </c>
      <c r="L293" s="12"/>
    </row>
    <row r="294" spans="1:12" ht="20.100000000000001" customHeight="1">
      <c r="A294" s="20" t="s">
        <v>418</v>
      </c>
      <c r="B294" s="21" t="s">
        <v>113</v>
      </c>
      <c r="C294" s="28">
        <f t="array" ref="C294">D294+E294+F294+G294</f>
        <v>476</v>
      </c>
      <c r="D294" s="24">
        <v>97</v>
      </c>
      <c r="E294" s="24">
        <v>191</v>
      </c>
      <c r="F294" s="24">
        <v>60</v>
      </c>
      <c r="G294" s="24">
        <v>128</v>
      </c>
      <c r="H294" s="30">
        <f t="array" ref="H294">E294+D294</f>
        <v>288</v>
      </c>
      <c r="I294" s="30">
        <f t="array" ref="I294">G294+F294</f>
        <v>188</v>
      </c>
      <c r="J294" s="30">
        <f t="array" ref="J294">D294+F294</f>
        <v>157</v>
      </c>
      <c r="K294" s="30">
        <f t="array" ref="K294">E294+G294</f>
        <v>319</v>
      </c>
      <c r="L294" s="12"/>
    </row>
    <row r="295" spans="1:12" ht="20.100000000000001" customHeight="1">
      <c r="A295" s="20" t="s">
        <v>419</v>
      </c>
      <c r="B295" s="21" t="s">
        <v>115</v>
      </c>
      <c r="C295" s="28">
        <f t="array" ref="C295">D295+E295+F295+G295</f>
        <v>525</v>
      </c>
      <c r="D295" s="24">
        <v>104</v>
      </c>
      <c r="E295" s="24">
        <v>214</v>
      </c>
      <c r="F295" s="24">
        <v>64</v>
      </c>
      <c r="G295" s="24">
        <v>143</v>
      </c>
      <c r="H295" s="30">
        <f t="array" ref="H295">E295+D295</f>
        <v>318</v>
      </c>
      <c r="I295" s="30">
        <f t="array" ref="I295">G295+F295</f>
        <v>207</v>
      </c>
      <c r="J295" s="30">
        <f t="array" ref="J295">D295+F295</f>
        <v>168</v>
      </c>
      <c r="K295" s="30">
        <f t="array" ref="K295">E295+G295</f>
        <v>357</v>
      </c>
      <c r="L295" s="12"/>
    </row>
    <row r="296" spans="1:12" ht="20.100000000000001" customHeight="1">
      <c r="A296" s="20" t="s">
        <v>420</v>
      </c>
      <c r="B296" s="21" t="s">
        <v>117</v>
      </c>
      <c r="C296" s="28">
        <f t="array" ref="C296">D296+E296+F296+G296</f>
        <v>655</v>
      </c>
      <c r="D296" s="24">
        <v>132</v>
      </c>
      <c r="E296" s="24">
        <v>264</v>
      </c>
      <c r="F296" s="24">
        <v>81</v>
      </c>
      <c r="G296" s="24">
        <v>178</v>
      </c>
      <c r="H296" s="30">
        <f t="array" ref="H296">E296+D296</f>
        <v>396</v>
      </c>
      <c r="I296" s="30">
        <f t="array" ref="I296">G296+F296</f>
        <v>259</v>
      </c>
      <c r="J296" s="30">
        <f t="array" ref="J296">D296+F296</f>
        <v>213</v>
      </c>
      <c r="K296" s="30">
        <f t="array" ref="K296">E296+G296</f>
        <v>442</v>
      </c>
      <c r="L296" s="12"/>
    </row>
    <row r="297" spans="1:12" ht="20.100000000000001" customHeight="1">
      <c r="A297" s="20" t="s">
        <v>421</v>
      </c>
      <c r="B297" s="21" t="s">
        <v>119</v>
      </c>
      <c r="C297" s="28">
        <f t="array" ref="C297">D297+E297+F297+G297</f>
        <v>742</v>
      </c>
      <c r="D297" s="24">
        <v>158</v>
      </c>
      <c r="E297" s="24">
        <v>301</v>
      </c>
      <c r="F297" s="24">
        <v>96</v>
      </c>
      <c r="G297" s="24">
        <v>187</v>
      </c>
      <c r="H297" s="30">
        <f t="array" ref="H297">E297+D297</f>
        <v>459</v>
      </c>
      <c r="I297" s="30">
        <f t="array" ref="I297">G297+F297</f>
        <v>283</v>
      </c>
      <c r="J297" s="30">
        <f t="array" ref="J297">D297+F297</f>
        <v>254</v>
      </c>
      <c r="K297" s="30">
        <f t="array" ref="K297">E297+G297</f>
        <v>488</v>
      </c>
      <c r="L297" s="12"/>
    </row>
    <row r="298" spans="1:12" ht="20.100000000000001" customHeight="1">
      <c r="A298" s="20" t="s">
        <v>422</v>
      </c>
      <c r="B298" s="21" t="s">
        <v>121</v>
      </c>
      <c r="C298" s="28">
        <f t="array" ref="C298">D298+E298+F298+G298</f>
        <v>806</v>
      </c>
      <c r="D298" s="24">
        <v>179</v>
      </c>
      <c r="E298" s="24">
        <v>319</v>
      </c>
      <c r="F298" s="24">
        <v>110</v>
      </c>
      <c r="G298" s="24">
        <v>198</v>
      </c>
      <c r="H298" s="30">
        <f t="array" ref="H298">E298+D298</f>
        <v>498</v>
      </c>
      <c r="I298" s="30">
        <f t="array" ref="I298">G298+F298</f>
        <v>308</v>
      </c>
      <c r="J298" s="30">
        <f t="array" ref="J298">D298+F298</f>
        <v>289</v>
      </c>
      <c r="K298" s="30">
        <f t="array" ref="K298">E298+G298</f>
        <v>517</v>
      </c>
      <c r="L298" s="12"/>
    </row>
    <row r="299" spans="1:12" ht="20.100000000000001" customHeight="1">
      <c r="A299" s="20" t="s">
        <v>423</v>
      </c>
      <c r="B299" s="21" t="s">
        <v>123</v>
      </c>
      <c r="C299" s="28">
        <f t="array" ref="C299">D299+E299+F299+G299</f>
        <v>832</v>
      </c>
      <c r="D299" s="24">
        <v>187</v>
      </c>
      <c r="E299" s="24">
        <v>327</v>
      </c>
      <c r="F299" s="24">
        <v>115</v>
      </c>
      <c r="G299" s="24">
        <v>203</v>
      </c>
      <c r="H299" s="30">
        <f t="array" ref="H299">E299+D299</f>
        <v>514</v>
      </c>
      <c r="I299" s="30">
        <f t="array" ref="I299">G299+F299</f>
        <v>318</v>
      </c>
      <c r="J299" s="30">
        <f t="array" ref="J299">D299+F299</f>
        <v>302</v>
      </c>
      <c r="K299" s="30">
        <f t="array" ref="K299">E299+G299</f>
        <v>530</v>
      </c>
      <c r="L299" s="12"/>
    </row>
    <row r="300" spans="1:12" ht="20.100000000000001" customHeight="1">
      <c r="A300" s="20" t="s">
        <v>424</v>
      </c>
      <c r="B300" s="21" t="s">
        <v>125</v>
      </c>
      <c r="C300" s="28">
        <f t="array" ref="C300">D300+E300+F300+G300</f>
        <v>879</v>
      </c>
      <c r="D300" s="24">
        <v>200</v>
      </c>
      <c r="E300" s="24">
        <v>343</v>
      </c>
      <c r="F300" s="24">
        <v>122</v>
      </c>
      <c r="G300" s="24">
        <v>214</v>
      </c>
      <c r="H300" s="30">
        <f t="array" ref="H300">E300+D300</f>
        <v>543</v>
      </c>
      <c r="I300" s="30">
        <f t="array" ref="I300">G300+F300</f>
        <v>336</v>
      </c>
      <c r="J300" s="30">
        <f t="array" ref="J300">D300+F300</f>
        <v>322</v>
      </c>
      <c r="K300" s="30">
        <f t="array" ref="K300">E300+G300</f>
        <v>557</v>
      </c>
      <c r="L300" s="12"/>
    </row>
    <row r="301" spans="1:12" ht="20.100000000000001" customHeight="1">
      <c r="A301" s="20" t="s">
        <v>425</v>
      </c>
      <c r="B301" s="21" t="s">
        <v>127</v>
      </c>
      <c r="C301" s="28">
        <f t="array" ref="C301">D301+E301+F301+G301</f>
        <v>1034</v>
      </c>
      <c r="D301" s="24">
        <v>214</v>
      </c>
      <c r="E301" s="24">
        <v>425</v>
      </c>
      <c r="F301" s="24">
        <v>131</v>
      </c>
      <c r="G301" s="24">
        <v>264</v>
      </c>
      <c r="H301" s="30">
        <f t="array" ref="H301">E301+D301</f>
        <v>639</v>
      </c>
      <c r="I301" s="30">
        <f t="array" ref="I301">G301+F301</f>
        <v>395</v>
      </c>
      <c r="J301" s="30">
        <f t="array" ref="J301">D301+F301</f>
        <v>345</v>
      </c>
      <c r="K301" s="30">
        <f t="array" ref="K301">E301+G301</f>
        <v>689</v>
      </c>
      <c r="L301" s="12"/>
    </row>
    <row r="302" spans="1:12" ht="20.100000000000001" customHeight="1">
      <c r="A302" s="20" t="s">
        <v>426</v>
      </c>
      <c r="B302" s="21" t="s">
        <v>129</v>
      </c>
      <c r="C302" s="28">
        <f t="array" ref="C302">D302+E302+F302+G302</f>
        <v>1064</v>
      </c>
      <c r="D302" s="24">
        <v>222</v>
      </c>
      <c r="E302" s="24">
        <v>435</v>
      </c>
      <c r="F302" s="24">
        <v>136</v>
      </c>
      <c r="G302" s="24">
        <v>271</v>
      </c>
      <c r="H302" s="30">
        <f t="array" ref="H302">E302+D302</f>
        <v>657</v>
      </c>
      <c r="I302" s="30">
        <f t="array" ref="I302">G302+F302</f>
        <v>407</v>
      </c>
      <c r="J302" s="30">
        <f t="array" ref="J302">D302+F302</f>
        <v>358</v>
      </c>
      <c r="K302" s="30">
        <f t="array" ref="K302">E302+G302</f>
        <v>706</v>
      </c>
      <c r="L302" s="12"/>
    </row>
    <row r="303" spans="1:12" ht="20.100000000000001" customHeight="1">
      <c r="A303" s="20" t="s">
        <v>427</v>
      </c>
      <c r="B303" s="21" t="s">
        <v>131</v>
      </c>
      <c r="C303" s="28">
        <f t="array" ref="C303">D303+E303+F303+G303</f>
        <v>1127</v>
      </c>
      <c r="D303" s="24">
        <v>261</v>
      </c>
      <c r="E303" s="24">
        <v>435</v>
      </c>
      <c r="F303" s="24">
        <v>160</v>
      </c>
      <c r="G303" s="24">
        <v>271</v>
      </c>
      <c r="H303" s="30">
        <f t="array" ref="H303">E303+D303</f>
        <v>696</v>
      </c>
      <c r="I303" s="30">
        <f t="array" ref="I303">G303+F303</f>
        <v>431</v>
      </c>
      <c r="J303" s="30">
        <f t="array" ref="J303">D303+F303</f>
        <v>421</v>
      </c>
      <c r="K303" s="30">
        <f t="array" ref="K303">E303+G303</f>
        <v>706</v>
      </c>
      <c r="L303" s="12"/>
    </row>
    <row r="304" spans="1:12" ht="20.100000000000001" customHeight="1">
      <c r="A304" s="20" t="s">
        <v>428</v>
      </c>
      <c r="B304" s="21" t="s">
        <v>133</v>
      </c>
      <c r="C304" s="28">
        <f t="array" ref="C304">D304+E304+F304+G304</f>
        <v>1303</v>
      </c>
      <c r="D304" s="24">
        <v>283</v>
      </c>
      <c r="E304" s="24">
        <v>522</v>
      </c>
      <c r="F304" s="24">
        <v>173</v>
      </c>
      <c r="G304" s="24">
        <v>325</v>
      </c>
      <c r="H304" s="30">
        <f t="array" ref="H304">E304+D304</f>
        <v>805</v>
      </c>
      <c r="I304" s="30">
        <f t="array" ref="I304">G304+F304</f>
        <v>498</v>
      </c>
      <c r="J304" s="30">
        <f t="array" ref="J304">D304+F304</f>
        <v>456</v>
      </c>
      <c r="K304" s="30">
        <f t="array" ref="K304">E304+G304</f>
        <v>847</v>
      </c>
      <c r="L304" s="12"/>
    </row>
    <row r="305" spans="1:12" ht="20.100000000000001" customHeight="1">
      <c r="A305" s="20" t="s">
        <v>429</v>
      </c>
      <c r="B305" s="21" t="s">
        <v>135</v>
      </c>
      <c r="C305" s="28">
        <f t="array" ref="C305">D305+E305+F305+G305</f>
        <v>1360</v>
      </c>
      <c r="D305" s="24">
        <v>304</v>
      </c>
      <c r="E305" s="24">
        <v>536</v>
      </c>
      <c r="F305" s="24">
        <v>186</v>
      </c>
      <c r="G305" s="24">
        <v>334</v>
      </c>
      <c r="H305" s="30">
        <f t="array" ref="H305">E305+D305</f>
        <v>840</v>
      </c>
      <c r="I305" s="30">
        <f t="array" ref="I305">G305+F305</f>
        <v>520</v>
      </c>
      <c r="J305" s="30">
        <f t="array" ref="J305">D305+F305</f>
        <v>490</v>
      </c>
      <c r="K305" s="30">
        <f t="array" ref="K305">E305+G305</f>
        <v>870</v>
      </c>
      <c r="L305" s="12"/>
    </row>
    <row r="306" spans="1:12" ht="20.100000000000001" customHeight="1">
      <c r="A306" s="20" t="s">
        <v>430</v>
      </c>
      <c r="B306" s="21" t="s">
        <v>137</v>
      </c>
      <c r="C306" s="28">
        <f t="array" ref="C306">D306+E306+F306+G306</f>
        <v>1458</v>
      </c>
      <c r="D306" s="24">
        <v>332</v>
      </c>
      <c r="E306" s="24">
        <v>569</v>
      </c>
      <c r="F306" s="24">
        <v>203</v>
      </c>
      <c r="G306" s="24">
        <v>354</v>
      </c>
      <c r="H306" s="30">
        <f t="array" ref="H306">E306+D306</f>
        <v>901</v>
      </c>
      <c r="I306" s="30">
        <f t="array" ref="I306">G306+F306</f>
        <v>557</v>
      </c>
      <c r="J306" s="30">
        <f t="array" ref="J306">D306+F306</f>
        <v>535</v>
      </c>
      <c r="K306" s="30">
        <f t="array" ref="K306">E306+G306</f>
        <v>923</v>
      </c>
      <c r="L306" s="12"/>
    </row>
    <row r="307" spans="1:12" ht="20.100000000000001" customHeight="1">
      <c r="A307" s="20" t="s">
        <v>431</v>
      </c>
      <c r="B307" s="21" t="s">
        <v>139</v>
      </c>
      <c r="C307" s="28">
        <f t="array" ref="C307">D307+E307+F307+G307</f>
        <v>1530</v>
      </c>
      <c r="D307" s="24">
        <v>339</v>
      </c>
      <c r="E307" s="24">
        <v>651</v>
      </c>
      <c r="F307" s="24">
        <v>191</v>
      </c>
      <c r="G307" s="24">
        <v>349</v>
      </c>
      <c r="H307" s="30">
        <f t="array" ref="H307">E307+D307</f>
        <v>990</v>
      </c>
      <c r="I307" s="30">
        <f t="array" ref="I307">G307+F307</f>
        <v>540</v>
      </c>
      <c r="J307" s="30">
        <f t="array" ref="J307">D307+F307</f>
        <v>530</v>
      </c>
      <c r="K307" s="30">
        <f t="array" ref="K307">E307+G307</f>
        <v>1000</v>
      </c>
      <c r="L307" s="12"/>
    </row>
    <row r="308" spans="1:12" ht="20.100000000000001" customHeight="1">
      <c r="A308" s="20" t="s">
        <v>432</v>
      </c>
      <c r="B308" s="21" t="s">
        <v>141</v>
      </c>
      <c r="C308" s="28">
        <f t="array" ref="C308">D308+E308+F308+G308</f>
        <v>1729</v>
      </c>
      <c r="D308" s="24">
        <v>390</v>
      </c>
      <c r="E308" s="24">
        <v>729</v>
      </c>
      <c r="F308" s="24">
        <v>219</v>
      </c>
      <c r="G308" s="24">
        <v>391</v>
      </c>
      <c r="H308" s="30">
        <f t="array" ref="H308">E308+D308</f>
        <v>1119</v>
      </c>
      <c r="I308" s="30">
        <f t="array" ref="I308">G308+F308</f>
        <v>610</v>
      </c>
      <c r="J308" s="30">
        <f t="array" ref="J308">D308+F308</f>
        <v>609</v>
      </c>
      <c r="K308" s="30">
        <f t="array" ref="K308">E308+G308</f>
        <v>1120</v>
      </c>
      <c r="L308" s="12"/>
    </row>
    <row r="309" spans="1:12" ht="20.100000000000001" customHeight="1">
      <c r="A309" s="20" t="s">
        <v>433</v>
      </c>
      <c r="B309" s="21" t="s">
        <v>143</v>
      </c>
      <c r="C309" s="28">
        <f t="array" ref="C309">D309+E309+F309+G309</f>
        <v>1839</v>
      </c>
      <c r="D309" s="24">
        <v>434</v>
      </c>
      <c r="E309" s="24">
        <v>756</v>
      </c>
      <c r="F309" s="24">
        <v>244</v>
      </c>
      <c r="G309" s="24">
        <v>405</v>
      </c>
      <c r="H309" s="30">
        <f t="array" ref="H309">E309+D309</f>
        <v>1190</v>
      </c>
      <c r="I309" s="30">
        <f t="array" ref="I309">G309+F309</f>
        <v>649</v>
      </c>
      <c r="J309" s="30">
        <f t="array" ref="J309">D309+F309</f>
        <v>678</v>
      </c>
      <c r="K309" s="30">
        <f t="array" ref="K309">E309+G309</f>
        <v>1161</v>
      </c>
      <c r="L309" s="12"/>
    </row>
    <row r="310" spans="1:12" ht="20.100000000000001" customHeight="1">
      <c r="A310" s="20" t="s">
        <v>434</v>
      </c>
      <c r="B310" s="21" t="s">
        <v>145</v>
      </c>
      <c r="C310" s="28">
        <f t="array" ref="C310">D310+E310+F310+G310</f>
        <v>1889</v>
      </c>
      <c r="D310" s="24">
        <v>432</v>
      </c>
      <c r="E310" s="24">
        <v>791</v>
      </c>
      <c r="F310" s="24">
        <v>243</v>
      </c>
      <c r="G310" s="24">
        <v>423</v>
      </c>
      <c r="H310" s="30">
        <f t="array" ref="H310">E310+D310</f>
        <v>1223</v>
      </c>
      <c r="I310" s="30">
        <f t="array" ref="I310">G310+F310</f>
        <v>666</v>
      </c>
      <c r="J310" s="30">
        <f t="array" ref="J310">D310+F310</f>
        <v>675</v>
      </c>
      <c r="K310" s="30">
        <f t="array" ref="K310">E310+G310</f>
        <v>1214</v>
      </c>
      <c r="L310" s="12"/>
    </row>
    <row r="311" spans="1:12" ht="20.100000000000001" customHeight="1">
      <c r="A311" s="20" t="s">
        <v>435</v>
      </c>
      <c r="B311" s="21" t="s">
        <v>147</v>
      </c>
      <c r="C311" s="28">
        <f t="array" ref="C311">D311+E311+F311+G311</f>
        <v>2035</v>
      </c>
      <c r="D311" s="24">
        <v>481</v>
      </c>
      <c r="E311" s="24">
        <v>835</v>
      </c>
      <c r="F311" s="24">
        <v>271</v>
      </c>
      <c r="G311" s="24">
        <v>448</v>
      </c>
      <c r="H311" s="30">
        <f t="array" ref="H311">E311+D311</f>
        <v>1316</v>
      </c>
      <c r="I311" s="30">
        <f t="array" ref="I311">G311+F311</f>
        <v>719</v>
      </c>
      <c r="J311" s="30">
        <f t="array" ref="J311">D311+F311</f>
        <v>752</v>
      </c>
      <c r="K311" s="30">
        <f t="array" ref="K311">E311+G311</f>
        <v>1283</v>
      </c>
      <c r="L311" s="12"/>
    </row>
    <row r="312" spans="1:12" ht="20.100000000000001" customHeight="1">
      <c r="A312" s="20" t="s">
        <v>436</v>
      </c>
      <c r="B312" s="21" t="s">
        <v>149</v>
      </c>
      <c r="C312" s="28">
        <f t="array" ref="C312">D312+E312+F312+G312</f>
        <v>2414</v>
      </c>
      <c r="D312" s="24">
        <v>548</v>
      </c>
      <c r="E312" s="24">
        <v>1014</v>
      </c>
      <c r="F312" s="24">
        <v>309</v>
      </c>
      <c r="G312" s="24">
        <v>543</v>
      </c>
      <c r="H312" s="30">
        <f t="array" ref="H312">E312+D312</f>
        <v>1562</v>
      </c>
      <c r="I312" s="30">
        <f t="array" ref="I312">G312+F312</f>
        <v>852</v>
      </c>
      <c r="J312" s="30">
        <f t="array" ref="J312">D312+F312</f>
        <v>857</v>
      </c>
      <c r="K312" s="30">
        <f t="array" ref="K312">E312+G312</f>
        <v>1557</v>
      </c>
      <c r="L312" s="12"/>
    </row>
    <row r="313" spans="1:12" ht="20.100000000000001" customHeight="1">
      <c r="A313" s="20" t="s">
        <v>437</v>
      </c>
      <c r="B313" s="21" t="s">
        <v>151</v>
      </c>
      <c r="C313" s="28">
        <f t="array" ref="C313">D313+E313+F313+G313</f>
        <v>2714</v>
      </c>
      <c r="D313" s="24">
        <v>657</v>
      </c>
      <c r="E313" s="24">
        <v>1099</v>
      </c>
      <c r="F313" s="24">
        <v>370</v>
      </c>
      <c r="G313" s="24">
        <v>588</v>
      </c>
      <c r="H313" s="30">
        <f t="array" ref="H313">E313+D313</f>
        <v>1756</v>
      </c>
      <c r="I313" s="30">
        <f t="array" ref="I313">G313+F313</f>
        <v>958</v>
      </c>
      <c r="J313" s="30">
        <f t="array" ref="J313">D313+F313</f>
        <v>1027</v>
      </c>
      <c r="K313" s="30">
        <f t="array" ref="K313">E313+G313</f>
        <v>1687</v>
      </c>
      <c r="L313" s="12"/>
    </row>
    <row r="314" spans="1:12" ht="20.100000000000001" customHeight="1">
      <c r="A314" s="20" t="s">
        <v>438</v>
      </c>
      <c r="B314" s="21" t="s">
        <v>153</v>
      </c>
      <c r="C314" s="28">
        <f t="array" ref="C314">D314+E314+F314+G314</f>
        <v>3380</v>
      </c>
      <c r="D314" s="24">
        <v>752</v>
      </c>
      <c r="E314" s="24">
        <v>1435</v>
      </c>
      <c r="F314" s="24">
        <v>424</v>
      </c>
      <c r="G314" s="24">
        <v>769</v>
      </c>
      <c r="H314" s="30">
        <f t="array" ref="H314">E314+D314</f>
        <v>2187</v>
      </c>
      <c r="I314" s="30">
        <f t="array" ref="I314">G314+F314</f>
        <v>1193</v>
      </c>
      <c r="J314" s="30">
        <f t="array" ref="J314">D314+F314</f>
        <v>1176</v>
      </c>
      <c r="K314" s="30">
        <f t="array" ref="K314">E314+G314</f>
        <v>2204</v>
      </c>
      <c r="L314" s="12"/>
    </row>
    <row r="315" spans="1:12" ht="20.100000000000001" customHeight="1">
      <c r="A315" s="20" t="s">
        <v>439</v>
      </c>
      <c r="B315" s="21" t="s">
        <v>155</v>
      </c>
      <c r="C315" s="28">
        <f t="array" ref="C315">D315+E315+F315+G315</f>
        <v>3816</v>
      </c>
      <c r="D315" s="24">
        <v>880</v>
      </c>
      <c r="E315" s="24">
        <v>1589</v>
      </c>
      <c r="F315" s="24">
        <v>496</v>
      </c>
      <c r="G315" s="24">
        <v>851</v>
      </c>
      <c r="H315" s="30">
        <f t="array" ref="H315">E315+D315</f>
        <v>2469</v>
      </c>
      <c r="I315" s="30">
        <f t="array" ref="I315">G315+F315</f>
        <v>1347</v>
      </c>
      <c r="J315" s="30">
        <f t="array" ref="J315">D315+F315</f>
        <v>1376</v>
      </c>
      <c r="K315" s="30">
        <f t="array" ref="K315">E315+G315</f>
        <v>2440</v>
      </c>
      <c r="L315" s="12"/>
    </row>
    <row r="316" spans="1:12" ht="20.100000000000001" customHeight="1">
      <c r="A316" s="20" t="s">
        <v>440</v>
      </c>
      <c r="B316" s="21" t="s">
        <v>157</v>
      </c>
      <c r="C316" s="28">
        <f t="array" ref="C316">D316+E316+F316+G316</f>
        <v>4239</v>
      </c>
      <c r="D316" s="24">
        <v>989</v>
      </c>
      <c r="E316" s="24">
        <v>1754</v>
      </c>
      <c r="F316" s="24">
        <v>557</v>
      </c>
      <c r="G316" s="24">
        <v>939</v>
      </c>
      <c r="H316" s="30">
        <f t="array" ref="H316">E316+D316</f>
        <v>2743</v>
      </c>
      <c r="I316" s="30">
        <f t="array" ref="I316">G316+F316</f>
        <v>1496</v>
      </c>
      <c r="J316" s="30">
        <f t="array" ref="J316">D316+F316</f>
        <v>1546</v>
      </c>
      <c r="K316" s="30">
        <f t="array" ref="K316">E316+G316</f>
        <v>2693</v>
      </c>
      <c r="L316" s="12"/>
    </row>
    <row r="317" spans="1:12" ht="20.100000000000001" customHeight="1">
      <c r="A317" s="20" t="s">
        <v>441</v>
      </c>
      <c r="B317" s="21" t="s">
        <v>159</v>
      </c>
      <c r="C317" s="28">
        <f t="array" ref="C317">D317+E317+F317+G317</f>
        <v>5130</v>
      </c>
      <c r="D317" s="24">
        <v>1482</v>
      </c>
      <c r="E317" s="24">
        <v>2590</v>
      </c>
      <c r="F317" s="24">
        <v>382</v>
      </c>
      <c r="G317" s="24">
        <v>676</v>
      </c>
      <c r="H317" s="30">
        <f t="array" ref="H317">E317+D317</f>
        <v>4072</v>
      </c>
      <c r="I317" s="30">
        <f t="array" ref="I317">G317+F317</f>
        <v>1058</v>
      </c>
      <c r="J317" s="30">
        <f t="array" ref="J317">D317+F317</f>
        <v>1864</v>
      </c>
      <c r="K317" s="30">
        <f t="array" ref="K317">E317+G317</f>
        <v>3266</v>
      </c>
      <c r="L317" s="12"/>
    </row>
    <row r="318" spans="1:12" ht="20.100000000000001" customHeight="1">
      <c r="A318" s="20" t="s">
        <v>442</v>
      </c>
      <c r="B318" s="21" t="s">
        <v>161</v>
      </c>
      <c r="C318" s="28">
        <f t="array" ref="C318">D318+E318+F318+G318</f>
        <v>5893</v>
      </c>
      <c r="D318" s="24">
        <v>1671</v>
      </c>
      <c r="E318" s="24">
        <v>3006</v>
      </c>
      <c r="F318" s="24">
        <v>431</v>
      </c>
      <c r="G318" s="24">
        <v>785</v>
      </c>
      <c r="H318" s="30">
        <f t="array" ref="H318">E318+D318</f>
        <v>4677</v>
      </c>
      <c r="I318" s="30">
        <f t="array" ref="I318">G318+F318</f>
        <v>1216</v>
      </c>
      <c r="J318" s="30">
        <f t="array" ref="J318">D318+F318</f>
        <v>2102</v>
      </c>
      <c r="K318" s="30">
        <f t="array" ref="K318">E318+G318</f>
        <v>3791</v>
      </c>
      <c r="L318" s="12"/>
    </row>
    <row r="319" spans="1:12" ht="20.100000000000001" customHeight="1">
      <c r="A319" s="20" t="s">
        <v>443</v>
      </c>
      <c r="B319" s="21" t="s">
        <v>163</v>
      </c>
      <c r="C319" s="28">
        <f t="array" ref="C319">D319+E319+F319+G319</f>
        <v>6582</v>
      </c>
      <c r="D319" s="24">
        <v>1854</v>
      </c>
      <c r="E319" s="24">
        <v>3370</v>
      </c>
      <c r="F319" s="24">
        <v>478</v>
      </c>
      <c r="G319" s="24">
        <v>880</v>
      </c>
      <c r="H319" s="30">
        <f t="array" ref="H319">E319+D319</f>
        <v>5224</v>
      </c>
      <c r="I319" s="30">
        <f t="array" ref="I319">G319+F319</f>
        <v>1358</v>
      </c>
      <c r="J319" s="30">
        <f t="array" ref="J319">D319+F319</f>
        <v>2332</v>
      </c>
      <c r="K319" s="30">
        <f t="array" ref="K319">E319+G319</f>
        <v>4250</v>
      </c>
      <c r="L319" s="12"/>
    </row>
    <row r="320" spans="1:12" ht="20.100000000000001" customHeight="1">
      <c r="A320" s="20" t="s">
        <v>444</v>
      </c>
      <c r="B320" s="21" t="s">
        <v>165</v>
      </c>
      <c r="C320" s="28">
        <f t="array" ref="C320">D320+E320+F320+G320</f>
        <v>7325</v>
      </c>
      <c r="D320" s="24">
        <v>2069</v>
      </c>
      <c r="E320" s="24">
        <v>3745</v>
      </c>
      <c r="F320" s="24">
        <v>533</v>
      </c>
      <c r="G320" s="24">
        <v>978</v>
      </c>
      <c r="H320" s="30">
        <f t="array" ref="H320">E320+D320</f>
        <v>5814</v>
      </c>
      <c r="I320" s="30">
        <f t="array" ref="I320">G320+F320</f>
        <v>1511</v>
      </c>
      <c r="J320" s="30">
        <f t="array" ref="J320">D320+F320</f>
        <v>2602</v>
      </c>
      <c r="K320" s="30">
        <f t="array" ref="K320">E320+G320</f>
        <v>4723</v>
      </c>
      <c r="L320" s="12"/>
    </row>
    <row r="321" spans="1:12" ht="20.100000000000001" customHeight="1">
      <c r="A321" s="20" t="s">
        <v>445</v>
      </c>
      <c r="B321" s="21" t="s">
        <v>167</v>
      </c>
      <c r="C321" s="28">
        <f t="array" ref="C321">D321+E321+F321+G321</f>
        <v>8329</v>
      </c>
      <c r="D321" s="24">
        <v>2345</v>
      </c>
      <c r="E321" s="24">
        <v>4265</v>
      </c>
      <c r="F321" s="24">
        <v>605</v>
      </c>
      <c r="G321" s="24">
        <v>1114</v>
      </c>
      <c r="H321" s="30">
        <f t="array" ref="H321">E321+D321</f>
        <v>6610</v>
      </c>
      <c r="I321" s="30">
        <f t="array" ref="I321">G321+F321</f>
        <v>1719</v>
      </c>
      <c r="J321" s="30">
        <f t="array" ref="J321">D321+F321</f>
        <v>2950</v>
      </c>
      <c r="K321" s="30">
        <f t="array" ref="K321">E321+G321</f>
        <v>5379</v>
      </c>
      <c r="L321" s="12"/>
    </row>
    <row r="322" spans="1:12" ht="20.100000000000001" customHeight="1">
      <c r="A322" s="20" t="s">
        <v>446</v>
      </c>
      <c r="B322" s="21" t="s">
        <v>169</v>
      </c>
      <c r="C322" s="28">
        <f t="array" ref="C322">D322+E322+F322+G322</f>
        <v>9221</v>
      </c>
      <c r="D322" s="24">
        <v>2611</v>
      </c>
      <c r="E322" s="24">
        <v>4707</v>
      </c>
      <c r="F322" s="24">
        <v>674</v>
      </c>
      <c r="G322" s="24">
        <v>1229</v>
      </c>
      <c r="H322" s="30">
        <f t="array" ref="H322">E322+D322</f>
        <v>7318</v>
      </c>
      <c r="I322" s="30">
        <f t="array" ref="I322">G322+F322</f>
        <v>1903</v>
      </c>
      <c r="J322" s="30">
        <f t="array" ref="J322">D322+F322</f>
        <v>3285</v>
      </c>
      <c r="K322" s="30">
        <f t="array" ref="K322">E322+G322</f>
        <v>5936</v>
      </c>
      <c r="L322" s="12"/>
    </row>
    <row r="323" spans="1:12" ht="20.100000000000001" customHeight="1">
      <c r="A323" s="20" t="s">
        <v>447</v>
      </c>
      <c r="B323" s="21" t="s">
        <v>171</v>
      </c>
      <c r="C323" s="28">
        <f t="array" ref="C323">D323+E323+F323+G323</f>
        <v>9981</v>
      </c>
      <c r="D323" s="24">
        <v>2839</v>
      </c>
      <c r="E323" s="24">
        <v>5083</v>
      </c>
      <c r="F323" s="24">
        <v>732</v>
      </c>
      <c r="G323" s="24">
        <v>1327</v>
      </c>
      <c r="H323" s="30">
        <f t="array" ref="H323">E323+D323</f>
        <v>7922</v>
      </c>
      <c r="I323" s="30">
        <f t="array" ref="I323">G323+F323</f>
        <v>2059</v>
      </c>
      <c r="J323" s="30">
        <f t="array" ref="J323">D323+F323</f>
        <v>3571</v>
      </c>
      <c r="K323" s="30">
        <f t="array" ref="K323">E323+G323</f>
        <v>6410</v>
      </c>
      <c r="L323" s="12"/>
    </row>
    <row r="324" spans="1:12" ht="20.100000000000001" customHeight="1">
      <c r="A324" s="20" t="s">
        <v>448</v>
      </c>
      <c r="B324" s="21" t="s">
        <v>173</v>
      </c>
      <c r="C324" s="28">
        <f t="array" ref="C324">D324+E324+F324+G324</f>
        <v>10869</v>
      </c>
      <c r="D324" s="24">
        <v>3042</v>
      </c>
      <c r="E324" s="24">
        <v>5584</v>
      </c>
      <c r="F324" s="24">
        <v>785</v>
      </c>
      <c r="G324" s="24">
        <v>1458</v>
      </c>
      <c r="H324" s="30">
        <f t="array" ref="H324">E324+D324</f>
        <v>8626</v>
      </c>
      <c r="I324" s="30">
        <f t="array" ref="I324">G324+F324</f>
        <v>2243</v>
      </c>
      <c r="J324" s="30">
        <f t="array" ref="J324">D324+F324</f>
        <v>3827</v>
      </c>
      <c r="K324" s="30">
        <f t="array" ref="K324">E324+G324</f>
        <v>7042</v>
      </c>
      <c r="L324" s="12"/>
    </row>
    <row r="325" spans="1:12" ht="20.100000000000001" customHeight="1">
      <c r="A325" s="20" t="s">
        <v>449</v>
      </c>
      <c r="B325" s="21" t="s">
        <v>175</v>
      </c>
      <c r="C325" s="28">
        <f t="array" ref="C325">D325+E325+F325+G325</f>
        <v>11653</v>
      </c>
      <c r="D325" s="24">
        <v>3343</v>
      </c>
      <c r="E325" s="24">
        <v>5906</v>
      </c>
      <c r="F325" s="24">
        <v>862</v>
      </c>
      <c r="G325" s="24">
        <v>1542</v>
      </c>
      <c r="H325" s="30">
        <f t="array" ref="H325">E325+D325</f>
        <v>9249</v>
      </c>
      <c r="I325" s="30">
        <f t="array" ref="I325">G325+F325</f>
        <v>2404</v>
      </c>
      <c r="J325" s="30">
        <f t="array" ref="J325">D325+F325</f>
        <v>4205</v>
      </c>
      <c r="K325" s="30">
        <f t="array" ref="K325">E325+G325</f>
        <v>7448</v>
      </c>
      <c r="L325" s="12"/>
    </row>
    <row r="326" spans="1:12" ht="20.100000000000001" customHeight="1">
      <c r="A326" s="20" t="s">
        <v>450</v>
      </c>
      <c r="B326" s="21" t="s">
        <v>177</v>
      </c>
      <c r="C326" s="28">
        <f t="array" ref="C326">D326+E326+F326+G326</f>
        <v>12621</v>
      </c>
      <c r="D326" s="24">
        <v>3619</v>
      </c>
      <c r="E326" s="24">
        <v>6398</v>
      </c>
      <c r="F326" s="24">
        <v>933</v>
      </c>
      <c r="G326" s="24">
        <v>1671</v>
      </c>
      <c r="H326" s="30">
        <f t="array" ref="H326">E326+D326</f>
        <v>10017</v>
      </c>
      <c r="I326" s="30">
        <f t="array" ref="I326">G326+F326</f>
        <v>2604</v>
      </c>
      <c r="J326" s="30">
        <f t="array" ref="J326">D326+F326</f>
        <v>4552</v>
      </c>
      <c r="K326" s="30">
        <f t="array" ref="K326">E326+G326</f>
        <v>8069</v>
      </c>
      <c r="L326" s="12"/>
    </row>
    <row r="327" spans="1:12" ht="20.100000000000001" customHeight="1">
      <c r="A327" s="20" t="s">
        <v>451</v>
      </c>
      <c r="B327" s="21" t="s">
        <v>179</v>
      </c>
      <c r="C327" s="28">
        <f t="array" ref="C327">D327+E327+F327+G327</f>
        <v>13041</v>
      </c>
      <c r="D327" s="24">
        <v>3839</v>
      </c>
      <c r="E327" s="24">
        <v>6895</v>
      </c>
      <c r="F327" s="24">
        <v>826</v>
      </c>
      <c r="G327" s="24">
        <v>1481</v>
      </c>
      <c r="H327" s="30">
        <f t="array" ref="H327">E327+D327</f>
        <v>10734</v>
      </c>
      <c r="I327" s="30">
        <f t="array" ref="I327">G327+F327</f>
        <v>2307</v>
      </c>
      <c r="J327" s="30">
        <f t="array" ref="J327">D327+F327</f>
        <v>4665</v>
      </c>
      <c r="K327" s="30">
        <f t="array" ref="K327">E327+G327</f>
        <v>8376</v>
      </c>
      <c r="L327" s="12"/>
    </row>
    <row r="328" spans="1:12" ht="20.100000000000001" customHeight="1">
      <c r="A328" s="20" t="s">
        <v>452</v>
      </c>
      <c r="B328" s="21" t="s">
        <v>181</v>
      </c>
      <c r="C328" s="28">
        <f t="array" ref="C328">D328+E328+F328+G328</f>
        <v>13698</v>
      </c>
      <c r="D328" s="24">
        <v>4177</v>
      </c>
      <c r="E328" s="24">
        <v>7098</v>
      </c>
      <c r="F328" s="24">
        <v>899</v>
      </c>
      <c r="G328" s="24">
        <v>1524</v>
      </c>
      <c r="H328" s="30">
        <f t="array" ref="H328">E328+D328</f>
        <v>11275</v>
      </c>
      <c r="I328" s="30">
        <f t="array" ref="I328">G328+F328</f>
        <v>2423</v>
      </c>
      <c r="J328" s="30">
        <f t="array" ref="J328">D328+F328</f>
        <v>5076</v>
      </c>
      <c r="K328" s="30">
        <f t="array" ref="K328">E328+G328</f>
        <v>8622</v>
      </c>
      <c r="L328" s="12"/>
    </row>
    <row r="329" spans="1:12" ht="20.100000000000001" customHeight="1">
      <c r="A329" s="20" t="s">
        <v>453</v>
      </c>
      <c r="B329" s="21" t="s">
        <v>183</v>
      </c>
      <c r="C329" s="28">
        <f t="array" ref="C329">D329+E329+F329+G329</f>
        <v>14422</v>
      </c>
      <c r="D329" s="24">
        <v>4428</v>
      </c>
      <c r="E329" s="24">
        <v>7443</v>
      </c>
      <c r="F329" s="24">
        <v>953</v>
      </c>
      <c r="G329" s="24">
        <v>1598</v>
      </c>
      <c r="H329" s="30">
        <f t="array" ref="H329">E329+D329</f>
        <v>11871</v>
      </c>
      <c r="I329" s="30">
        <f t="array" ref="I329">G329+F329</f>
        <v>2551</v>
      </c>
      <c r="J329" s="30">
        <f t="array" ref="J329">D329+F329</f>
        <v>5381</v>
      </c>
      <c r="K329" s="30">
        <f t="array" ref="K329">E329+G329</f>
        <v>9041</v>
      </c>
      <c r="L329" s="12"/>
    </row>
    <row r="330" spans="1:12" ht="20.100000000000001" customHeight="1">
      <c r="A330" s="20" t="s">
        <v>454</v>
      </c>
      <c r="B330" s="21" t="s">
        <v>185</v>
      </c>
      <c r="C330" s="28">
        <f t="array" ref="C330">D330+E330+F330+G330</f>
        <v>15078</v>
      </c>
      <c r="D330" s="24">
        <v>4633</v>
      </c>
      <c r="E330" s="24">
        <v>7778</v>
      </c>
      <c r="F330" s="24">
        <v>997</v>
      </c>
      <c r="G330" s="24">
        <v>1670</v>
      </c>
      <c r="H330" s="30">
        <f t="array" ref="H330">E330+D330</f>
        <v>12411</v>
      </c>
      <c r="I330" s="30">
        <f t="array" ref="I330">G330+F330</f>
        <v>2667</v>
      </c>
      <c r="J330" s="30">
        <f t="array" ref="J330">D330+F330</f>
        <v>5630</v>
      </c>
      <c r="K330" s="30">
        <f t="array" ref="K330">E330+G330</f>
        <v>9448</v>
      </c>
      <c r="L330" s="12"/>
    </row>
    <row r="331" spans="1:12" ht="20.100000000000001" customHeight="1">
      <c r="A331" s="20" t="s">
        <v>455</v>
      </c>
      <c r="B331" s="21" t="s">
        <v>187</v>
      </c>
      <c r="C331" s="28">
        <f t="array" ref="C331">D331+E331+F331+G331</f>
        <v>15881</v>
      </c>
      <c r="D331" s="24">
        <v>4836</v>
      </c>
      <c r="E331" s="24">
        <v>8236</v>
      </c>
      <c r="F331" s="24">
        <v>1040</v>
      </c>
      <c r="G331" s="24">
        <v>1769</v>
      </c>
      <c r="H331" s="30">
        <f t="array" ref="H331">E331+D331</f>
        <v>13072</v>
      </c>
      <c r="I331" s="30">
        <f t="array" ref="I331">G331+F331</f>
        <v>2809</v>
      </c>
      <c r="J331" s="30">
        <f t="array" ref="J331">D331+F331</f>
        <v>5876</v>
      </c>
      <c r="K331" s="30">
        <f t="array" ref="K331">E331+G331</f>
        <v>10005</v>
      </c>
      <c r="L331" s="12"/>
    </row>
    <row r="332" spans="1:12" ht="20.100000000000001" customHeight="1">
      <c r="A332" s="20" t="s">
        <v>456</v>
      </c>
      <c r="B332" s="21" t="s">
        <v>189</v>
      </c>
      <c r="C332" s="28">
        <f t="array" ref="C332">D332+E332+F332+G332</f>
        <v>16420</v>
      </c>
      <c r="D332" s="24">
        <v>5230</v>
      </c>
      <c r="E332" s="24">
        <v>8286</v>
      </c>
      <c r="F332" s="24">
        <v>1125</v>
      </c>
      <c r="G332" s="24">
        <v>1779</v>
      </c>
      <c r="H332" s="30">
        <f t="array" ref="H332">E332+D332</f>
        <v>13516</v>
      </c>
      <c r="I332" s="30">
        <f t="array" ref="I332">G332+F332</f>
        <v>2904</v>
      </c>
      <c r="J332" s="30">
        <f t="array" ref="J332">D332+F332</f>
        <v>6355</v>
      </c>
      <c r="K332" s="30">
        <f t="array" ref="K332">E332+G332</f>
        <v>10065</v>
      </c>
      <c r="L332" s="12"/>
    </row>
    <row r="333" spans="1:12" ht="20.100000000000001" customHeight="1">
      <c r="A333" s="20" t="s">
        <v>457</v>
      </c>
      <c r="B333" s="21" t="s">
        <v>191</v>
      </c>
      <c r="C333" s="28">
        <f t="array" ref="C333">D333+E333+F333+G333</f>
        <v>17444</v>
      </c>
      <c r="D333" s="24">
        <v>5650</v>
      </c>
      <c r="E333" s="24">
        <v>8708</v>
      </c>
      <c r="F333" s="24">
        <v>1216</v>
      </c>
      <c r="G333" s="24">
        <v>1870</v>
      </c>
      <c r="H333" s="30">
        <f t="array" ref="H333">E333+D333</f>
        <v>14358</v>
      </c>
      <c r="I333" s="30">
        <f t="array" ref="I333">G333+F333</f>
        <v>3086</v>
      </c>
      <c r="J333" s="30">
        <f t="array" ref="J333">D333+F333</f>
        <v>6866</v>
      </c>
      <c r="K333" s="30">
        <f t="array" ref="K333">E333+G333</f>
        <v>10578</v>
      </c>
      <c r="L333" s="12"/>
    </row>
    <row r="334" spans="1:12" ht="20.100000000000001" customHeight="1">
      <c r="A334" s="20" t="s">
        <v>458</v>
      </c>
      <c r="B334" s="21" t="s">
        <v>193</v>
      </c>
      <c r="C334" s="28">
        <f t="array" ref="C334">D334+E334+F334+G334</f>
        <v>18548</v>
      </c>
      <c r="D334" s="24">
        <v>6157</v>
      </c>
      <c r="E334" s="24">
        <v>9110</v>
      </c>
      <c r="F334" s="24">
        <v>1325</v>
      </c>
      <c r="G334" s="24">
        <v>1956</v>
      </c>
      <c r="H334" s="30">
        <f t="array" ref="H334">E334+D334</f>
        <v>15267</v>
      </c>
      <c r="I334" s="30">
        <f t="array" ref="I334">G334+F334</f>
        <v>3281</v>
      </c>
      <c r="J334" s="30">
        <f t="array" ref="J334">D334+F334</f>
        <v>7482</v>
      </c>
      <c r="K334" s="30">
        <f t="array" ref="K334">E334+G334</f>
        <v>11066</v>
      </c>
      <c r="L334" s="12"/>
    </row>
    <row r="335" spans="1:12" ht="20.100000000000001" customHeight="1">
      <c r="A335" s="20" t="s">
        <v>459</v>
      </c>
      <c r="B335" s="21" t="s">
        <v>195</v>
      </c>
      <c r="C335" s="28">
        <f t="array" ref="C335">D335+E335+F335+G335</f>
        <v>19396</v>
      </c>
      <c r="D335" s="24">
        <v>6490</v>
      </c>
      <c r="E335" s="24">
        <v>9475</v>
      </c>
      <c r="F335" s="24">
        <v>1396</v>
      </c>
      <c r="G335" s="24">
        <v>2035</v>
      </c>
      <c r="H335" s="30">
        <f t="array" ref="H335">E335+D335</f>
        <v>15965</v>
      </c>
      <c r="I335" s="30">
        <f t="array" ref="I335">G335+F335</f>
        <v>3431</v>
      </c>
      <c r="J335" s="30">
        <f t="array" ref="J335">D335+F335</f>
        <v>7886</v>
      </c>
      <c r="K335" s="30">
        <f t="array" ref="K335">E335+G335</f>
        <v>11510</v>
      </c>
      <c r="L335" s="12"/>
    </row>
    <row r="336" spans="1:12" ht="20.100000000000001" customHeight="1">
      <c r="A336" s="20" t="s">
        <v>460</v>
      </c>
      <c r="B336" s="21" t="s">
        <v>197</v>
      </c>
      <c r="C336" s="28">
        <f t="array" ref="C336">D336+E336+F336+G336</f>
        <v>20596</v>
      </c>
      <c r="D336" s="24">
        <v>6979</v>
      </c>
      <c r="E336" s="24">
        <v>9973</v>
      </c>
      <c r="F336" s="24">
        <v>1502</v>
      </c>
      <c r="G336" s="24">
        <v>2142</v>
      </c>
      <c r="H336" s="30">
        <f t="array" ref="H336">E336+D336</f>
        <v>16952</v>
      </c>
      <c r="I336" s="30">
        <f t="array" ref="I336">G336+F336</f>
        <v>3644</v>
      </c>
      <c r="J336" s="30">
        <f t="array" ref="J336">D336+F336</f>
        <v>8481</v>
      </c>
      <c r="K336" s="30">
        <f t="array" ref="K336">E336+G336</f>
        <v>12115</v>
      </c>
      <c r="L336" s="12"/>
    </row>
    <row r="337" spans="1:12" ht="20.100000000000001" customHeight="1">
      <c r="A337" s="20" t="s">
        <v>461</v>
      </c>
      <c r="B337" s="21" t="s">
        <v>199</v>
      </c>
      <c r="C337" s="28">
        <f t="array" ref="C337">D337+E337+F337+G337</f>
        <v>21085</v>
      </c>
      <c r="D337" s="24">
        <v>7561</v>
      </c>
      <c r="E337" s="24">
        <v>10581</v>
      </c>
      <c r="F337" s="24">
        <v>1228</v>
      </c>
      <c r="G337" s="24">
        <v>1715</v>
      </c>
      <c r="H337" s="30">
        <f t="array" ref="H337">E337+D337</f>
        <v>18142</v>
      </c>
      <c r="I337" s="30">
        <f t="array" ref="I337">G337+F337</f>
        <v>2943</v>
      </c>
      <c r="J337" s="30">
        <f t="array" ref="J337">D337+F337</f>
        <v>8789</v>
      </c>
      <c r="K337" s="30">
        <f t="array" ref="K337">E337+G337</f>
        <v>12296</v>
      </c>
      <c r="L337" s="12"/>
    </row>
    <row r="338" spans="1:12" ht="20.100000000000001" customHeight="1">
      <c r="A338" s="20" t="s">
        <v>462</v>
      </c>
      <c r="B338" s="21" t="s">
        <v>201</v>
      </c>
      <c r="C338" s="28">
        <f t="array" ref="C338">D338+E338+F338+G338</f>
        <v>20766</v>
      </c>
      <c r="D338" s="24">
        <v>7571</v>
      </c>
      <c r="E338" s="24">
        <v>10297</v>
      </c>
      <c r="F338" s="24">
        <v>1229</v>
      </c>
      <c r="G338" s="24">
        <v>1669</v>
      </c>
      <c r="H338" s="30">
        <f t="array" ref="H338">E338+D338</f>
        <v>17868</v>
      </c>
      <c r="I338" s="30">
        <f t="array" ref="I338">G338+F338</f>
        <v>2898</v>
      </c>
      <c r="J338" s="30">
        <f t="array" ref="J338">D338+F338</f>
        <v>8800</v>
      </c>
      <c r="K338" s="30">
        <f t="array" ref="K338">E338+G338</f>
        <v>11966</v>
      </c>
      <c r="L338" s="12"/>
    </row>
    <row r="339" spans="1:12" ht="20.100000000000001" customHeight="1">
      <c r="A339" s="20" t="s">
        <v>463</v>
      </c>
      <c r="B339" s="21" t="s">
        <v>203</v>
      </c>
      <c r="C339" s="28">
        <f t="array" ref="C339">D339+E339+F339+G339</f>
        <v>21371</v>
      </c>
      <c r="D339" s="24">
        <v>8018</v>
      </c>
      <c r="E339" s="24">
        <v>10370</v>
      </c>
      <c r="F339" s="24">
        <v>1302</v>
      </c>
      <c r="G339" s="24">
        <v>1681</v>
      </c>
      <c r="H339" s="30">
        <f t="array" ref="H339">E339+D339</f>
        <v>18388</v>
      </c>
      <c r="I339" s="30">
        <f t="array" ref="I339">G339+F339</f>
        <v>2983</v>
      </c>
      <c r="J339" s="30">
        <f t="array" ref="J339">D339+F339</f>
        <v>9320</v>
      </c>
      <c r="K339" s="30">
        <f t="array" ref="K339">E339+G339</f>
        <v>12051</v>
      </c>
      <c r="L339" s="12"/>
    </row>
    <row r="340" spans="1:12" ht="20.100000000000001" customHeight="1">
      <c r="A340" s="20" t="s">
        <v>464</v>
      </c>
      <c r="B340" s="21" t="s">
        <v>205</v>
      </c>
      <c r="C340" s="28">
        <f t="array" ref="C340">D340+E340+F340+G340</f>
        <v>17846</v>
      </c>
      <c r="D340" s="24">
        <v>6913</v>
      </c>
      <c r="E340" s="24">
        <v>8443</v>
      </c>
      <c r="F340" s="24">
        <v>1122</v>
      </c>
      <c r="G340" s="24">
        <v>1368</v>
      </c>
      <c r="H340" s="30">
        <f t="array" ref="H340">E340+D340</f>
        <v>15356</v>
      </c>
      <c r="I340" s="30">
        <f t="array" ref="I340">G340+F340</f>
        <v>2490</v>
      </c>
      <c r="J340" s="30">
        <f t="array" ref="J340">D340+F340</f>
        <v>8035</v>
      </c>
      <c r="K340" s="30">
        <f t="array" ref="K340">E340+G340</f>
        <v>9811</v>
      </c>
      <c r="L340" s="12"/>
    </row>
    <row r="341" spans="1:12" ht="20.100000000000001" customHeight="1">
      <c r="A341" s="20" t="s">
        <v>465</v>
      </c>
      <c r="B341" s="21" t="s">
        <v>207</v>
      </c>
      <c r="C341" s="28">
        <f t="array" ref="C341">D341+E341+F341+G341</f>
        <v>23037</v>
      </c>
      <c r="D341" s="24">
        <v>9035</v>
      </c>
      <c r="E341" s="24">
        <v>10787</v>
      </c>
      <c r="F341" s="24">
        <v>1467</v>
      </c>
      <c r="G341" s="24">
        <v>1748</v>
      </c>
      <c r="H341" s="30">
        <f t="array" ref="H341">E341+D341</f>
        <v>19822</v>
      </c>
      <c r="I341" s="30">
        <f t="array" ref="I341">G341+F341</f>
        <v>3215</v>
      </c>
      <c r="J341" s="30">
        <f t="array" ref="J341">D341+F341</f>
        <v>10502</v>
      </c>
      <c r="K341" s="30">
        <f t="array" ref="K341">E341+G341</f>
        <v>12535</v>
      </c>
      <c r="L341" s="12"/>
    </row>
    <row r="342" spans="1:12" ht="20.100000000000001" customHeight="1">
      <c r="A342" s="20" t="s">
        <v>466</v>
      </c>
      <c r="B342" s="21" t="s">
        <v>209</v>
      </c>
      <c r="C342" s="28">
        <f t="array" ref="C342">D342+E342+F342+G342</f>
        <v>28771</v>
      </c>
      <c r="D342" s="24">
        <v>11355</v>
      </c>
      <c r="E342" s="24">
        <v>13400</v>
      </c>
      <c r="F342" s="24">
        <v>1844</v>
      </c>
      <c r="G342" s="24">
        <v>2172</v>
      </c>
      <c r="H342" s="30">
        <f t="array" ref="H342">E342+D342</f>
        <v>24755</v>
      </c>
      <c r="I342" s="30">
        <f t="array" ref="I342">G342+F342</f>
        <v>4016</v>
      </c>
      <c r="J342" s="30">
        <f t="array" ref="J342">D342+F342</f>
        <v>13199</v>
      </c>
      <c r="K342" s="30">
        <f t="array" ref="K342">E342+G342</f>
        <v>15572</v>
      </c>
      <c r="L342" s="12"/>
    </row>
    <row r="343" spans="1:12" ht="20.100000000000001" customHeight="1">
      <c r="A343" s="20" t="s">
        <v>467</v>
      </c>
      <c r="B343" s="21" t="s">
        <v>211</v>
      </c>
      <c r="C343" s="28">
        <f t="array" ref="C343">D343+E343+F343+G343</f>
        <v>29554</v>
      </c>
      <c r="D343" s="24">
        <v>11917</v>
      </c>
      <c r="E343" s="24">
        <v>13512</v>
      </c>
      <c r="F343" s="24">
        <v>1935</v>
      </c>
      <c r="G343" s="24">
        <v>2190</v>
      </c>
      <c r="H343" s="30">
        <f t="array" ref="H343">E343+D343</f>
        <v>25429</v>
      </c>
      <c r="I343" s="30">
        <f t="array" ref="I343">G343+F343</f>
        <v>4125</v>
      </c>
      <c r="J343" s="30">
        <f t="array" ref="J343">D343+F343</f>
        <v>13852</v>
      </c>
      <c r="K343" s="30">
        <f t="array" ref="K343">E343+G343</f>
        <v>15702</v>
      </c>
      <c r="L343" s="12"/>
    </row>
    <row r="344" spans="1:12" ht="20.100000000000001" customHeight="1">
      <c r="A344" s="20" t="s">
        <v>468</v>
      </c>
      <c r="B344" s="21" t="s">
        <v>213</v>
      </c>
      <c r="C344" s="28">
        <f t="array" ref="C344">D344+E344+F344+G344</f>
        <v>35716</v>
      </c>
      <c r="D344" s="24">
        <v>14908</v>
      </c>
      <c r="E344" s="24">
        <v>15824</v>
      </c>
      <c r="F344" s="24">
        <v>2420</v>
      </c>
      <c r="G344" s="24">
        <v>2564</v>
      </c>
      <c r="H344" s="30">
        <f t="array" ref="H344">E344+D344</f>
        <v>30732</v>
      </c>
      <c r="I344" s="30">
        <f t="array" ref="I344">G344+F344</f>
        <v>4984</v>
      </c>
      <c r="J344" s="30">
        <f t="array" ref="J344">D344+F344</f>
        <v>17328</v>
      </c>
      <c r="K344" s="30">
        <f t="array" ref="K344">E344+G344</f>
        <v>18388</v>
      </c>
      <c r="L344" s="12"/>
    </row>
    <row r="345" spans="1:12" ht="20.100000000000001" customHeight="1">
      <c r="A345" s="20" t="s">
        <v>469</v>
      </c>
      <c r="B345" s="21" t="s">
        <v>215</v>
      </c>
      <c r="C345" s="28">
        <f t="array" ref="C345">D345+E345+F345+G345</f>
        <v>40779</v>
      </c>
      <c r="D345" s="24">
        <v>17271</v>
      </c>
      <c r="E345" s="24">
        <v>17817</v>
      </c>
      <c r="F345" s="24">
        <v>2804</v>
      </c>
      <c r="G345" s="24">
        <v>2887</v>
      </c>
      <c r="H345" s="30">
        <f t="array" ref="H345">E345+D345</f>
        <v>35088</v>
      </c>
      <c r="I345" s="30">
        <f t="array" ref="I345">G345+F345</f>
        <v>5691</v>
      </c>
      <c r="J345" s="30">
        <f t="array" ref="J345">D345+F345</f>
        <v>20075</v>
      </c>
      <c r="K345" s="30">
        <f t="array" ref="K345">E345+G345</f>
        <v>20704</v>
      </c>
      <c r="L345" s="12"/>
    </row>
    <row r="346" spans="1:12" ht="20.100000000000001" customHeight="1">
      <c r="A346" s="20" t="s">
        <v>470</v>
      </c>
      <c r="B346" s="21" t="s">
        <v>217</v>
      </c>
      <c r="C346" s="28">
        <f t="array" ref="C346">D346+E346+F346+G346</f>
        <v>46477</v>
      </c>
      <c r="D346" s="24">
        <v>20400</v>
      </c>
      <c r="E346" s="24">
        <v>19590</v>
      </c>
      <c r="F346" s="24">
        <v>3312</v>
      </c>
      <c r="G346" s="24">
        <v>3175</v>
      </c>
      <c r="H346" s="30">
        <f t="array" ref="H346">E346+D346</f>
        <v>39990</v>
      </c>
      <c r="I346" s="30">
        <f t="array" ref="I346">G346+F346</f>
        <v>6487</v>
      </c>
      <c r="J346" s="30">
        <f t="array" ref="J346">D346+F346</f>
        <v>23712</v>
      </c>
      <c r="K346" s="30">
        <f t="array" ref="K346">E346+G346</f>
        <v>22765</v>
      </c>
      <c r="L346" s="12"/>
    </row>
    <row r="347" spans="1:12" ht="20.100000000000001" customHeight="1">
      <c r="A347" s="20" t="s">
        <v>471</v>
      </c>
      <c r="B347" s="21" t="s">
        <v>219</v>
      </c>
      <c r="C347" s="28">
        <f t="array" ref="C347">D347+E347+F347+G347</f>
        <v>46688</v>
      </c>
      <c r="D347" s="24">
        <v>22272</v>
      </c>
      <c r="E347" s="24">
        <v>20089</v>
      </c>
      <c r="F347" s="24">
        <v>2277</v>
      </c>
      <c r="G347" s="24">
        <v>2050</v>
      </c>
      <c r="H347" s="30">
        <f t="array" ref="H347">E347+D347</f>
        <v>42361</v>
      </c>
      <c r="I347" s="30">
        <f t="array" ref="I347">G347+F347</f>
        <v>4327</v>
      </c>
      <c r="J347" s="30">
        <f t="array" ref="J347">D347+F347</f>
        <v>24549</v>
      </c>
      <c r="K347" s="30">
        <f t="array" ref="K347">E347+G347</f>
        <v>22139</v>
      </c>
      <c r="L347" s="12"/>
    </row>
    <row r="348" spans="1:12" ht="20.100000000000001" customHeight="1">
      <c r="A348" s="20" t="s">
        <v>472</v>
      </c>
      <c r="B348" s="21" t="s">
        <v>221</v>
      </c>
      <c r="C348" s="28">
        <f t="array" ref="C348">D348+E348+F348+G348</f>
        <v>45245</v>
      </c>
      <c r="D348" s="24">
        <v>22183</v>
      </c>
      <c r="E348" s="24">
        <v>18868</v>
      </c>
      <c r="F348" s="24">
        <v>2268</v>
      </c>
      <c r="G348" s="24">
        <v>1926</v>
      </c>
      <c r="H348" s="30">
        <f t="array" ref="H348">E348+D348</f>
        <v>41051</v>
      </c>
      <c r="I348" s="30">
        <f t="array" ref="I348">G348+F348</f>
        <v>4194</v>
      </c>
      <c r="J348" s="30">
        <f t="array" ref="J348">D348+F348</f>
        <v>24451</v>
      </c>
      <c r="K348" s="30">
        <f t="array" ref="K348">E348+G348</f>
        <v>20794</v>
      </c>
      <c r="L348" s="12"/>
    </row>
    <row r="349" spans="1:12" ht="20.100000000000001" customHeight="1">
      <c r="A349" s="20" t="s">
        <v>473</v>
      </c>
      <c r="B349" s="21" t="s">
        <v>223</v>
      </c>
      <c r="C349" s="28">
        <f t="array" ref="C349">D349+E349+F349+G349</f>
        <v>44876</v>
      </c>
      <c r="D349" s="24">
        <v>22612</v>
      </c>
      <c r="E349" s="24">
        <v>18104</v>
      </c>
      <c r="F349" s="24">
        <v>2312</v>
      </c>
      <c r="G349" s="24">
        <v>1848</v>
      </c>
      <c r="H349" s="30">
        <f t="array" ref="H349">E349+D349</f>
        <v>40716</v>
      </c>
      <c r="I349" s="30">
        <f t="array" ref="I349">G349+F349</f>
        <v>4160</v>
      </c>
      <c r="J349" s="30">
        <f t="array" ref="J349">D349+F349</f>
        <v>24924</v>
      </c>
      <c r="K349" s="30">
        <f t="array" ref="K349">E349+G349</f>
        <v>19952</v>
      </c>
      <c r="L349" s="12"/>
    </row>
    <row r="350" spans="1:12" ht="20.100000000000001" customHeight="1">
      <c r="A350" s="20" t="s">
        <v>474</v>
      </c>
      <c r="B350" s="21" t="s">
        <v>225</v>
      </c>
      <c r="C350" s="28">
        <f t="array" ref="C350">D350+E350+F350+G350</f>
        <v>43903</v>
      </c>
      <c r="D350" s="24">
        <v>22805</v>
      </c>
      <c r="E350" s="24">
        <v>17028</v>
      </c>
      <c r="F350" s="24">
        <v>2332</v>
      </c>
      <c r="G350" s="24">
        <v>1738</v>
      </c>
      <c r="H350" s="30">
        <f t="array" ref="H350">E350+D350</f>
        <v>39833</v>
      </c>
      <c r="I350" s="30">
        <f t="array" ref="I350">G350+F350</f>
        <v>4070</v>
      </c>
      <c r="J350" s="30">
        <f t="array" ref="J350">D350+F350</f>
        <v>25137</v>
      </c>
      <c r="K350" s="30">
        <f t="array" ref="K350">E350+G350</f>
        <v>18766</v>
      </c>
      <c r="L350" s="12"/>
    </row>
    <row r="351" spans="1:12" ht="20.100000000000001" customHeight="1">
      <c r="A351" s="20" t="s">
        <v>475</v>
      </c>
      <c r="B351" s="21" t="s">
        <v>227</v>
      </c>
      <c r="C351" s="28">
        <f t="array" ref="C351">D351+E351+F351+G351</f>
        <v>42398</v>
      </c>
      <c r="D351" s="24">
        <v>22399</v>
      </c>
      <c r="E351" s="24">
        <v>16069</v>
      </c>
      <c r="F351" s="24">
        <v>2290</v>
      </c>
      <c r="G351" s="24">
        <v>1640</v>
      </c>
      <c r="H351" s="30">
        <f t="array" ref="H351">E351+D351</f>
        <v>38468</v>
      </c>
      <c r="I351" s="30">
        <f t="array" ref="I351">G351+F351</f>
        <v>3930</v>
      </c>
      <c r="J351" s="30">
        <f t="array" ref="J351">D351+F351</f>
        <v>24689</v>
      </c>
      <c r="K351" s="30">
        <f t="array" ref="K351">E351+G351</f>
        <v>17709</v>
      </c>
      <c r="L351" s="12"/>
    </row>
    <row r="352" spans="1:12" ht="20.100000000000001" customHeight="1">
      <c r="A352" s="20" t="s">
        <v>476</v>
      </c>
      <c r="B352" s="21" t="s">
        <v>229</v>
      </c>
      <c r="C352" s="28">
        <f t="array" ref="C352">D352+E352+F352+G352</f>
        <v>34474</v>
      </c>
      <c r="D352" s="24">
        <v>18920</v>
      </c>
      <c r="E352" s="24">
        <v>12358</v>
      </c>
      <c r="F352" s="24">
        <v>1935</v>
      </c>
      <c r="G352" s="24">
        <v>1261</v>
      </c>
      <c r="H352" s="30">
        <f t="array" ref="H352">E352+D352</f>
        <v>31278</v>
      </c>
      <c r="I352" s="30">
        <f t="array" ref="I352">G352+F352</f>
        <v>3196</v>
      </c>
      <c r="J352" s="30">
        <f t="array" ref="J352">D352+F352</f>
        <v>20855</v>
      </c>
      <c r="K352" s="30">
        <f t="array" ref="K352">E352+G352</f>
        <v>13619</v>
      </c>
      <c r="L352" s="12"/>
    </row>
    <row r="353" spans="1:12" ht="20.100000000000001" customHeight="1">
      <c r="A353" s="20" t="s">
        <v>477</v>
      </c>
      <c r="B353" s="21" t="s">
        <v>231</v>
      </c>
      <c r="C353" s="28">
        <f t="array" ref="C353">D353+E353+F353+G353</f>
        <v>29262</v>
      </c>
      <c r="D353" s="24">
        <v>16646</v>
      </c>
      <c r="E353" s="24">
        <v>9903</v>
      </c>
      <c r="F353" s="24">
        <v>1702</v>
      </c>
      <c r="G353" s="24">
        <v>1011</v>
      </c>
      <c r="H353" s="30">
        <f t="array" ref="H353">E353+D353</f>
        <v>26549</v>
      </c>
      <c r="I353" s="30">
        <f t="array" ref="I353">G353+F353</f>
        <v>2713</v>
      </c>
      <c r="J353" s="30">
        <f t="array" ref="J353">D353+F353</f>
        <v>18348</v>
      </c>
      <c r="K353" s="30">
        <f t="array" ref="K353">E353+G353</f>
        <v>10914</v>
      </c>
      <c r="L353" s="12"/>
    </row>
    <row r="354" spans="1:12" ht="20.100000000000001" customHeight="1">
      <c r="A354" s="20" t="s">
        <v>478</v>
      </c>
      <c r="B354" s="21" t="s">
        <v>233</v>
      </c>
      <c r="C354" s="28">
        <f t="array" ref="C354">D354+E354+F354+G354</f>
        <v>27077</v>
      </c>
      <c r="D354" s="24">
        <v>15828</v>
      </c>
      <c r="E354" s="24">
        <v>8738</v>
      </c>
      <c r="F354" s="24">
        <v>1619</v>
      </c>
      <c r="G354" s="24">
        <v>892</v>
      </c>
      <c r="H354" s="30">
        <f t="array" ref="H354">E354+D354</f>
        <v>24566</v>
      </c>
      <c r="I354" s="30">
        <f t="array" ref="I354">G354+F354</f>
        <v>2511</v>
      </c>
      <c r="J354" s="30">
        <f t="array" ref="J354">D354+F354</f>
        <v>17447</v>
      </c>
      <c r="K354" s="30">
        <f t="array" ref="K354">E354+G354</f>
        <v>9630</v>
      </c>
      <c r="L354" s="12"/>
    </row>
    <row r="355" spans="1:12" ht="20.100000000000001" customHeight="1">
      <c r="A355" s="20" t="s">
        <v>479</v>
      </c>
      <c r="B355" s="21" t="s">
        <v>235</v>
      </c>
      <c r="C355" s="28">
        <f t="array" ref="C355">D355+E355+F355+G355</f>
        <v>25006</v>
      </c>
      <c r="D355" s="24">
        <v>15156</v>
      </c>
      <c r="E355" s="24">
        <v>7531</v>
      </c>
      <c r="F355" s="24">
        <v>1550</v>
      </c>
      <c r="G355" s="24">
        <v>769</v>
      </c>
      <c r="H355" s="30">
        <f t="array" ref="H355">E355+D355</f>
        <v>22687</v>
      </c>
      <c r="I355" s="30">
        <f t="array" ref="I355">G355+F355</f>
        <v>2319</v>
      </c>
      <c r="J355" s="30">
        <f t="array" ref="J355">D355+F355</f>
        <v>16706</v>
      </c>
      <c r="K355" s="30">
        <f t="array" ref="K355">E355+G355</f>
        <v>8300</v>
      </c>
      <c r="L355" s="12"/>
    </row>
    <row r="356" spans="1:12" ht="20.100000000000001" customHeight="1">
      <c r="A356" s="20" t="s">
        <v>480</v>
      </c>
      <c r="B356" s="21" t="s">
        <v>237</v>
      </c>
      <c r="C356" s="28">
        <f t="array" ref="C356">D356+E356+F356+G356</f>
        <v>21637</v>
      </c>
      <c r="D356" s="24">
        <v>13525</v>
      </c>
      <c r="E356" s="24">
        <v>6106</v>
      </c>
      <c r="F356" s="24">
        <v>1383</v>
      </c>
      <c r="G356" s="24">
        <v>623</v>
      </c>
      <c r="H356" s="30">
        <f t="array" ref="H356">E356+D356</f>
        <v>19631</v>
      </c>
      <c r="I356" s="30">
        <f t="array" ref="I356">G356+F356</f>
        <v>2006</v>
      </c>
      <c r="J356" s="30">
        <f t="array" ref="J356">D356+F356</f>
        <v>14908</v>
      </c>
      <c r="K356" s="30">
        <f t="array" ref="K356">E356+G356</f>
        <v>6729</v>
      </c>
      <c r="L356" s="12"/>
    </row>
    <row r="357" spans="1:12" ht="20.100000000000001" customHeight="1">
      <c r="A357" s="20" t="s">
        <v>481</v>
      </c>
      <c r="B357" s="21" t="s">
        <v>239</v>
      </c>
      <c r="C357" s="28">
        <f t="array" ref="C357">D357+E357+F357+G357</f>
        <v>17800</v>
      </c>
      <c r="D357" s="24">
        <v>11233</v>
      </c>
      <c r="E357" s="24">
        <v>4693</v>
      </c>
      <c r="F357" s="24">
        <v>1323</v>
      </c>
      <c r="G357" s="24">
        <v>551</v>
      </c>
      <c r="H357" s="30">
        <f t="array" ref="H357">E357+D357</f>
        <v>15926</v>
      </c>
      <c r="I357" s="30">
        <f t="array" ref="I357">G357+F357</f>
        <v>1874</v>
      </c>
      <c r="J357" s="30">
        <f t="array" ref="J357">D357+F357</f>
        <v>12556</v>
      </c>
      <c r="K357" s="30">
        <f t="array" ref="K357">E357+G357</f>
        <v>5244</v>
      </c>
      <c r="L357" s="12"/>
    </row>
    <row r="358" spans="1:12" ht="20.100000000000001" customHeight="1">
      <c r="A358" s="20" t="s">
        <v>482</v>
      </c>
      <c r="B358" s="21" t="s">
        <v>241</v>
      </c>
      <c r="C358" s="28">
        <f t="array" ref="C358">D358+E358+F358+G358</f>
        <v>13721</v>
      </c>
      <c r="D358" s="24">
        <v>8850</v>
      </c>
      <c r="E358" s="24">
        <v>3426</v>
      </c>
      <c r="F358" s="24">
        <v>1042</v>
      </c>
      <c r="G358" s="24">
        <v>403</v>
      </c>
      <c r="H358" s="30">
        <f t="array" ref="H358">E358+D358</f>
        <v>12276</v>
      </c>
      <c r="I358" s="30">
        <f t="array" ref="I358">G358+F358</f>
        <v>1445</v>
      </c>
      <c r="J358" s="30">
        <f t="array" ref="J358">D358+F358</f>
        <v>9892</v>
      </c>
      <c r="K358" s="30">
        <f t="array" ref="K358">E358+G358</f>
        <v>3829</v>
      </c>
      <c r="L358" s="12"/>
    </row>
    <row r="359" spans="1:12" ht="20.100000000000001" customHeight="1">
      <c r="A359" s="20" t="s">
        <v>483</v>
      </c>
      <c r="B359" s="21" t="s">
        <v>243</v>
      </c>
      <c r="C359" s="28">
        <f t="array" ref="C359">D359+E359+F359+G359</f>
        <v>10368</v>
      </c>
      <c r="D359" s="24">
        <v>6959</v>
      </c>
      <c r="E359" s="24">
        <v>2317</v>
      </c>
      <c r="F359" s="24">
        <v>820</v>
      </c>
      <c r="G359" s="24">
        <v>272</v>
      </c>
      <c r="H359" s="30">
        <f t="array" ref="H359">E359+D359</f>
        <v>9276</v>
      </c>
      <c r="I359" s="30">
        <f t="array" ref="I359">G359+F359</f>
        <v>1092</v>
      </c>
      <c r="J359" s="30">
        <f t="array" ref="J359">D359+F359</f>
        <v>7779</v>
      </c>
      <c r="K359" s="30">
        <f t="array" ref="K359">E359+G359</f>
        <v>2589</v>
      </c>
      <c r="L359" s="12"/>
    </row>
    <row r="360" spans="1:12" ht="20.100000000000001" customHeight="1">
      <c r="A360" s="20" t="s">
        <v>484</v>
      </c>
      <c r="B360" s="21" t="s">
        <v>245</v>
      </c>
      <c r="C360" s="28">
        <f t="array" ref="C360">D360+E360+F360+G360</f>
        <v>7587</v>
      </c>
      <c r="D360" s="24">
        <v>5303</v>
      </c>
      <c r="E360" s="24">
        <v>1485</v>
      </c>
      <c r="F360" s="24">
        <v>624</v>
      </c>
      <c r="G360" s="24">
        <v>175</v>
      </c>
      <c r="H360" s="30">
        <f t="array" ref="H360">E360+D360</f>
        <v>6788</v>
      </c>
      <c r="I360" s="30">
        <f t="array" ref="I360">G360+F360</f>
        <v>799</v>
      </c>
      <c r="J360" s="30">
        <f t="array" ref="J360">D360+F360</f>
        <v>5927</v>
      </c>
      <c r="K360" s="30">
        <f t="array" ref="K360">E360+G360</f>
        <v>1660</v>
      </c>
      <c r="L360" s="12"/>
    </row>
    <row r="361" spans="1:12" ht="20.100000000000001" customHeight="1">
      <c r="A361" s="20" t="s">
        <v>485</v>
      </c>
      <c r="B361" s="21" t="s">
        <v>247</v>
      </c>
      <c r="C361" s="28">
        <f t="array" ref="C361">D361+E361+F361+G361</f>
        <v>14063</v>
      </c>
      <c r="D361" s="24">
        <v>10444</v>
      </c>
      <c r="E361" s="24">
        <v>2138</v>
      </c>
      <c r="F361" s="24">
        <v>1230</v>
      </c>
      <c r="G361" s="24">
        <v>251</v>
      </c>
      <c r="H361" s="30">
        <f t="array" ref="H361">E361+D361</f>
        <v>12582</v>
      </c>
      <c r="I361" s="30">
        <f t="array" ref="I361">G361+F361</f>
        <v>1481</v>
      </c>
      <c r="J361" s="30">
        <f t="array" ref="J361">D361+F361</f>
        <v>11674</v>
      </c>
      <c r="K361" s="30">
        <f t="array" ref="K361">E361+G361</f>
        <v>2389</v>
      </c>
      <c r="L361" s="12"/>
    </row>
    <row r="362" spans="1:12" ht="20.100000000000001" customHeight="1">
      <c r="A362" s="20" t="s">
        <v>486</v>
      </c>
      <c r="B362" s="21" t="s">
        <v>249</v>
      </c>
      <c r="C362" s="28">
        <f t="array" ref="C362">SUM(C262:C361)</f>
        <v>1007758</v>
      </c>
      <c r="D362" s="28">
        <f t="array" ref="D362">SUM(D262:D361)</f>
        <v>437713</v>
      </c>
      <c r="E362" s="28">
        <f t="array" ref="E362">SUM(E262:E361)</f>
        <v>425749</v>
      </c>
      <c r="F362" s="28">
        <f t="array" ref="F362">SUM(F262:F361)</f>
        <v>67249</v>
      </c>
      <c r="G362" s="28">
        <f t="array" ref="G362">SUM(G262:G361)</f>
        <v>77047</v>
      </c>
      <c r="H362" s="30">
        <f t="array" ref="H362">SUM(H262:H361)</f>
        <v>863462</v>
      </c>
      <c r="I362" s="30">
        <f t="array" ref="I362">SUM(I262:I361)</f>
        <v>144296</v>
      </c>
      <c r="J362" s="30">
        <f t="array" ref="J362">SUM(J262:J361)</f>
        <v>504962</v>
      </c>
      <c r="K362" s="30">
        <f t="array" ref="K362">SUM(K262:K361)</f>
        <v>502796</v>
      </c>
      <c r="L362" s="12"/>
    </row>
    <row r="363" spans="1:12" ht="20.100000000000001" customHeight="1">
      <c r="A363" s="10"/>
      <c r="B363" s="11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spans="1:12" ht="20.100000000000001" customHeight="1">
      <c r="A364" s="20" t="s">
        <v>487</v>
      </c>
      <c r="B364" s="21" t="s">
        <v>39</v>
      </c>
      <c r="C364" s="26" t="str">
        <f t="array" ref="C364">IF(C365="","?",C365)&amp;IF(C366="","","; downloaded "&amp;C366)&amp;IF(C367="","","; "&amp;C367)</f>
        <v>Eurostat demo_magec 2024 (Sterbefälle × Alter × Sex); downloaded 14.05.2026; Eurostat demo_magec: Sterbefälle × Einzelalter × Sex. NAT/MIG-Split anteilig zur Pop-Struktur (gleiche Sterbetafel Annahme, AT-Original).</v>
      </c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ht="20.100000000000001" customHeight="1">
      <c r="A365" s="10"/>
      <c r="B365" s="21" t="s">
        <v>41</v>
      </c>
      <c r="C365" s="22" t="s">
        <v>488</v>
      </c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ht="20.100000000000001" customHeight="1">
      <c r="A366" s="10"/>
      <c r="B366" s="21" t="s">
        <v>43</v>
      </c>
      <c r="C366" s="27" t="s">
        <v>44</v>
      </c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1:12" ht="20.100000000000001" customHeight="1">
      <c r="A367" s="10"/>
      <c r="B367" s="21" t="s">
        <v>45</v>
      </c>
      <c r="C367" s="22" t="s">
        <v>489</v>
      </c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1:12" ht="20.100000000000001" customHeight="1">
      <c r="A368" s="10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spans="1:12" ht="20.100000000000001" customHeight="1">
      <c r="A369" s="10"/>
      <c r="B369" s="21" t="s">
        <v>490</v>
      </c>
      <c r="C369" s="31">
        <f t="array" ref="C369">C362/C$118</f>
        <v>1.2057818392497796E-2</v>
      </c>
      <c r="D369" s="31">
        <f t="array" ref="D369">D362/D$118</f>
        <v>1.4845974620140713E-2</v>
      </c>
      <c r="E369" s="31">
        <f t="array" ref="E369">E362/E$118</f>
        <v>1.5101251691867342E-2</v>
      </c>
      <c r="F369" s="31">
        <f t="array" ref="F369">F362/F$118</f>
        <v>5.2488179642275834E-3</v>
      </c>
      <c r="G369" s="31">
        <f t="array" ref="G369">G362/G$118</f>
        <v>5.8866863870062139E-3</v>
      </c>
      <c r="H369" s="31">
        <f t="array" ref="H369">H362/H$118</f>
        <v>1.4970756932589063E-2</v>
      </c>
      <c r="I369" s="31">
        <f t="array" ref="I369">I362/I$118</f>
        <v>5.5711523833108512E-3</v>
      </c>
      <c r="J369" s="31">
        <f t="array" ref="J369">J362/J$118</f>
        <v>1.1938812033800114E-2</v>
      </c>
      <c r="K369" s="31">
        <f t="array" ref="K369">K362/K$118</f>
        <v>1.2179749435755538E-2</v>
      </c>
      <c r="L369" s="12"/>
    </row>
    <row r="370" spans="1:12" ht="20.100000000000001" customHeight="1">
      <c r="A370" s="10"/>
      <c r="B370" s="11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1:12" ht="26.85" customHeight="1">
      <c r="A371" s="16"/>
      <c r="B371" s="17" t="s">
        <v>491</v>
      </c>
      <c r="C371" s="23" t="s">
        <v>492</v>
      </c>
      <c r="D371" s="19"/>
      <c r="E371" s="19"/>
      <c r="F371" s="19"/>
      <c r="G371" s="19"/>
      <c r="H371" s="19"/>
      <c r="I371" s="19"/>
      <c r="J371" s="19"/>
      <c r="K371" s="19"/>
      <c r="L371" s="19"/>
    </row>
    <row r="372" spans="1:12" ht="20.100000000000001" customHeight="1">
      <c r="A372" s="10"/>
      <c r="B372" s="11" t="str">
        <f t="array" ref="B372">"Total migration in "&amp;L372</f>
        <v>Total migration in 2015</v>
      </c>
      <c r="C372" s="28">
        <f t="array" ref="C372">D372+E372+F372+G372</f>
        <v>1563938</v>
      </c>
      <c r="D372" s="24">
        <v>161564</v>
      </c>
      <c r="E372" s="24">
        <v>188294</v>
      </c>
      <c r="F372" s="26">
        <f t="array" ref="F372">J372-D372</f>
        <v>539416</v>
      </c>
      <c r="G372" s="26">
        <f t="array" ref="G372">K372-E372</f>
        <v>674664</v>
      </c>
      <c r="H372" s="12">
        <f t="array" ref="H372">E372+D372</f>
        <v>349858</v>
      </c>
      <c r="I372" s="12">
        <f t="array" ref="I372">G372+F372</f>
        <v>1214080</v>
      </c>
      <c r="J372" s="24">
        <v>700980</v>
      </c>
      <c r="K372" s="24">
        <v>862958</v>
      </c>
      <c r="L372" s="12">
        <f t="array" ref="L372">L373-1</f>
        <v>2015</v>
      </c>
    </row>
    <row r="373" spans="1:12" ht="20.100000000000001" customHeight="1">
      <c r="A373" s="10"/>
      <c r="B373" s="11" t="str">
        <f t="array" ref="B373">"Total migration in "&amp;L373</f>
        <v>Total migration in 2016</v>
      </c>
      <c r="C373" s="28">
        <f t="array" ref="C373">D373+E373+F373+G373</f>
        <v>1021656</v>
      </c>
      <c r="D373" s="24">
        <v>31032</v>
      </c>
      <c r="E373" s="24">
        <v>36165</v>
      </c>
      <c r="F373" s="26">
        <f t="array" ref="F373">J373-D373</f>
        <v>424066</v>
      </c>
      <c r="G373" s="26">
        <f t="array" ref="G373">K373-E373</f>
        <v>530393</v>
      </c>
      <c r="H373" s="12">
        <f t="array" ref="H373">E373+D373</f>
        <v>67197</v>
      </c>
      <c r="I373" s="12">
        <f t="array" ref="I373">G373+F373</f>
        <v>954459</v>
      </c>
      <c r="J373" s="24">
        <v>455098</v>
      </c>
      <c r="K373" s="24">
        <v>566558</v>
      </c>
      <c r="L373" s="12">
        <f t="array" ref="L373">L374-1</f>
        <v>2016</v>
      </c>
    </row>
    <row r="374" spans="1:12" ht="20.100000000000001" customHeight="1">
      <c r="A374" s="10"/>
      <c r="B374" s="11" t="str">
        <f t="array" ref="B374">"Total migration in "&amp;L374</f>
        <v>Total migration in 2017</v>
      </c>
      <c r="C374" s="28">
        <f t="array" ref="C374">D374+E374+F374+G374</f>
        <v>895569</v>
      </c>
      <c r="D374" s="24">
        <v>30905</v>
      </c>
      <c r="E374" s="24">
        <v>36017</v>
      </c>
      <c r="F374" s="26">
        <f t="array" ref="F374">J374-D374</f>
        <v>368167</v>
      </c>
      <c r="G374" s="26">
        <f t="array" ref="G374">K374-E374</f>
        <v>460480</v>
      </c>
      <c r="H374" s="12">
        <f t="array" ref="H374">E374+D374</f>
        <v>66922</v>
      </c>
      <c r="I374" s="12">
        <f t="array" ref="I374">G374+F374</f>
        <v>828647</v>
      </c>
      <c r="J374" s="24">
        <v>399072</v>
      </c>
      <c r="K374" s="24">
        <v>496497</v>
      </c>
      <c r="L374" s="12">
        <f t="array" ref="L374">L375-1</f>
        <v>2017</v>
      </c>
    </row>
    <row r="375" spans="1:12" ht="20.100000000000001" customHeight="1">
      <c r="A375" s="10"/>
      <c r="B375" s="11" t="str">
        <f t="array" ref="B375">"Total migration in "&amp;L375</f>
        <v>Total migration in 2018</v>
      </c>
      <c r="C375" s="28">
        <f t="array" ref="C375">D375+E375+F375+G375</f>
        <v>847467</v>
      </c>
      <c r="D375" s="24">
        <v>30132</v>
      </c>
      <c r="E375" s="24">
        <v>35116</v>
      </c>
      <c r="F375" s="26">
        <f t="array" ref="F375">J375-D375</f>
        <v>347539</v>
      </c>
      <c r="G375" s="26">
        <f t="array" ref="G375">K375-E375</f>
        <v>434680</v>
      </c>
      <c r="H375" s="12">
        <f t="array" ref="H375">E375+D375</f>
        <v>65248</v>
      </c>
      <c r="I375" s="12">
        <f t="array" ref="I375">G375+F375</f>
        <v>782219</v>
      </c>
      <c r="J375" s="24">
        <v>377671</v>
      </c>
      <c r="K375" s="24">
        <v>469796</v>
      </c>
      <c r="L375" s="12">
        <f t="array" ref="L375">L376-1</f>
        <v>2018</v>
      </c>
    </row>
    <row r="376" spans="1:12" ht="20.100000000000001" customHeight="1">
      <c r="A376" s="10"/>
      <c r="B376" s="11" t="str">
        <f t="array" ref="B376">"Total migration in "&amp;L376</f>
        <v>Total migration in 2019</v>
      </c>
      <c r="C376" s="28">
        <f t="array" ref="C376">D376+E376+F376+G376</f>
        <v>822100</v>
      </c>
      <c r="D376" s="24">
        <v>30691</v>
      </c>
      <c r="E376" s="24">
        <v>35769</v>
      </c>
      <c r="F376" s="26">
        <f t="array" ref="F376">J376-D376</f>
        <v>335731</v>
      </c>
      <c r="G376" s="26">
        <f t="array" ref="G376">K376-E376</f>
        <v>419909</v>
      </c>
      <c r="H376" s="12">
        <f t="array" ref="H376">E376+D376</f>
        <v>66460</v>
      </c>
      <c r="I376" s="12">
        <f t="array" ref="I376">G376+F376</f>
        <v>755640</v>
      </c>
      <c r="J376" s="24">
        <v>366422</v>
      </c>
      <c r="K376" s="24">
        <v>455678</v>
      </c>
      <c r="L376" s="12">
        <f t="array" ref="L376">L377-1</f>
        <v>2019</v>
      </c>
    </row>
    <row r="377" spans="1:12" ht="20.100000000000001" customHeight="1">
      <c r="A377" s="10"/>
      <c r="B377" s="11" t="str">
        <f t="array" ref="B377">"Total migration in "&amp;L377</f>
        <v>Total migration in 2020</v>
      </c>
      <c r="C377" s="28">
        <f t="array" ref="C377">D377+E377+F377+G377</f>
        <v>625597</v>
      </c>
      <c r="D377" s="24">
        <v>24647</v>
      </c>
      <c r="E377" s="24">
        <v>28725</v>
      </c>
      <c r="F377" s="26">
        <f t="array" ref="F377">J377-D377</f>
        <v>254240</v>
      </c>
      <c r="G377" s="26">
        <f t="array" ref="G377">K377-E377</f>
        <v>317985</v>
      </c>
      <c r="H377" s="12">
        <f t="array" ref="H377">E377+D377</f>
        <v>53372</v>
      </c>
      <c r="I377" s="12">
        <f t="array" ref="I377">G377+F377</f>
        <v>572225</v>
      </c>
      <c r="J377" s="24">
        <v>278887</v>
      </c>
      <c r="K377" s="24">
        <v>346710</v>
      </c>
      <c r="L377" s="12">
        <f t="array" ref="L377">L378-1</f>
        <v>2020</v>
      </c>
    </row>
    <row r="378" spans="1:12" ht="20.100000000000001" customHeight="1">
      <c r="A378" s="10"/>
      <c r="B378" s="11" t="str">
        <f t="array" ref="B378">"Total migration in "&amp;L378</f>
        <v>Total migration in 2021</v>
      </c>
      <c r="C378" s="28">
        <f t="array" ref="C378">D378+E378+F378+G378</f>
        <v>748524</v>
      </c>
      <c r="D378" s="24">
        <v>22887</v>
      </c>
      <c r="E378" s="24">
        <v>26674</v>
      </c>
      <c r="F378" s="26">
        <f t="array" ref="F378">J378-D378</f>
        <v>310550</v>
      </c>
      <c r="G378" s="26">
        <f t="array" ref="G378">K378-E378</f>
        <v>388413</v>
      </c>
      <c r="H378" s="12">
        <f t="array" ref="H378">E378+D378</f>
        <v>49561</v>
      </c>
      <c r="I378" s="12">
        <f t="array" ref="I378">G378+F378</f>
        <v>698963</v>
      </c>
      <c r="J378" s="24">
        <v>333437</v>
      </c>
      <c r="K378" s="24">
        <v>415087</v>
      </c>
      <c r="L378" s="12">
        <f t="array" ref="L378">L379-1</f>
        <v>2021</v>
      </c>
    </row>
    <row r="379" spans="1:12" ht="20.100000000000001" customHeight="1">
      <c r="A379" s="10"/>
      <c r="B379" s="11" t="str">
        <f t="array" ref="B379">"Total migration in "&amp;L379</f>
        <v>Total migration in 2022</v>
      </c>
      <c r="C379" s="28">
        <f t="array" ref="C379">D379+E379+F379+G379</f>
        <v>1768517</v>
      </c>
      <c r="D379" s="24">
        <v>21841</v>
      </c>
      <c r="E379" s="24">
        <v>25454</v>
      </c>
      <c r="F379" s="26">
        <f t="array" ref="F379">J379-D379</f>
        <v>764739</v>
      </c>
      <c r="G379" s="26">
        <f t="array" ref="G379">K379-E379</f>
        <v>956483</v>
      </c>
      <c r="H379" s="12">
        <f t="array" ref="H379">E379+D379</f>
        <v>47295</v>
      </c>
      <c r="I379" s="12">
        <f t="array" ref="I379">G379+F379</f>
        <v>1721222</v>
      </c>
      <c r="J379" s="24">
        <v>786580</v>
      </c>
      <c r="K379" s="24">
        <v>981937</v>
      </c>
      <c r="L379" s="12">
        <f t="array" ref="L379">L380-1</f>
        <v>2022</v>
      </c>
    </row>
    <row r="380" spans="1:12" ht="20.100000000000001" customHeight="1">
      <c r="A380" s="10"/>
      <c r="B380" s="11" t="str">
        <f t="array" ref="B380">"Total migration in "&amp;L380</f>
        <v>Total migration in 2023</v>
      </c>
      <c r="C380" s="28">
        <f t="array" ref="C380">D380+E380+F380+G380</f>
        <v>1202912</v>
      </c>
      <c r="D380" s="24">
        <v>22764</v>
      </c>
      <c r="E380" s="24">
        <v>26529</v>
      </c>
      <c r="F380" s="26">
        <f t="array" ref="F380">J380-D380</f>
        <v>512552</v>
      </c>
      <c r="G380" s="26">
        <f t="array" ref="G380">K380-E380</f>
        <v>641067</v>
      </c>
      <c r="H380" s="12">
        <f t="array" ref="H380">E380+D380</f>
        <v>49293</v>
      </c>
      <c r="I380" s="12">
        <f t="array" ref="I380">G380+F380</f>
        <v>1153619</v>
      </c>
      <c r="J380" s="24">
        <v>535316</v>
      </c>
      <c r="K380" s="24">
        <v>667596</v>
      </c>
      <c r="L380" s="12">
        <f t="array" ref="L380">L381-1</f>
        <v>2023</v>
      </c>
    </row>
    <row r="381" spans="1:12" ht="20.100000000000001" customHeight="1">
      <c r="A381" s="10"/>
      <c r="B381" s="11" t="str">
        <f t="array" ref="B381">"Total migration in "&amp;L381</f>
        <v>Total migration in 2024</v>
      </c>
      <c r="C381" s="28">
        <f t="array" ref="C381">D381+E381+F381+G381</f>
        <v>1001608</v>
      </c>
      <c r="D381" s="24">
        <v>22854</v>
      </c>
      <c r="E381" s="24">
        <v>26634</v>
      </c>
      <c r="F381" s="26">
        <f t="array" ref="F381">J381-D381</f>
        <v>423026</v>
      </c>
      <c r="G381" s="26">
        <f t="array" ref="G381">K381-E381</f>
        <v>529094</v>
      </c>
      <c r="H381" s="12">
        <f t="array" ref="H381">E381+D381</f>
        <v>49488</v>
      </c>
      <c r="I381" s="12">
        <f t="array" ref="I381">G381+F381</f>
        <v>952120</v>
      </c>
      <c r="J381" s="24">
        <v>445880</v>
      </c>
      <c r="K381" s="24">
        <v>555728</v>
      </c>
      <c r="L381" s="24">
        <v>2024</v>
      </c>
    </row>
    <row r="382" spans="1:12" ht="20.100000000000001" customHeight="1">
      <c r="A382" s="20" t="s">
        <v>6</v>
      </c>
      <c r="B382" s="21" t="s">
        <v>493</v>
      </c>
      <c r="C382" s="26">
        <f t="array" ref="C382">D382+E382+F382+G382</f>
        <v>1049788.8</v>
      </c>
      <c r="D382" s="26">
        <f t="array" ref="D382">AVERAGE(D372:D381)</f>
        <v>39931.699999999997</v>
      </c>
      <c r="E382" s="26">
        <f t="array" ref="E382">AVERAGE(E372:E381)</f>
        <v>46537.7</v>
      </c>
      <c r="F382" s="26">
        <f t="array" ref="F382">AVERAGE(F372:F381)</f>
        <v>428002.6</v>
      </c>
      <c r="G382" s="26">
        <f t="array" ref="G382">AVERAGE(G372:G381)</f>
        <v>535316.80000000005</v>
      </c>
      <c r="H382" s="12">
        <f t="array" ref="H382">E382+D382</f>
        <v>86469.4</v>
      </c>
      <c r="I382" s="12">
        <f t="array" ref="I382">G382+F382</f>
        <v>963319.4</v>
      </c>
      <c r="J382" s="30">
        <f t="array" ref="J382">D382+F382</f>
        <v>467934.3</v>
      </c>
      <c r="K382" s="30">
        <f t="array" ref="K382">E382+G382</f>
        <v>581854.5</v>
      </c>
      <c r="L382" s="12"/>
    </row>
    <row r="383" spans="1:12" ht="20.100000000000001" customHeight="1">
      <c r="A383" s="10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spans="1:12" ht="20.100000000000001" customHeight="1">
      <c r="A384" s="20" t="s">
        <v>494</v>
      </c>
      <c r="B384" s="21" t="s">
        <v>49</v>
      </c>
      <c r="C384" s="28">
        <f t="array" ref="C384">D384+E384+F384+G384</f>
        <v>0</v>
      </c>
      <c r="D384" s="28">
        <f t="array" ref="D384">D$382*$L384</f>
        <v>0</v>
      </c>
      <c r="E384" s="28">
        <f t="array" ref="E384">E$382*$L384</f>
        <v>0</v>
      </c>
      <c r="F384" s="28">
        <f t="array" ref="F384">F$382*$L384</f>
        <v>0</v>
      </c>
      <c r="G384" s="28">
        <f t="array" ref="G384">G$382*$L384</f>
        <v>0</v>
      </c>
      <c r="H384" s="30">
        <f t="array" ref="H384">E384+D384</f>
        <v>0</v>
      </c>
      <c r="I384" s="30">
        <f t="array" ref="I384">G384+F384</f>
        <v>0</v>
      </c>
      <c r="J384" s="30">
        <f t="array" ref="J384">D384+F384</f>
        <v>0</v>
      </c>
      <c r="K384" s="30">
        <f t="array" ref="K384">E384+G384</f>
        <v>0</v>
      </c>
      <c r="L384" s="12"/>
    </row>
    <row r="385" spans="1:12" ht="20.100000000000001" customHeight="1">
      <c r="A385" s="20" t="s">
        <v>495</v>
      </c>
      <c r="B385" s="21" t="s">
        <v>51</v>
      </c>
      <c r="C385" s="28">
        <f t="array" ref="C385">D385+E385+F385+G385</f>
        <v>0</v>
      </c>
      <c r="D385" s="28">
        <f t="array" ref="D385">D$382*$L385</f>
        <v>0</v>
      </c>
      <c r="E385" s="28">
        <f t="array" ref="E385">E$382*$L385</f>
        <v>0</v>
      </c>
      <c r="F385" s="28">
        <f t="array" ref="F385">F$382*$L385</f>
        <v>0</v>
      </c>
      <c r="G385" s="28">
        <f t="array" ref="G385">G$382*$L385</f>
        <v>0</v>
      </c>
      <c r="H385" s="30">
        <f t="array" ref="H385">E385+D385</f>
        <v>0</v>
      </c>
      <c r="I385" s="30">
        <f t="array" ref="I385">G385+F385</f>
        <v>0</v>
      </c>
      <c r="J385" s="30">
        <f t="array" ref="J385">D385+F385</f>
        <v>0</v>
      </c>
      <c r="K385" s="30">
        <f t="array" ref="K385">E385+G385</f>
        <v>0</v>
      </c>
      <c r="L385" s="12"/>
    </row>
    <row r="386" spans="1:12" ht="20.100000000000001" customHeight="1">
      <c r="A386" s="20" t="s">
        <v>496</v>
      </c>
      <c r="B386" s="21" t="s">
        <v>53</v>
      </c>
      <c r="C386" s="28">
        <f t="array" ref="C386">D386+E386+F386+G386</f>
        <v>0</v>
      </c>
      <c r="D386" s="28">
        <f t="array" ref="D386">D$382*$L386</f>
        <v>0</v>
      </c>
      <c r="E386" s="28">
        <f t="array" ref="E386">E$382*$L386</f>
        <v>0</v>
      </c>
      <c r="F386" s="28">
        <f t="array" ref="F386">F$382*$L386</f>
        <v>0</v>
      </c>
      <c r="G386" s="28">
        <f t="array" ref="G386">G$382*$L386</f>
        <v>0</v>
      </c>
      <c r="H386" s="30">
        <f t="array" ref="H386">E386+D386</f>
        <v>0</v>
      </c>
      <c r="I386" s="30">
        <f t="array" ref="I386">G386+F386</f>
        <v>0</v>
      </c>
      <c r="J386" s="30">
        <f t="array" ref="J386">D386+F386</f>
        <v>0</v>
      </c>
      <c r="K386" s="30">
        <f t="array" ref="K386">E386+G386</f>
        <v>0</v>
      </c>
      <c r="L386" s="12"/>
    </row>
    <row r="387" spans="1:12" ht="20.100000000000001" customHeight="1">
      <c r="A387" s="20" t="s">
        <v>497</v>
      </c>
      <c r="B387" s="21" t="s">
        <v>55</v>
      </c>
      <c r="C387" s="28">
        <f t="array" ref="C387">D387+E387+F387+G387</f>
        <v>0</v>
      </c>
      <c r="D387" s="28">
        <f t="array" ref="D387">D$382*$L387</f>
        <v>0</v>
      </c>
      <c r="E387" s="28">
        <f t="array" ref="E387">E$382*$L387</f>
        <v>0</v>
      </c>
      <c r="F387" s="28">
        <f t="array" ref="F387">F$382*$L387</f>
        <v>0</v>
      </c>
      <c r="G387" s="28">
        <f t="array" ref="G387">G$382*$L387</f>
        <v>0</v>
      </c>
      <c r="H387" s="30">
        <f t="array" ref="H387">E387+D387</f>
        <v>0</v>
      </c>
      <c r="I387" s="30">
        <f t="array" ref="I387">G387+F387</f>
        <v>0</v>
      </c>
      <c r="J387" s="30">
        <f t="array" ref="J387">D387+F387</f>
        <v>0</v>
      </c>
      <c r="K387" s="30">
        <f t="array" ref="K387">E387+G387</f>
        <v>0</v>
      </c>
      <c r="L387" s="12"/>
    </row>
    <row r="388" spans="1:12" ht="20.100000000000001" customHeight="1">
      <c r="A388" s="20" t="s">
        <v>498</v>
      </c>
      <c r="B388" s="21" t="s">
        <v>57</v>
      </c>
      <c r="C388" s="28">
        <f t="array" ref="C388">D388+E388+F388+G388</f>
        <v>0</v>
      </c>
      <c r="D388" s="28">
        <f t="array" ref="D388">D$382*$L388</f>
        <v>0</v>
      </c>
      <c r="E388" s="28">
        <f t="array" ref="E388">E$382*$L388</f>
        <v>0</v>
      </c>
      <c r="F388" s="28">
        <f t="array" ref="F388">F$382*$L388</f>
        <v>0</v>
      </c>
      <c r="G388" s="28">
        <f t="array" ref="G388">G$382*$L388</f>
        <v>0</v>
      </c>
      <c r="H388" s="30">
        <f t="array" ref="H388">E388+D388</f>
        <v>0</v>
      </c>
      <c r="I388" s="30">
        <f t="array" ref="I388">G388+F388</f>
        <v>0</v>
      </c>
      <c r="J388" s="30">
        <f t="array" ref="J388">D388+F388</f>
        <v>0</v>
      </c>
      <c r="K388" s="30">
        <f t="array" ref="K388">E388+G388</f>
        <v>0</v>
      </c>
      <c r="L388" s="12"/>
    </row>
    <row r="389" spans="1:12" ht="20.100000000000001" customHeight="1">
      <c r="A389" s="20" t="s">
        <v>499</v>
      </c>
      <c r="B389" s="21" t="s">
        <v>59</v>
      </c>
      <c r="C389" s="28">
        <f t="array" ref="C389">D389+E389+F389+G389</f>
        <v>0</v>
      </c>
      <c r="D389" s="28">
        <f t="array" ref="D389">D$382*$L389</f>
        <v>0</v>
      </c>
      <c r="E389" s="28">
        <f t="array" ref="E389">E$382*$L389</f>
        <v>0</v>
      </c>
      <c r="F389" s="28">
        <f t="array" ref="F389">F$382*$L389</f>
        <v>0</v>
      </c>
      <c r="G389" s="28">
        <f t="array" ref="G389">G$382*$L389</f>
        <v>0</v>
      </c>
      <c r="H389" s="30">
        <f t="array" ref="H389">E389+D389</f>
        <v>0</v>
      </c>
      <c r="I389" s="30">
        <f t="array" ref="I389">G389+F389</f>
        <v>0</v>
      </c>
      <c r="J389" s="30">
        <f t="array" ref="J389">D389+F389</f>
        <v>0</v>
      </c>
      <c r="K389" s="30">
        <f t="array" ref="K389">E389+G389</f>
        <v>0</v>
      </c>
      <c r="L389" s="12"/>
    </row>
    <row r="390" spans="1:12" ht="20.100000000000001" customHeight="1">
      <c r="A390" s="20" t="s">
        <v>500</v>
      </c>
      <c r="B390" s="21" t="s">
        <v>61</v>
      </c>
      <c r="C390" s="28">
        <f t="array" ref="C390">D390+E390+F390+G390</f>
        <v>7258.9933163110472</v>
      </c>
      <c r="D390" s="28">
        <f t="array" ref="D390">D$382*$L390</f>
        <v>276.11643733381214</v>
      </c>
      <c r="E390" s="28">
        <f t="array" ref="E390">E$382*$L390</f>
        <v>321.79506321318024</v>
      </c>
      <c r="F390" s="28">
        <f t="array" ref="F390">F$382*$L390</f>
        <v>2959.5172026637647</v>
      </c>
      <c r="G390" s="28">
        <f t="array" ref="G390">G$382*$L390</f>
        <v>3701.5646131002904</v>
      </c>
      <c r="H390" s="30">
        <f t="array" ref="H390">E390+D390</f>
        <v>597.91150054699233</v>
      </c>
      <c r="I390" s="30">
        <f t="array" ref="I390">G390+F390</f>
        <v>6661.0818157640551</v>
      </c>
      <c r="J390" s="30">
        <f t="array" ref="J390">D390+F390</f>
        <v>3235.6336399975767</v>
      </c>
      <c r="K390" s="30">
        <f t="array" ref="K390">E390+G390</f>
        <v>4023.3596763134706</v>
      </c>
      <c r="L390" s="12">
        <v>6.9147178140127304E-3</v>
      </c>
    </row>
    <row r="391" spans="1:12" ht="20.100000000000001" customHeight="1">
      <c r="A391" s="20" t="s">
        <v>501</v>
      </c>
      <c r="B391" s="21" t="s">
        <v>63</v>
      </c>
      <c r="C391" s="28">
        <f t="array" ref="C391">D391+E391+F391+G391</f>
        <v>8734.1654165642103</v>
      </c>
      <c r="D391" s="28">
        <f t="array" ref="D391">D$382*$L391</f>
        <v>332.22879989252789</v>
      </c>
      <c r="E391" s="28">
        <f t="array" ref="E391">E$382*$L391</f>
        <v>387.19023284153934</v>
      </c>
      <c r="F391" s="28">
        <f t="array" ref="F391">F$382*$L391</f>
        <v>3560.950075976772</v>
      </c>
      <c r="G391" s="28">
        <f t="array" ref="G391">G$382*$L391</f>
        <v>4453.7963078533703</v>
      </c>
      <c r="H391" s="30">
        <f t="array" ref="H391">E391+D391</f>
        <v>719.41903273406729</v>
      </c>
      <c r="I391" s="30">
        <f t="array" ref="I391">G391+F391</f>
        <v>8014.7463838301428</v>
      </c>
      <c r="J391" s="30">
        <f t="array" ref="J391">D391+F391</f>
        <v>3893.1788758693001</v>
      </c>
      <c r="K391" s="30">
        <f t="array" ref="K391">E391+G391</f>
        <v>4840.9865406949093</v>
      </c>
      <c r="L391" s="12">
        <v>8.3199262714216508E-3</v>
      </c>
    </row>
    <row r="392" spans="1:12" ht="20.100000000000001" customHeight="1">
      <c r="A392" s="20" t="s">
        <v>502</v>
      </c>
      <c r="B392" s="21" t="s">
        <v>65</v>
      </c>
      <c r="C392" s="28">
        <f t="array" ref="C392">D392+E392+F392+G392</f>
        <v>10404.553679612131</v>
      </c>
      <c r="D392" s="28">
        <f t="array" ref="D392">D$382*$L392</f>
        <v>395.76676391305347</v>
      </c>
      <c r="E392" s="28">
        <f t="array" ref="E392">E$382*$L392</f>
        <v>461.23943956697332</v>
      </c>
      <c r="F392" s="28">
        <f t="array" ref="F392">F$382*$L392</f>
        <v>4241.9732680645466</v>
      </c>
      <c r="G392" s="28">
        <f t="array" ref="G392">G$382*$L392</f>
        <v>5305.5742080675582</v>
      </c>
      <c r="H392" s="30">
        <f t="array" ref="H392">E392+D392</f>
        <v>857.00620348002678</v>
      </c>
      <c r="I392" s="30">
        <f t="array" ref="I392">G392+F392</f>
        <v>9547.5474761321057</v>
      </c>
      <c r="J392" s="30">
        <f t="array" ref="J392">D392+F392</f>
        <v>4637.7400319775998</v>
      </c>
      <c r="K392" s="30">
        <f t="array" ref="K392">E392+G392</f>
        <v>5766.8136476345317</v>
      </c>
      <c r="L392" s="12">
        <v>9.9110922879079404E-3</v>
      </c>
    </row>
    <row r="393" spans="1:12" ht="20.100000000000001" customHeight="1">
      <c r="A393" s="20" t="s">
        <v>503</v>
      </c>
      <c r="B393" s="21" t="s">
        <v>67</v>
      </c>
      <c r="C393" s="28">
        <f t="array" ref="C393">D393+E393+F393+G393</f>
        <v>12271.072548116037</v>
      </c>
      <c r="D393" s="28">
        <f t="array" ref="D393">D$382*$L393</f>
        <v>466.76511282041218</v>
      </c>
      <c r="E393" s="28">
        <f t="array" ref="E393">E$382*$L393</f>
        <v>543.98322112262929</v>
      </c>
      <c r="F393" s="28">
        <f t="array" ref="F393">F$382*$L393</f>
        <v>5002.9596004284749</v>
      </c>
      <c r="G393" s="28">
        <f t="array" ref="G393">G$382*$L393</f>
        <v>6257.3646137445203</v>
      </c>
      <c r="H393" s="30">
        <f t="array" ref="H393">E393+D393</f>
        <v>1010.7483339430414</v>
      </c>
      <c r="I393" s="30">
        <f t="array" ref="I393">G393+F393</f>
        <v>11260.324214172995</v>
      </c>
      <c r="J393" s="30">
        <f t="array" ref="J393">D393+F393</f>
        <v>5469.7247132488874</v>
      </c>
      <c r="K393" s="30">
        <f t="array" ref="K393">E393+G393</f>
        <v>6801.3478348671497</v>
      </c>
      <c r="L393" s="12">
        <v>1.1689086936454301E-2</v>
      </c>
    </row>
    <row r="394" spans="1:12" ht="20.100000000000001" customHeight="1">
      <c r="A394" s="20" t="s">
        <v>504</v>
      </c>
      <c r="B394" s="21" t="s">
        <v>69</v>
      </c>
      <c r="C394" s="28">
        <f t="array" ref="C394">D394+E394+F394+G394</f>
        <v>14328.430398668886</v>
      </c>
      <c r="D394" s="28">
        <f t="array" ref="D394">D$382*$L394</f>
        <v>545.02256468208304</v>
      </c>
      <c r="E394" s="28">
        <f t="array" ref="E394">E$382*$L394</f>
        <v>635.18699700752472</v>
      </c>
      <c r="F394" s="28">
        <f t="array" ref="F394">F$382*$L394</f>
        <v>5841.7516595236302</v>
      </c>
      <c r="G394" s="28">
        <f t="array" ref="G394">G$382*$L394</f>
        <v>7306.4691774556495</v>
      </c>
      <c r="H394" s="30">
        <f t="array" ref="H394">E394+D394</f>
        <v>1180.2095616896077</v>
      </c>
      <c r="I394" s="30">
        <f t="array" ref="I394">G394+F394</f>
        <v>13148.220836979279</v>
      </c>
      <c r="J394" s="30">
        <f t="array" ref="J394">D394+F394</f>
        <v>6386.7742242057129</v>
      </c>
      <c r="K394" s="30">
        <f t="array" ref="K394">E394+G394</f>
        <v>7941.6561744631745</v>
      </c>
      <c r="L394" s="12">
        <v>1.36488695618289E-2</v>
      </c>
    </row>
    <row r="395" spans="1:12" ht="20.100000000000001" customHeight="1">
      <c r="A395" s="20" t="s">
        <v>505</v>
      </c>
      <c r="B395" s="21" t="s">
        <v>71</v>
      </c>
      <c r="C395" s="28">
        <f t="array" ref="C395">D395+E395+F395+G395</f>
        <v>16564.248576618305</v>
      </c>
      <c r="D395" s="28">
        <f t="array" ref="D395">D$382*$L395</f>
        <v>630.06826219421384</v>
      </c>
      <c r="E395" s="28">
        <f t="array" ref="E395">E$382*$L395</f>
        <v>734.30201482821087</v>
      </c>
      <c r="F395" s="28">
        <f t="array" ref="F395">F$382*$L395</f>
        <v>6753.3026241458601</v>
      </c>
      <c r="G395" s="28">
        <f t="array" ref="G395">G$382*$L395</f>
        <v>8446.5756754500217</v>
      </c>
      <c r="H395" s="30">
        <f t="array" ref="H395">E395+D395</f>
        <v>1364.3702770224247</v>
      </c>
      <c r="I395" s="30">
        <f t="array" ref="I395">G395+F395</f>
        <v>15199.878299595883</v>
      </c>
      <c r="J395" s="30">
        <f t="array" ref="J395">D395+F395</f>
        <v>7383.3708863400743</v>
      </c>
      <c r="K395" s="30">
        <f t="array" ref="K395">E395+G395</f>
        <v>9180.877690278232</v>
      </c>
      <c r="L395" s="12">
        <v>1.5778648597335299E-2</v>
      </c>
    </row>
    <row r="396" spans="1:12" ht="20.100000000000001" customHeight="1">
      <c r="A396" s="20" t="s">
        <v>506</v>
      </c>
      <c r="B396" s="21" t="s">
        <v>73</v>
      </c>
      <c r="C396" s="28">
        <f t="array" ref="C396">D396+E396+F396+G396</f>
        <v>18958.408910340717</v>
      </c>
      <c r="D396" s="28">
        <f t="array" ref="D396">D$382*$L396</f>
        <v>721.13695353298897</v>
      </c>
      <c r="E396" s="28">
        <f t="array" ref="E396">E$382*$L396</f>
        <v>840.43642525693076</v>
      </c>
      <c r="F396" s="28">
        <f t="array" ref="F396">F$382*$L396</f>
        <v>7729.4102446977831</v>
      </c>
      <c r="G396" s="28">
        <f t="array" ref="G396">G$382*$L396</f>
        <v>9667.4252868530111</v>
      </c>
      <c r="H396" s="30">
        <f t="array" ref="H396">E396+D396</f>
        <v>1561.5733787899198</v>
      </c>
      <c r="I396" s="30">
        <f t="array" ref="I396">G396+F396</f>
        <v>17396.835531550794</v>
      </c>
      <c r="J396" s="30">
        <f t="array" ref="J396">D396+F396</f>
        <v>8450.5471982307718</v>
      </c>
      <c r="K396" s="30">
        <f t="array" ref="K396">E396+G396</f>
        <v>10507.861712109941</v>
      </c>
      <c r="L396" s="12">
        <v>1.80592600248171E-2</v>
      </c>
    </row>
    <row r="397" spans="1:12" ht="20.100000000000001" customHeight="1">
      <c r="A397" s="20" t="s">
        <v>507</v>
      </c>
      <c r="B397" s="21" t="s">
        <v>75</v>
      </c>
      <c r="C397" s="28">
        <f t="array" ref="C397">D397+E397+F397+G397</f>
        <v>21482.709680611799</v>
      </c>
      <c r="D397" s="28">
        <f t="array" ref="D397">D$382*$L397</f>
        <v>817.15590617206624</v>
      </c>
      <c r="E397" s="28">
        <f t="array" ref="E397">E$382*$L397</f>
        <v>952.34003096947458</v>
      </c>
      <c r="F397" s="28">
        <f t="array" ref="F397">F$382*$L397</f>
        <v>8758.5765806865329</v>
      </c>
      <c r="G397" s="28">
        <f t="array" ref="G397">G$382*$L397</f>
        <v>10954.637162783723</v>
      </c>
      <c r="H397" s="30">
        <f t="array" ref="H397">E397+D397</f>
        <v>1769.4959371415407</v>
      </c>
      <c r="I397" s="30">
        <f t="array" ref="I397">G397+F397</f>
        <v>19713.213743470256</v>
      </c>
      <c r="J397" s="30">
        <f t="array" ref="J397">D397+F397</f>
        <v>9575.7324868585983</v>
      </c>
      <c r="K397" s="30">
        <f t="array" ref="K397">E397+G397</f>
        <v>11906.977193753199</v>
      </c>
      <c r="L397" s="12">
        <v>2.0463839660521999E-2</v>
      </c>
    </row>
    <row r="398" spans="1:12" ht="20.100000000000001" customHeight="1">
      <c r="A398" s="20" t="s">
        <v>508</v>
      </c>
      <c r="B398" s="21" t="s">
        <v>77</v>
      </c>
      <c r="C398" s="28">
        <f t="array" ref="C398">D398+E398+F398+G398</f>
        <v>24100.899885671708</v>
      </c>
      <c r="D398" s="28">
        <f t="array" ref="D398">D$382*$L398</f>
        <v>916.74621025169722</v>
      </c>
      <c r="E398" s="28">
        <f t="array" ref="E398">E$382*$L398</f>
        <v>1068.4058056338802</v>
      </c>
      <c r="F398" s="28">
        <f t="array" ref="F398">F$382*$L398</f>
        <v>9826.0219707118176</v>
      </c>
      <c r="G398" s="28">
        <f t="array" ref="G398">G$382*$L398</f>
        <v>12289.725899074316</v>
      </c>
      <c r="H398" s="30">
        <f t="array" ref="H398">E398+D398</f>
        <v>1985.1520158855774</v>
      </c>
      <c r="I398" s="30">
        <f t="array" ref="I398">G398+F398</f>
        <v>22115.747869786133</v>
      </c>
      <c r="J398" s="30">
        <f t="array" ref="J398">D398+F398</f>
        <v>10742.768180963514</v>
      </c>
      <c r="K398" s="30">
        <f t="array" ref="K398">E398+G398</f>
        <v>13358.131704708196</v>
      </c>
      <c r="L398" s="12">
        <v>2.2957855795062501E-2</v>
      </c>
    </row>
    <row r="399" spans="1:12" ht="20.100000000000001" customHeight="1">
      <c r="A399" s="20" t="s">
        <v>509</v>
      </c>
      <c r="B399" s="21" t="s">
        <v>79</v>
      </c>
      <c r="C399" s="28">
        <f t="array" ref="C399">D399+E399+F399+G399</f>
        <v>26769.144011819182</v>
      </c>
      <c r="D399" s="28">
        <f t="array" ref="D399">D$382*$L399</f>
        <v>1018.2404574489268</v>
      </c>
      <c r="E399" s="28">
        <f t="array" ref="E399">E$382*$L399</f>
        <v>1186.6904974399017</v>
      </c>
      <c r="F399" s="28">
        <f t="array" ref="F399">F$382*$L399</f>
        <v>10913.874521077993</v>
      </c>
      <c r="G399" s="28">
        <f t="array" ref="G399">G$382*$L399</f>
        <v>13650.338535852361</v>
      </c>
      <c r="H399" s="30">
        <f t="array" ref="H399">E399+D399</f>
        <v>2204.9309548888286</v>
      </c>
      <c r="I399" s="30">
        <f t="array" ref="I399">G399+F399</f>
        <v>24564.213056930355</v>
      </c>
      <c r="J399" s="30">
        <f t="array" ref="J399">D399+F399</f>
        <v>11932.114978526919</v>
      </c>
      <c r="K399" s="30">
        <f t="array" ref="K399">E399+G399</f>
        <v>14837.029033292263</v>
      </c>
      <c r="L399" s="12">
        <v>2.5499551921128499E-2</v>
      </c>
    </row>
    <row r="400" spans="1:12" ht="20.100000000000001" customHeight="1">
      <c r="A400" s="20" t="s">
        <v>510</v>
      </c>
      <c r="B400" s="21" t="s">
        <v>81</v>
      </c>
      <c r="C400" s="28">
        <f t="array" ref="C400">D400+E400+F400+G400</f>
        <v>29436.944951164201</v>
      </c>
      <c r="D400" s="28">
        <f t="array" ref="D400">D$382*$L400</f>
        <v>1119.7178467768026</v>
      </c>
      <c r="E400" s="28">
        <f t="array" ref="E400">E$382*$L400</f>
        <v>1304.9555425375031</v>
      </c>
      <c r="F400" s="28">
        <f t="array" ref="F400">F$382*$L400</f>
        <v>12001.546382620152</v>
      </c>
      <c r="G400" s="28">
        <f t="array" ref="G400">G$382*$L400</f>
        <v>15010.725179229745</v>
      </c>
      <c r="H400" s="30">
        <f t="array" ref="H400">E400+D400</f>
        <v>2424.6733893143055</v>
      </c>
      <c r="I400" s="30">
        <f t="array" ref="I400">G400+F400</f>
        <v>27012.271561849899</v>
      </c>
      <c r="J400" s="30">
        <f t="array" ref="J400">D400+F400</f>
        <v>13121.264229396955</v>
      </c>
      <c r="K400" s="30">
        <f t="array" ref="K400">E400+G400</f>
        <v>16315.680721767249</v>
      </c>
      <c r="L400" s="12">
        <v>2.8040825879609502E-2</v>
      </c>
    </row>
    <row r="401" spans="1:12" ht="20.100000000000001" customHeight="1">
      <c r="A401" s="20" t="s">
        <v>511</v>
      </c>
      <c r="B401" s="21" t="s">
        <v>83</v>
      </c>
      <c r="C401" s="28">
        <f t="array" ref="C401">D401+E401+F401+G401</f>
        <v>32048.522570325931</v>
      </c>
      <c r="D401" s="28">
        <f t="array" ref="D401">D$382*$L401</f>
        <v>1219.0566223620256</v>
      </c>
      <c r="E401" s="28">
        <f t="array" ref="E401">E$382*$L401</f>
        <v>1420.7281777258977</v>
      </c>
      <c r="F401" s="28">
        <f t="array" ref="F401">F$382*$L401</f>
        <v>13066.295798029261</v>
      </c>
      <c r="G401" s="28">
        <f t="array" ref="G401">G$382*$L401</f>
        <v>16342.441972208748</v>
      </c>
      <c r="H401" s="30">
        <f t="array" ref="H401">E401+D401</f>
        <v>2639.784800087923</v>
      </c>
      <c r="I401" s="30">
        <f t="array" ref="I401">G401+F401</f>
        <v>29408.737770238011</v>
      </c>
      <c r="J401" s="30">
        <f t="array" ref="J401">D401+F401</f>
        <v>14285.352420391288</v>
      </c>
      <c r="K401" s="30">
        <f t="array" ref="K401">E401+G401</f>
        <v>17763.170149934645</v>
      </c>
      <c r="L401" s="12">
        <v>3.05285430463022E-2</v>
      </c>
    </row>
    <row r="402" spans="1:12" ht="20.100000000000001" customHeight="1">
      <c r="A402" s="20" t="s">
        <v>512</v>
      </c>
      <c r="B402" s="21" t="s">
        <v>85</v>
      </c>
      <c r="C402" s="28">
        <f t="array" ref="C402">D402+E402+F402+G402</f>
        <v>34544.611857400349</v>
      </c>
      <c r="D402" s="28">
        <f t="array" ref="D402">D$382*$L402</f>
        <v>1314.002471074328</v>
      </c>
      <c r="E402" s="28">
        <f t="array" ref="E402">E$382*$L402</f>
        <v>1531.3811532721061</v>
      </c>
      <c r="F402" s="28">
        <f t="array" ref="F402">F$382*$L402</f>
        <v>14083.960212719148</v>
      </c>
      <c r="G402" s="28">
        <f t="array" ref="G402">G$382*$L402</f>
        <v>17615.26802033477</v>
      </c>
      <c r="H402" s="30">
        <f t="array" ref="H402">E402+D402</f>
        <v>2845.3836243464339</v>
      </c>
      <c r="I402" s="30">
        <f t="array" ref="I402">G402+F402</f>
        <v>31699.228233053916</v>
      </c>
      <c r="J402" s="30">
        <f t="array" ref="J402">D402+F402</f>
        <v>15397.962683793476</v>
      </c>
      <c r="K402" s="30">
        <f t="array" ref="K402">E402+G402</f>
        <v>19146.649173606875</v>
      </c>
      <c r="L402" s="12">
        <v>3.2906249197362701E-2</v>
      </c>
    </row>
    <row r="403" spans="1:12" ht="20.100000000000001" customHeight="1">
      <c r="A403" s="20" t="s">
        <v>513</v>
      </c>
      <c r="B403" s="21" t="s">
        <v>87</v>
      </c>
      <c r="C403" s="28">
        <f t="array" ref="C403">D403+E403+F403+G403</f>
        <v>36864.61030585914</v>
      </c>
      <c r="D403" s="28">
        <f t="array" ref="D403">D$382*$L403</f>
        <v>1402.2502043748948</v>
      </c>
      <c r="E403" s="28">
        <f t="array" ref="E403">E$382*$L403</f>
        <v>1634.2279275897981</v>
      </c>
      <c r="F403" s="28">
        <f t="array" ref="F403">F$382*$L403</f>
        <v>15029.831770823339</v>
      </c>
      <c r="G403" s="28">
        <f t="array" ref="G403">G$382*$L403</f>
        <v>18798.300403071113</v>
      </c>
      <c r="H403" s="30">
        <f t="array" ref="H403">E403+D403</f>
        <v>3036.4781319646927</v>
      </c>
      <c r="I403" s="30">
        <f t="array" ref="I403">G403+F403</f>
        <v>33828.132173894453</v>
      </c>
      <c r="J403" s="30">
        <f t="array" ref="J403">D403+F403</f>
        <v>16432.081975198234</v>
      </c>
      <c r="K403" s="30">
        <f t="array" ref="K403">E403+G403</f>
        <v>20432.528330660913</v>
      </c>
      <c r="L403" s="12">
        <v>3.51162160482748E-2</v>
      </c>
    </row>
    <row r="404" spans="1:12" ht="20.100000000000001" customHeight="1">
      <c r="A404" s="20" t="s">
        <v>514</v>
      </c>
      <c r="B404" s="21" t="s">
        <v>89</v>
      </c>
      <c r="C404" s="28">
        <f t="array" ref="C404">D404+E404+F404+G404</f>
        <v>38948.97235270153</v>
      </c>
      <c r="D404" s="28">
        <f t="array" ref="D404">D$382*$L404</f>
        <v>1481.5348375753024</v>
      </c>
      <c r="E404" s="28">
        <f t="array" ref="E404">E$382*$L404</f>
        <v>1726.6288139655499</v>
      </c>
      <c r="F404" s="28">
        <f t="array" ref="F404">F$382*$L404</f>
        <v>15879.63353608304</v>
      </c>
      <c r="G404" s="28">
        <f t="array" ref="G404">G$382*$L404</f>
        <v>19861.175165077639</v>
      </c>
      <c r="H404" s="30">
        <f t="array" ref="H404">E404+D404</f>
        <v>3208.1636515408522</v>
      </c>
      <c r="I404" s="30">
        <f t="array" ref="I404">G404+F404</f>
        <v>35740.808701160677</v>
      </c>
      <c r="J404" s="30">
        <f t="array" ref="J404">D404+F404</f>
        <v>17361.168373658344</v>
      </c>
      <c r="K404" s="30">
        <f t="array" ref="K404">E404+G404</f>
        <v>21587.803979043187</v>
      </c>
      <c r="L404" s="12">
        <v>3.7101722129919398E-2</v>
      </c>
    </row>
    <row r="405" spans="1:12" ht="20.100000000000001" customHeight="1">
      <c r="A405" s="20" t="s">
        <v>515</v>
      </c>
      <c r="B405" s="21" t="s">
        <v>91</v>
      </c>
      <c r="C405" s="28">
        <f t="array" ref="C405">D405+E405+F405+G405</f>
        <v>40741.722451709291</v>
      </c>
      <c r="D405" s="28">
        <f t="array" ref="D405">D$382*$L405</f>
        <v>1549.7271817197134</v>
      </c>
      <c r="E405" s="28">
        <f t="array" ref="E405">E$382*$L405</f>
        <v>1806.1023864427887</v>
      </c>
      <c r="F405" s="28">
        <f t="array" ref="F405">F$382*$L405</f>
        <v>16610.544080685515</v>
      </c>
      <c r="G405" s="28">
        <f t="array" ref="G405">G$382*$L405</f>
        <v>20775.348802861274</v>
      </c>
      <c r="H405" s="30">
        <f t="array" ref="H405">E405+D405</f>
        <v>3355.8295681625023</v>
      </c>
      <c r="I405" s="30">
        <f t="array" ref="I405">G405+F405</f>
        <v>37385.892883546789</v>
      </c>
      <c r="J405" s="30">
        <f t="array" ref="J405">D405+F405</f>
        <v>18160.271262405229</v>
      </c>
      <c r="K405" s="30">
        <f t="array" ref="K405">E405+G405</f>
        <v>22581.451189304062</v>
      </c>
      <c r="L405" s="12">
        <v>3.8809446673187302E-2</v>
      </c>
    </row>
    <row r="406" spans="1:12" ht="20.100000000000001" customHeight="1">
      <c r="A406" s="20" t="s">
        <v>516</v>
      </c>
      <c r="B406" s="21" t="s">
        <v>93</v>
      </c>
      <c r="C406" s="28">
        <f t="array" ref="C406">D406+E406+F406+G406</f>
        <v>42192.940613399383</v>
      </c>
      <c r="D406" s="28">
        <f t="array" ref="D406">D$382*$L406</f>
        <v>1604.9283881596755</v>
      </c>
      <c r="E406" s="28">
        <f t="array" ref="E406">E$382*$L406</f>
        <v>1870.4356651396893</v>
      </c>
      <c r="F406" s="28">
        <f t="array" ref="F406">F$382*$L406</f>
        <v>17202.210848677878</v>
      </c>
      <c r="G406" s="28">
        <f t="array" ref="G406">G$382*$L406</f>
        <v>21515.365711422142</v>
      </c>
      <c r="H406" s="30">
        <f t="array" ref="H406">E406+D406</f>
        <v>3475.364053299365</v>
      </c>
      <c r="I406" s="30">
        <f t="array" ref="I406">G406+F406</f>
        <v>38717.576560100017</v>
      </c>
      <c r="J406" s="30">
        <f t="array" ref="J406">D406+F406</f>
        <v>18807.139236837553</v>
      </c>
      <c r="K406" s="30">
        <f t="array" ref="K406">E406+G406</f>
        <v>23385.801376561831</v>
      </c>
      <c r="L406" s="12">
        <v>4.0191837266123798E-2</v>
      </c>
    </row>
    <row r="407" spans="1:12" ht="20.100000000000001" customHeight="1">
      <c r="A407" s="20" t="s">
        <v>517</v>
      </c>
      <c r="B407" s="21" t="s">
        <v>95</v>
      </c>
      <c r="C407" s="28">
        <f t="array" ref="C407">D407+E407+F407+G407</f>
        <v>43261.067220219862</v>
      </c>
      <c r="D407" s="28">
        <f t="array" ref="D407">D$382*$L407</f>
        <v>1645.5576187492697</v>
      </c>
      <c r="E407" s="28">
        <f t="array" ref="E407">E$382*$L407</f>
        <v>1917.7862899417728</v>
      </c>
      <c r="F407" s="28">
        <f t="array" ref="F407">F$382*$L407</f>
        <v>17637.689837259524</v>
      </c>
      <c r="G407" s="28">
        <f t="array" ref="G407">G$382*$L407</f>
        <v>22060.033474269294</v>
      </c>
      <c r="H407" s="30">
        <f t="array" ref="H407">E407+D407</f>
        <v>3563.3439086910425</v>
      </c>
      <c r="I407" s="30">
        <f t="array" ref="I407">G407+F407</f>
        <v>39697.723311528818</v>
      </c>
      <c r="J407" s="30">
        <f t="array" ref="J407">D407+F407</f>
        <v>19283.247456008794</v>
      </c>
      <c r="K407" s="30">
        <f t="array" ref="K407">E407+G407</f>
        <v>23977.819764211068</v>
      </c>
      <c r="L407" s="12">
        <v>4.12093053576299E-2</v>
      </c>
    </row>
    <row r="408" spans="1:12" ht="20.100000000000001" customHeight="1">
      <c r="A408" s="20" t="s">
        <v>518</v>
      </c>
      <c r="B408" s="21" t="s">
        <v>97</v>
      </c>
      <c r="C408" s="28">
        <f t="array" ref="C408">D408+E408+F408+G408</f>
        <v>43914.878927971564</v>
      </c>
      <c r="D408" s="28">
        <f t="array" ref="D408">D$382*$L408</f>
        <v>1670.4272048702385</v>
      </c>
      <c r="E408" s="28">
        <f t="array" ref="E408">E$382*$L408</f>
        <v>1946.7701132706522</v>
      </c>
      <c r="F408" s="28">
        <f t="array" ref="F408">F$382*$L408</f>
        <v>17904.251178767616</v>
      </c>
      <c r="G408" s="28">
        <f t="array" ref="G408">G$382*$L408</f>
        <v>22393.430431063058</v>
      </c>
      <c r="H408" s="30">
        <f t="array" ref="H408">E408+D408</f>
        <v>3617.1973181408907</v>
      </c>
      <c r="I408" s="30">
        <f t="array" ref="I408">G408+F408</f>
        <v>40297.681609830674</v>
      </c>
      <c r="J408" s="30">
        <f t="array" ref="J408">D408+F408</f>
        <v>19574.678383637853</v>
      </c>
      <c r="K408" s="30">
        <f t="array" ref="K408">E408+G408</f>
        <v>24340.200544333711</v>
      </c>
      <c r="L408" s="12">
        <v>4.1832108446929098E-2</v>
      </c>
    </row>
    <row r="409" spans="1:12" ht="20.100000000000001" customHeight="1">
      <c r="A409" s="20" t="s">
        <v>519</v>
      </c>
      <c r="B409" s="21" t="s">
        <v>99</v>
      </c>
      <c r="C409" s="28">
        <f t="array" ref="C409">D409+E409+F409+G409</f>
        <v>44135.004649829702</v>
      </c>
      <c r="D409" s="28">
        <f t="array" ref="D409">D$382*$L409</f>
        <v>1678.8003121919423</v>
      </c>
      <c r="E409" s="28">
        <f t="array" ref="E409">E$382*$L409</f>
        <v>1956.5284044680029</v>
      </c>
      <c r="F409" s="28">
        <f t="array" ref="F409">F$382*$L409</f>
        <v>17993.997212714785</v>
      </c>
      <c r="G409" s="28">
        <f t="array" ref="G409">G$382*$L409</f>
        <v>22505.678720454969</v>
      </c>
      <c r="H409" s="30">
        <f t="array" ref="H409">E409+D409</f>
        <v>3635.3287166599453</v>
      </c>
      <c r="I409" s="30">
        <f t="array" ref="I409">G409+F409</f>
        <v>40499.675933169754</v>
      </c>
      <c r="J409" s="30">
        <f t="array" ref="J409">D409+F409</f>
        <v>19672.797524906728</v>
      </c>
      <c r="K409" s="30">
        <f t="array" ref="K409">E409+G409</f>
        <v>24462.20712492297</v>
      </c>
      <c r="L409" s="12">
        <v>4.2041794168341001E-2</v>
      </c>
    </row>
    <row r="410" spans="1:12" ht="20.100000000000001" customHeight="1">
      <c r="A410" s="20" t="s">
        <v>520</v>
      </c>
      <c r="B410" s="21" t="s">
        <v>101</v>
      </c>
      <c r="C410" s="28">
        <f t="array" ref="C410">D410+E410+F410+G410</f>
        <v>43914.878927971564</v>
      </c>
      <c r="D410" s="28">
        <f t="array" ref="D410">D$382*$L410</f>
        <v>1670.4272048702385</v>
      </c>
      <c r="E410" s="28">
        <f t="array" ref="E410">E$382*$L410</f>
        <v>1946.7701132706522</v>
      </c>
      <c r="F410" s="28">
        <f t="array" ref="F410">F$382*$L410</f>
        <v>17904.251178767616</v>
      </c>
      <c r="G410" s="28">
        <f t="array" ref="G410">G$382*$L410</f>
        <v>22393.430431063058</v>
      </c>
      <c r="H410" s="30">
        <f t="array" ref="H410">E410+D410</f>
        <v>3617.1973181408907</v>
      </c>
      <c r="I410" s="30">
        <f t="array" ref="I410">G410+F410</f>
        <v>40297.681609830674</v>
      </c>
      <c r="J410" s="30">
        <f t="array" ref="J410">D410+F410</f>
        <v>19574.678383637853</v>
      </c>
      <c r="K410" s="30">
        <f t="array" ref="K410">E410+G410</f>
        <v>24340.200544333711</v>
      </c>
      <c r="L410" s="12">
        <v>4.1832108446929098E-2</v>
      </c>
    </row>
    <row r="411" spans="1:12" ht="20.100000000000001" customHeight="1">
      <c r="A411" s="20" t="s">
        <v>521</v>
      </c>
      <c r="B411" s="21" t="s">
        <v>103</v>
      </c>
      <c r="C411" s="28">
        <f t="array" ref="C411">D411+E411+F411+G411</f>
        <v>43261.067220219862</v>
      </c>
      <c r="D411" s="28">
        <f t="array" ref="D411">D$382*$L411</f>
        <v>1645.5576187492697</v>
      </c>
      <c r="E411" s="28">
        <f t="array" ref="E411">E$382*$L411</f>
        <v>1917.7862899417728</v>
      </c>
      <c r="F411" s="28">
        <f t="array" ref="F411">F$382*$L411</f>
        <v>17637.689837259524</v>
      </c>
      <c r="G411" s="28">
        <f t="array" ref="G411">G$382*$L411</f>
        <v>22060.033474269294</v>
      </c>
      <c r="H411" s="30">
        <f t="array" ref="H411">E411+D411</f>
        <v>3563.3439086910425</v>
      </c>
      <c r="I411" s="30">
        <f t="array" ref="I411">G411+F411</f>
        <v>39697.723311528818</v>
      </c>
      <c r="J411" s="30">
        <f t="array" ref="J411">D411+F411</f>
        <v>19283.247456008794</v>
      </c>
      <c r="K411" s="30">
        <f t="array" ref="K411">E411+G411</f>
        <v>23977.819764211068</v>
      </c>
      <c r="L411" s="12">
        <v>4.12093053576299E-2</v>
      </c>
    </row>
    <row r="412" spans="1:12" ht="20.100000000000001" customHeight="1">
      <c r="A412" s="20" t="s">
        <v>522</v>
      </c>
      <c r="B412" s="21" t="s">
        <v>105</v>
      </c>
      <c r="C412" s="28">
        <f t="array" ref="C412">D412+E412+F412+G412</f>
        <v>42192.940613399383</v>
      </c>
      <c r="D412" s="28">
        <f t="array" ref="D412">D$382*$L412</f>
        <v>1604.9283881596755</v>
      </c>
      <c r="E412" s="28">
        <f t="array" ref="E412">E$382*$L412</f>
        <v>1870.4356651396893</v>
      </c>
      <c r="F412" s="28">
        <f t="array" ref="F412">F$382*$L412</f>
        <v>17202.210848677878</v>
      </c>
      <c r="G412" s="28">
        <f t="array" ref="G412">G$382*$L412</f>
        <v>21515.365711422142</v>
      </c>
      <c r="H412" s="30">
        <f t="array" ref="H412">E412+D412</f>
        <v>3475.364053299365</v>
      </c>
      <c r="I412" s="30">
        <f t="array" ref="I412">G412+F412</f>
        <v>38717.576560100017</v>
      </c>
      <c r="J412" s="30">
        <f t="array" ref="J412">D412+F412</f>
        <v>18807.139236837553</v>
      </c>
      <c r="K412" s="30">
        <f t="array" ref="K412">E412+G412</f>
        <v>23385.801376561831</v>
      </c>
      <c r="L412" s="12">
        <v>4.0191837266123798E-2</v>
      </c>
    </row>
    <row r="413" spans="1:12" ht="20.100000000000001" customHeight="1">
      <c r="A413" s="20" t="s">
        <v>523</v>
      </c>
      <c r="B413" s="21" t="s">
        <v>107</v>
      </c>
      <c r="C413" s="28">
        <f t="array" ref="C413">D413+E413+F413+G413</f>
        <v>40741.722451709291</v>
      </c>
      <c r="D413" s="28">
        <f t="array" ref="D413">D$382*$L413</f>
        <v>1549.7271817197134</v>
      </c>
      <c r="E413" s="28">
        <f t="array" ref="E413">E$382*$L413</f>
        <v>1806.1023864427887</v>
      </c>
      <c r="F413" s="28">
        <f t="array" ref="F413">F$382*$L413</f>
        <v>16610.544080685515</v>
      </c>
      <c r="G413" s="28">
        <f t="array" ref="G413">G$382*$L413</f>
        <v>20775.348802861274</v>
      </c>
      <c r="H413" s="30">
        <f t="array" ref="H413">E413+D413</f>
        <v>3355.8295681625023</v>
      </c>
      <c r="I413" s="30">
        <f t="array" ref="I413">G413+F413</f>
        <v>37385.892883546789</v>
      </c>
      <c r="J413" s="30">
        <f t="array" ref="J413">D413+F413</f>
        <v>18160.271262405229</v>
      </c>
      <c r="K413" s="30">
        <f t="array" ref="K413">E413+G413</f>
        <v>22581.451189304062</v>
      </c>
      <c r="L413" s="12">
        <v>3.8809446673187302E-2</v>
      </c>
    </row>
    <row r="414" spans="1:12" ht="20.100000000000001" customHeight="1">
      <c r="A414" s="20" t="s">
        <v>524</v>
      </c>
      <c r="B414" s="21" t="s">
        <v>109</v>
      </c>
      <c r="C414" s="28">
        <f t="array" ref="C414">D414+E414+F414+G414</f>
        <v>38948.97235270153</v>
      </c>
      <c r="D414" s="28">
        <f t="array" ref="D414">D$382*$L414</f>
        <v>1481.5348375753024</v>
      </c>
      <c r="E414" s="28">
        <f t="array" ref="E414">E$382*$L414</f>
        <v>1726.6288139655499</v>
      </c>
      <c r="F414" s="28">
        <f t="array" ref="F414">F$382*$L414</f>
        <v>15879.63353608304</v>
      </c>
      <c r="G414" s="28">
        <f t="array" ref="G414">G$382*$L414</f>
        <v>19861.175165077639</v>
      </c>
      <c r="H414" s="30">
        <f t="array" ref="H414">E414+D414</f>
        <v>3208.1636515408522</v>
      </c>
      <c r="I414" s="30">
        <f t="array" ref="I414">G414+F414</f>
        <v>35740.808701160677</v>
      </c>
      <c r="J414" s="30">
        <f t="array" ref="J414">D414+F414</f>
        <v>17361.168373658344</v>
      </c>
      <c r="K414" s="30">
        <f t="array" ref="K414">E414+G414</f>
        <v>21587.803979043187</v>
      </c>
      <c r="L414" s="12">
        <v>3.7101722129919398E-2</v>
      </c>
    </row>
    <row r="415" spans="1:12" ht="20.100000000000001" customHeight="1">
      <c r="A415" s="20" t="s">
        <v>525</v>
      </c>
      <c r="B415" s="21" t="s">
        <v>111</v>
      </c>
      <c r="C415" s="28">
        <f t="array" ref="C415">D415+E415+F415+G415</f>
        <v>36864.61030585914</v>
      </c>
      <c r="D415" s="28">
        <f t="array" ref="D415">D$382*$L415</f>
        <v>1402.2502043748948</v>
      </c>
      <c r="E415" s="28">
        <f t="array" ref="E415">E$382*$L415</f>
        <v>1634.2279275897981</v>
      </c>
      <c r="F415" s="28">
        <f t="array" ref="F415">F$382*$L415</f>
        <v>15029.831770823339</v>
      </c>
      <c r="G415" s="28">
        <f t="array" ref="G415">G$382*$L415</f>
        <v>18798.300403071113</v>
      </c>
      <c r="H415" s="30">
        <f t="array" ref="H415">E415+D415</f>
        <v>3036.4781319646927</v>
      </c>
      <c r="I415" s="30">
        <f t="array" ref="I415">G415+F415</f>
        <v>33828.132173894453</v>
      </c>
      <c r="J415" s="30">
        <f t="array" ref="J415">D415+F415</f>
        <v>16432.081975198234</v>
      </c>
      <c r="K415" s="30">
        <f t="array" ref="K415">E415+G415</f>
        <v>20432.528330660913</v>
      </c>
      <c r="L415" s="12">
        <v>3.51162160482748E-2</v>
      </c>
    </row>
    <row r="416" spans="1:12" ht="20.100000000000001" customHeight="1">
      <c r="A416" s="20" t="s">
        <v>526</v>
      </c>
      <c r="B416" s="21" t="s">
        <v>113</v>
      </c>
      <c r="C416" s="28">
        <f t="array" ref="C416">D416+E416+F416+G416</f>
        <v>34544.611857400349</v>
      </c>
      <c r="D416" s="28">
        <f t="array" ref="D416">D$382*$L416</f>
        <v>1314.002471074328</v>
      </c>
      <c r="E416" s="28">
        <f t="array" ref="E416">E$382*$L416</f>
        <v>1531.3811532721061</v>
      </c>
      <c r="F416" s="28">
        <f t="array" ref="F416">F$382*$L416</f>
        <v>14083.960212719148</v>
      </c>
      <c r="G416" s="28">
        <f t="array" ref="G416">G$382*$L416</f>
        <v>17615.26802033477</v>
      </c>
      <c r="H416" s="30">
        <f t="array" ref="H416">E416+D416</f>
        <v>2845.3836243464339</v>
      </c>
      <c r="I416" s="30">
        <f t="array" ref="I416">G416+F416</f>
        <v>31699.228233053916</v>
      </c>
      <c r="J416" s="30">
        <f t="array" ref="J416">D416+F416</f>
        <v>15397.962683793476</v>
      </c>
      <c r="K416" s="30">
        <f t="array" ref="K416">E416+G416</f>
        <v>19146.649173606875</v>
      </c>
      <c r="L416" s="12">
        <v>3.2906249197362701E-2</v>
      </c>
    </row>
    <row r="417" spans="1:12" ht="20.100000000000001" customHeight="1">
      <c r="A417" s="20" t="s">
        <v>527</v>
      </c>
      <c r="B417" s="21" t="s">
        <v>115</v>
      </c>
      <c r="C417" s="28">
        <f t="array" ref="C417">D417+E417+F417+G417</f>
        <v>32048.522570325931</v>
      </c>
      <c r="D417" s="28">
        <f t="array" ref="D417">D$382*$L417</f>
        <v>1219.0566223620256</v>
      </c>
      <c r="E417" s="28">
        <f t="array" ref="E417">E$382*$L417</f>
        <v>1420.7281777258977</v>
      </c>
      <c r="F417" s="28">
        <f t="array" ref="F417">F$382*$L417</f>
        <v>13066.295798029261</v>
      </c>
      <c r="G417" s="28">
        <f t="array" ref="G417">G$382*$L417</f>
        <v>16342.441972208748</v>
      </c>
      <c r="H417" s="30">
        <f t="array" ref="H417">E417+D417</f>
        <v>2639.784800087923</v>
      </c>
      <c r="I417" s="30">
        <f t="array" ref="I417">G417+F417</f>
        <v>29408.737770238011</v>
      </c>
      <c r="J417" s="30">
        <f t="array" ref="J417">D417+F417</f>
        <v>14285.352420391288</v>
      </c>
      <c r="K417" s="30">
        <f t="array" ref="K417">E417+G417</f>
        <v>17763.170149934645</v>
      </c>
      <c r="L417" s="12">
        <v>3.05285430463022E-2</v>
      </c>
    </row>
    <row r="418" spans="1:12" ht="20.100000000000001" customHeight="1">
      <c r="A418" s="20" t="s">
        <v>528</v>
      </c>
      <c r="B418" s="21" t="s">
        <v>117</v>
      </c>
      <c r="C418" s="28">
        <f t="array" ref="C418">D418+E418+F418+G418</f>
        <v>29436.944951164201</v>
      </c>
      <c r="D418" s="28">
        <f t="array" ref="D418">D$382*$L418</f>
        <v>1119.7178467768026</v>
      </c>
      <c r="E418" s="28">
        <f t="array" ref="E418">E$382*$L418</f>
        <v>1304.9555425375031</v>
      </c>
      <c r="F418" s="28">
        <f t="array" ref="F418">F$382*$L418</f>
        <v>12001.546382620152</v>
      </c>
      <c r="G418" s="28">
        <f t="array" ref="G418">G$382*$L418</f>
        <v>15010.725179229745</v>
      </c>
      <c r="H418" s="30">
        <f t="array" ref="H418">E418+D418</f>
        <v>2424.6733893143055</v>
      </c>
      <c r="I418" s="30">
        <f t="array" ref="I418">G418+F418</f>
        <v>27012.271561849899</v>
      </c>
      <c r="J418" s="30">
        <f t="array" ref="J418">D418+F418</f>
        <v>13121.264229396955</v>
      </c>
      <c r="K418" s="30">
        <f t="array" ref="K418">E418+G418</f>
        <v>16315.680721767249</v>
      </c>
      <c r="L418" s="12">
        <v>2.8040825879609502E-2</v>
      </c>
    </row>
    <row r="419" spans="1:12" ht="20.100000000000001" customHeight="1">
      <c r="A419" s="20" t="s">
        <v>529</v>
      </c>
      <c r="B419" s="21" t="s">
        <v>119</v>
      </c>
      <c r="C419" s="28">
        <f t="array" ref="C419">D419+E419+F419+G419</f>
        <v>26769.144011819182</v>
      </c>
      <c r="D419" s="28">
        <f t="array" ref="D419">D$382*$L419</f>
        <v>1018.2404574489268</v>
      </c>
      <c r="E419" s="28">
        <f t="array" ref="E419">E$382*$L419</f>
        <v>1186.6904974399017</v>
      </c>
      <c r="F419" s="28">
        <f t="array" ref="F419">F$382*$L419</f>
        <v>10913.874521077993</v>
      </c>
      <c r="G419" s="28">
        <f t="array" ref="G419">G$382*$L419</f>
        <v>13650.338535852361</v>
      </c>
      <c r="H419" s="30">
        <f t="array" ref="H419">E419+D419</f>
        <v>2204.9309548888286</v>
      </c>
      <c r="I419" s="30">
        <f t="array" ref="I419">G419+F419</f>
        <v>24564.213056930355</v>
      </c>
      <c r="J419" s="30">
        <f t="array" ref="J419">D419+F419</f>
        <v>11932.114978526919</v>
      </c>
      <c r="K419" s="30">
        <f t="array" ref="K419">E419+G419</f>
        <v>14837.029033292263</v>
      </c>
      <c r="L419" s="12">
        <v>2.5499551921128499E-2</v>
      </c>
    </row>
    <row r="420" spans="1:12" ht="20.100000000000001" customHeight="1">
      <c r="A420" s="20" t="s">
        <v>530</v>
      </c>
      <c r="B420" s="21" t="s">
        <v>121</v>
      </c>
      <c r="C420" s="28">
        <f t="array" ref="C420">D420+E420+F420+G420</f>
        <v>24100.899885671708</v>
      </c>
      <c r="D420" s="28">
        <f t="array" ref="D420">D$382*$L420</f>
        <v>916.74621025169722</v>
      </c>
      <c r="E420" s="28">
        <f t="array" ref="E420">E$382*$L420</f>
        <v>1068.4058056338802</v>
      </c>
      <c r="F420" s="28">
        <f t="array" ref="F420">F$382*$L420</f>
        <v>9826.0219707118176</v>
      </c>
      <c r="G420" s="28">
        <f t="array" ref="G420">G$382*$L420</f>
        <v>12289.725899074316</v>
      </c>
      <c r="H420" s="30">
        <f t="array" ref="H420">E420+D420</f>
        <v>1985.1520158855774</v>
      </c>
      <c r="I420" s="30">
        <f t="array" ref="I420">G420+F420</f>
        <v>22115.747869786133</v>
      </c>
      <c r="J420" s="30">
        <f t="array" ref="J420">D420+F420</f>
        <v>10742.768180963514</v>
      </c>
      <c r="K420" s="30">
        <f t="array" ref="K420">E420+G420</f>
        <v>13358.131704708196</v>
      </c>
      <c r="L420" s="12">
        <v>2.2957855795062501E-2</v>
      </c>
    </row>
    <row r="421" spans="1:12" ht="20.100000000000001" customHeight="1">
      <c r="A421" s="20" t="s">
        <v>531</v>
      </c>
      <c r="B421" s="21" t="s">
        <v>123</v>
      </c>
      <c r="C421" s="28">
        <f t="array" ref="C421">D421+E421+F421+G421</f>
        <v>21482.709680611799</v>
      </c>
      <c r="D421" s="28">
        <f t="array" ref="D421">D$382*$L421</f>
        <v>817.15590617206624</v>
      </c>
      <c r="E421" s="28">
        <f t="array" ref="E421">E$382*$L421</f>
        <v>952.34003096947458</v>
      </c>
      <c r="F421" s="28">
        <f t="array" ref="F421">F$382*$L421</f>
        <v>8758.5765806865329</v>
      </c>
      <c r="G421" s="28">
        <f t="array" ref="G421">G$382*$L421</f>
        <v>10954.637162783723</v>
      </c>
      <c r="H421" s="30">
        <f t="array" ref="H421">E421+D421</f>
        <v>1769.4959371415407</v>
      </c>
      <c r="I421" s="30">
        <f t="array" ref="I421">G421+F421</f>
        <v>19713.213743470256</v>
      </c>
      <c r="J421" s="30">
        <f t="array" ref="J421">D421+F421</f>
        <v>9575.7324868585983</v>
      </c>
      <c r="K421" s="30">
        <f t="array" ref="K421">E421+G421</f>
        <v>11906.977193753199</v>
      </c>
      <c r="L421" s="12">
        <v>2.0463839660521999E-2</v>
      </c>
    </row>
    <row r="422" spans="1:12" ht="20.100000000000001" customHeight="1">
      <c r="A422" s="20" t="s">
        <v>532</v>
      </c>
      <c r="B422" s="21" t="s">
        <v>125</v>
      </c>
      <c r="C422" s="28">
        <f t="array" ref="C422">D422+E422+F422+G422</f>
        <v>18958.408910340717</v>
      </c>
      <c r="D422" s="28">
        <f t="array" ref="D422">D$382*$L422</f>
        <v>721.13695353298897</v>
      </c>
      <c r="E422" s="28">
        <f t="array" ref="E422">E$382*$L422</f>
        <v>840.43642525693076</v>
      </c>
      <c r="F422" s="28">
        <f t="array" ref="F422">F$382*$L422</f>
        <v>7729.4102446977831</v>
      </c>
      <c r="G422" s="28">
        <f t="array" ref="G422">G$382*$L422</f>
        <v>9667.4252868530111</v>
      </c>
      <c r="H422" s="30">
        <f t="array" ref="H422">E422+D422</f>
        <v>1561.5733787899198</v>
      </c>
      <c r="I422" s="30">
        <f t="array" ref="I422">G422+F422</f>
        <v>17396.835531550794</v>
      </c>
      <c r="J422" s="30">
        <f t="array" ref="J422">D422+F422</f>
        <v>8450.5471982307718</v>
      </c>
      <c r="K422" s="30">
        <f t="array" ref="K422">E422+G422</f>
        <v>10507.861712109941</v>
      </c>
      <c r="L422" s="12">
        <v>1.80592600248171E-2</v>
      </c>
    </row>
    <row r="423" spans="1:12" ht="20.100000000000001" customHeight="1">
      <c r="A423" s="20" t="s">
        <v>533</v>
      </c>
      <c r="B423" s="21" t="s">
        <v>127</v>
      </c>
      <c r="C423" s="28">
        <f t="array" ref="C423">D423+E423+F423+G423</f>
        <v>16564.248576618305</v>
      </c>
      <c r="D423" s="28">
        <f t="array" ref="D423">D$382*$L423</f>
        <v>630.06826219421384</v>
      </c>
      <c r="E423" s="28">
        <f t="array" ref="E423">E$382*$L423</f>
        <v>734.30201482821087</v>
      </c>
      <c r="F423" s="28">
        <f t="array" ref="F423">F$382*$L423</f>
        <v>6753.3026241458601</v>
      </c>
      <c r="G423" s="28">
        <f t="array" ref="G423">G$382*$L423</f>
        <v>8446.5756754500217</v>
      </c>
      <c r="H423" s="30">
        <f t="array" ref="H423">E423+D423</f>
        <v>1364.3702770224247</v>
      </c>
      <c r="I423" s="30">
        <f t="array" ref="I423">G423+F423</f>
        <v>15199.878299595883</v>
      </c>
      <c r="J423" s="30">
        <f t="array" ref="J423">D423+F423</f>
        <v>7383.3708863400743</v>
      </c>
      <c r="K423" s="30">
        <f t="array" ref="K423">E423+G423</f>
        <v>9180.877690278232</v>
      </c>
      <c r="L423" s="12">
        <v>1.5778648597335299E-2</v>
      </c>
    </row>
    <row r="424" spans="1:12" ht="20.100000000000001" customHeight="1">
      <c r="A424" s="20" t="s">
        <v>534</v>
      </c>
      <c r="B424" s="21" t="s">
        <v>129</v>
      </c>
      <c r="C424" s="28">
        <f t="array" ref="C424">D424+E424+F424+G424</f>
        <v>14328.430398668886</v>
      </c>
      <c r="D424" s="28">
        <f t="array" ref="D424">D$382*$L424</f>
        <v>545.02256468208304</v>
      </c>
      <c r="E424" s="28">
        <f t="array" ref="E424">E$382*$L424</f>
        <v>635.18699700752472</v>
      </c>
      <c r="F424" s="28">
        <f t="array" ref="F424">F$382*$L424</f>
        <v>5841.7516595236302</v>
      </c>
      <c r="G424" s="28">
        <f t="array" ref="G424">G$382*$L424</f>
        <v>7306.4691774556495</v>
      </c>
      <c r="H424" s="30">
        <f t="array" ref="H424">E424+D424</f>
        <v>1180.2095616896077</v>
      </c>
      <c r="I424" s="30">
        <f t="array" ref="I424">G424+F424</f>
        <v>13148.220836979279</v>
      </c>
      <c r="J424" s="30">
        <f t="array" ref="J424">D424+F424</f>
        <v>6386.7742242057129</v>
      </c>
      <c r="K424" s="30">
        <f t="array" ref="K424">E424+G424</f>
        <v>7941.6561744631745</v>
      </c>
      <c r="L424" s="12">
        <v>1.36488695618289E-2</v>
      </c>
    </row>
    <row r="425" spans="1:12" ht="20.100000000000001" customHeight="1">
      <c r="A425" s="20" t="s">
        <v>535</v>
      </c>
      <c r="B425" s="21" t="s">
        <v>131</v>
      </c>
      <c r="C425" s="28">
        <f t="array" ref="C425">D425+E425+F425+G425</f>
        <v>12271.072548116037</v>
      </c>
      <c r="D425" s="28">
        <f t="array" ref="D425">D$382*$L425</f>
        <v>466.76511282041218</v>
      </c>
      <c r="E425" s="28">
        <f t="array" ref="E425">E$382*$L425</f>
        <v>543.98322112262929</v>
      </c>
      <c r="F425" s="28">
        <f t="array" ref="F425">F$382*$L425</f>
        <v>5002.9596004284749</v>
      </c>
      <c r="G425" s="28">
        <f t="array" ref="G425">G$382*$L425</f>
        <v>6257.3646137445203</v>
      </c>
      <c r="H425" s="30">
        <f t="array" ref="H425">E425+D425</f>
        <v>1010.7483339430414</v>
      </c>
      <c r="I425" s="30">
        <f t="array" ref="I425">G425+F425</f>
        <v>11260.324214172995</v>
      </c>
      <c r="J425" s="30">
        <f t="array" ref="J425">D425+F425</f>
        <v>5469.7247132488874</v>
      </c>
      <c r="K425" s="30">
        <f t="array" ref="K425">E425+G425</f>
        <v>6801.3478348671497</v>
      </c>
      <c r="L425" s="12">
        <v>1.1689086936454301E-2</v>
      </c>
    </row>
    <row r="426" spans="1:12" ht="20.100000000000001" customHeight="1">
      <c r="A426" s="20" t="s">
        <v>536</v>
      </c>
      <c r="B426" s="21" t="s">
        <v>133</v>
      </c>
      <c r="C426" s="28">
        <f t="array" ref="C426">D426+E426+F426+G426</f>
        <v>10404.553679612131</v>
      </c>
      <c r="D426" s="28">
        <f t="array" ref="D426">D$382*$L426</f>
        <v>395.76676391305347</v>
      </c>
      <c r="E426" s="28">
        <f t="array" ref="E426">E$382*$L426</f>
        <v>461.23943956697332</v>
      </c>
      <c r="F426" s="28">
        <f t="array" ref="F426">F$382*$L426</f>
        <v>4241.9732680645466</v>
      </c>
      <c r="G426" s="28">
        <f t="array" ref="G426">G$382*$L426</f>
        <v>5305.5742080675582</v>
      </c>
      <c r="H426" s="30">
        <f t="array" ref="H426">E426+D426</f>
        <v>857.00620348002678</v>
      </c>
      <c r="I426" s="30">
        <f t="array" ref="I426">G426+F426</f>
        <v>9547.5474761321057</v>
      </c>
      <c r="J426" s="30">
        <f t="array" ref="J426">D426+F426</f>
        <v>4637.7400319775998</v>
      </c>
      <c r="K426" s="30">
        <f t="array" ref="K426">E426+G426</f>
        <v>5766.8136476345317</v>
      </c>
      <c r="L426" s="12">
        <v>9.9110922879079404E-3</v>
      </c>
    </row>
    <row r="427" spans="1:12" ht="20.100000000000001" customHeight="1">
      <c r="A427" s="20" t="s">
        <v>537</v>
      </c>
      <c r="B427" s="21" t="s">
        <v>135</v>
      </c>
      <c r="C427" s="28">
        <f t="array" ref="C427">D427+E427+F427+G427</f>
        <v>8734.1654165642103</v>
      </c>
      <c r="D427" s="28">
        <f t="array" ref="D427">D$382*$L427</f>
        <v>332.22879989252789</v>
      </c>
      <c r="E427" s="28">
        <f t="array" ref="E427">E$382*$L427</f>
        <v>387.19023284153934</v>
      </c>
      <c r="F427" s="28">
        <f t="array" ref="F427">F$382*$L427</f>
        <v>3560.950075976772</v>
      </c>
      <c r="G427" s="28">
        <f t="array" ref="G427">G$382*$L427</f>
        <v>4453.7963078533703</v>
      </c>
      <c r="H427" s="30">
        <f t="array" ref="H427">E427+D427</f>
        <v>719.41903273406729</v>
      </c>
      <c r="I427" s="30">
        <f t="array" ref="I427">G427+F427</f>
        <v>8014.7463838301428</v>
      </c>
      <c r="J427" s="30">
        <f t="array" ref="J427">D427+F427</f>
        <v>3893.1788758693001</v>
      </c>
      <c r="K427" s="30">
        <f t="array" ref="K427">E427+G427</f>
        <v>4840.9865406949093</v>
      </c>
      <c r="L427" s="12">
        <v>8.3199262714216508E-3</v>
      </c>
    </row>
    <row r="428" spans="1:12" ht="20.100000000000001" customHeight="1">
      <c r="A428" s="20" t="s">
        <v>538</v>
      </c>
      <c r="B428" s="21" t="s">
        <v>137</v>
      </c>
      <c r="C428" s="28">
        <f t="array" ref="C428">D428+E428+F428+G428</f>
        <v>7258.9933163110472</v>
      </c>
      <c r="D428" s="28">
        <f t="array" ref="D428">D$382*$L428</f>
        <v>276.11643733381214</v>
      </c>
      <c r="E428" s="28">
        <f t="array" ref="E428">E$382*$L428</f>
        <v>321.79506321318024</v>
      </c>
      <c r="F428" s="28">
        <f t="array" ref="F428">F$382*$L428</f>
        <v>2959.5172026637647</v>
      </c>
      <c r="G428" s="28">
        <f t="array" ref="G428">G$382*$L428</f>
        <v>3701.5646131002904</v>
      </c>
      <c r="H428" s="30">
        <f t="array" ref="H428">E428+D428</f>
        <v>597.91150054699233</v>
      </c>
      <c r="I428" s="30">
        <f t="array" ref="I428">G428+F428</f>
        <v>6661.0818157640551</v>
      </c>
      <c r="J428" s="30">
        <f t="array" ref="J428">D428+F428</f>
        <v>3235.6336399975767</v>
      </c>
      <c r="K428" s="30">
        <f t="array" ref="K428">E428+G428</f>
        <v>4023.3596763134706</v>
      </c>
      <c r="L428" s="12">
        <v>6.9147178140127304E-3</v>
      </c>
    </row>
    <row r="429" spans="1:12" ht="20.100000000000001" customHeight="1">
      <c r="A429" s="20" t="s">
        <v>539</v>
      </c>
      <c r="B429" s="21" t="s">
        <v>139</v>
      </c>
      <c r="C429" s="28">
        <f t="array" ref="C429">D429+E429+F429+G429</f>
        <v>0</v>
      </c>
      <c r="D429" s="28">
        <f t="array" ref="D429">D$382*$L429</f>
        <v>0</v>
      </c>
      <c r="E429" s="28">
        <f t="array" ref="E429">E$382*$L429</f>
        <v>0</v>
      </c>
      <c r="F429" s="28">
        <f t="array" ref="F429">F$382*$L429</f>
        <v>0</v>
      </c>
      <c r="G429" s="28">
        <f t="array" ref="G429">G$382*$L429</f>
        <v>0</v>
      </c>
      <c r="H429" s="30">
        <f t="array" ref="H429">E429+D429</f>
        <v>0</v>
      </c>
      <c r="I429" s="30">
        <f t="array" ref="I429">G429+F429</f>
        <v>0</v>
      </c>
      <c r="J429" s="30">
        <f t="array" ref="J429">D429+F429</f>
        <v>0</v>
      </c>
      <c r="K429" s="30">
        <f t="array" ref="K429">E429+G429</f>
        <v>0</v>
      </c>
      <c r="L429" s="12"/>
    </row>
    <row r="430" spans="1:12" ht="20.100000000000001" customHeight="1">
      <c r="A430" s="20" t="s">
        <v>540</v>
      </c>
      <c r="B430" s="21" t="s">
        <v>141</v>
      </c>
      <c r="C430" s="28">
        <f t="array" ref="C430">D430+E430+F430+G430</f>
        <v>0</v>
      </c>
      <c r="D430" s="28">
        <f t="array" ref="D430">D$382*$L430</f>
        <v>0</v>
      </c>
      <c r="E430" s="28">
        <f t="array" ref="E430">E$382*$L430</f>
        <v>0</v>
      </c>
      <c r="F430" s="28">
        <f t="array" ref="F430">F$382*$L430</f>
        <v>0</v>
      </c>
      <c r="G430" s="28">
        <f t="array" ref="G430">G$382*$L430</f>
        <v>0</v>
      </c>
      <c r="H430" s="30">
        <f t="array" ref="H430">E430+D430</f>
        <v>0</v>
      </c>
      <c r="I430" s="30">
        <f t="array" ref="I430">G430+F430</f>
        <v>0</v>
      </c>
      <c r="J430" s="30">
        <f t="array" ref="J430">D430+F430</f>
        <v>0</v>
      </c>
      <c r="K430" s="30">
        <f t="array" ref="K430">E430+G430</f>
        <v>0</v>
      </c>
      <c r="L430" s="12"/>
    </row>
    <row r="431" spans="1:12" ht="20.100000000000001" customHeight="1">
      <c r="A431" s="20" t="s">
        <v>541</v>
      </c>
      <c r="B431" s="21" t="s">
        <v>143</v>
      </c>
      <c r="C431" s="28">
        <f t="array" ref="C431">D431+E431+F431+G431</f>
        <v>0</v>
      </c>
      <c r="D431" s="28">
        <f t="array" ref="D431">D$382*$L431</f>
        <v>0</v>
      </c>
      <c r="E431" s="28">
        <f t="array" ref="E431">E$382*$L431</f>
        <v>0</v>
      </c>
      <c r="F431" s="28">
        <f t="array" ref="F431">F$382*$L431</f>
        <v>0</v>
      </c>
      <c r="G431" s="28">
        <f t="array" ref="G431">G$382*$L431</f>
        <v>0</v>
      </c>
      <c r="H431" s="30">
        <f t="array" ref="H431">E431+D431</f>
        <v>0</v>
      </c>
      <c r="I431" s="30">
        <f t="array" ref="I431">G431+F431</f>
        <v>0</v>
      </c>
      <c r="J431" s="30">
        <f t="array" ref="J431">D431+F431</f>
        <v>0</v>
      </c>
      <c r="K431" s="30">
        <f t="array" ref="K431">E431+G431</f>
        <v>0</v>
      </c>
      <c r="L431" s="12"/>
    </row>
    <row r="432" spans="1:12" ht="20.100000000000001" customHeight="1">
      <c r="A432" s="20" t="s">
        <v>542</v>
      </c>
      <c r="B432" s="21" t="s">
        <v>145</v>
      </c>
      <c r="C432" s="28">
        <f t="array" ref="C432">D432+E432+F432+G432</f>
        <v>0</v>
      </c>
      <c r="D432" s="28">
        <f t="array" ref="D432">D$382*$L432</f>
        <v>0</v>
      </c>
      <c r="E432" s="28">
        <f t="array" ref="E432">E$382*$L432</f>
        <v>0</v>
      </c>
      <c r="F432" s="28">
        <f t="array" ref="F432">F$382*$L432</f>
        <v>0</v>
      </c>
      <c r="G432" s="28">
        <f t="array" ref="G432">G$382*$L432</f>
        <v>0</v>
      </c>
      <c r="H432" s="30">
        <f t="array" ref="H432">E432+D432</f>
        <v>0</v>
      </c>
      <c r="I432" s="30">
        <f t="array" ref="I432">G432+F432</f>
        <v>0</v>
      </c>
      <c r="J432" s="30">
        <f t="array" ref="J432">D432+F432</f>
        <v>0</v>
      </c>
      <c r="K432" s="30">
        <f t="array" ref="K432">E432+G432</f>
        <v>0</v>
      </c>
      <c r="L432" s="12"/>
    </row>
    <row r="433" spans="1:12" ht="20.100000000000001" customHeight="1">
      <c r="A433" s="20" t="s">
        <v>543</v>
      </c>
      <c r="B433" s="21" t="s">
        <v>147</v>
      </c>
      <c r="C433" s="28">
        <f t="array" ref="C433">D433+E433+F433+G433</f>
        <v>0</v>
      </c>
      <c r="D433" s="28">
        <f t="array" ref="D433">D$382*$L433</f>
        <v>0</v>
      </c>
      <c r="E433" s="28">
        <f t="array" ref="E433">E$382*$L433</f>
        <v>0</v>
      </c>
      <c r="F433" s="28">
        <f t="array" ref="F433">F$382*$L433</f>
        <v>0</v>
      </c>
      <c r="G433" s="28">
        <f t="array" ref="G433">G$382*$L433</f>
        <v>0</v>
      </c>
      <c r="H433" s="30">
        <f t="array" ref="H433">E433+D433</f>
        <v>0</v>
      </c>
      <c r="I433" s="30">
        <f t="array" ref="I433">G433+F433</f>
        <v>0</v>
      </c>
      <c r="J433" s="30">
        <f t="array" ref="J433">D433+F433</f>
        <v>0</v>
      </c>
      <c r="K433" s="30">
        <f t="array" ref="K433">E433+G433</f>
        <v>0</v>
      </c>
      <c r="L433" s="12"/>
    </row>
    <row r="434" spans="1:12" ht="20.100000000000001" customHeight="1">
      <c r="A434" s="20" t="s">
        <v>544</v>
      </c>
      <c r="B434" s="21" t="s">
        <v>149</v>
      </c>
      <c r="C434" s="28">
        <f t="array" ref="C434">D434+E434+F434+G434</f>
        <v>0</v>
      </c>
      <c r="D434" s="28">
        <f t="array" ref="D434">D$382*$L434</f>
        <v>0</v>
      </c>
      <c r="E434" s="28">
        <f t="array" ref="E434">E$382*$L434</f>
        <v>0</v>
      </c>
      <c r="F434" s="28">
        <f t="array" ref="F434">F$382*$L434</f>
        <v>0</v>
      </c>
      <c r="G434" s="28">
        <f t="array" ref="G434">G$382*$L434</f>
        <v>0</v>
      </c>
      <c r="H434" s="30">
        <f t="array" ref="H434">E434+D434</f>
        <v>0</v>
      </c>
      <c r="I434" s="30">
        <f t="array" ref="I434">G434+F434</f>
        <v>0</v>
      </c>
      <c r="J434" s="30">
        <f t="array" ref="J434">D434+F434</f>
        <v>0</v>
      </c>
      <c r="K434" s="30">
        <f t="array" ref="K434">E434+G434</f>
        <v>0</v>
      </c>
      <c r="L434" s="12"/>
    </row>
    <row r="435" spans="1:12" ht="20.100000000000001" customHeight="1">
      <c r="A435" s="20" t="s">
        <v>545</v>
      </c>
      <c r="B435" s="21" t="s">
        <v>151</v>
      </c>
      <c r="C435" s="28">
        <f t="array" ref="C435">D435+E435+F435+G435</f>
        <v>0</v>
      </c>
      <c r="D435" s="28">
        <f t="array" ref="D435">D$382*$L435</f>
        <v>0</v>
      </c>
      <c r="E435" s="28">
        <f t="array" ref="E435">E$382*$L435</f>
        <v>0</v>
      </c>
      <c r="F435" s="28">
        <f t="array" ref="F435">F$382*$L435</f>
        <v>0</v>
      </c>
      <c r="G435" s="28">
        <f t="array" ref="G435">G$382*$L435</f>
        <v>0</v>
      </c>
      <c r="H435" s="30">
        <f t="array" ref="H435">E435+D435</f>
        <v>0</v>
      </c>
      <c r="I435" s="30">
        <f t="array" ref="I435">G435+F435</f>
        <v>0</v>
      </c>
      <c r="J435" s="30">
        <f t="array" ref="J435">D435+F435</f>
        <v>0</v>
      </c>
      <c r="K435" s="30">
        <f t="array" ref="K435">E435+G435</f>
        <v>0</v>
      </c>
      <c r="L435" s="12"/>
    </row>
    <row r="436" spans="1:12" ht="20.100000000000001" customHeight="1">
      <c r="A436" s="20" t="s">
        <v>546</v>
      </c>
      <c r="B436" s="21" t="s">
        <v>153</v>
      </c>
      <c r="C436" s="28">
        <f t="array" ref="C436">D436+E436+F436+G436</f>
        <v>0</v>
      </c>
      <c r="D436" s="28">
        <f t="array" ref="D436">D$382*$L436</f>
        <v>0</v>
      </c>
      <c r="E436" s="28">
        <f t="array" ref="E436">E$382*$L436</f>
        <v>0</v>
      </c>
      <c r="F436" s="28">
        <f t="array" ref="F436">F$382*$L436</f>
        <v>0</v>
      </c>
      <c r="G436" s="28">
        <f t="array" ref="G436">G$382*$L436</f>
        <v>0</v>
      </c>
      <c r="H436" s="30">
        <f t="array" ref="H436">E436+D436</f>
        <v>0</v>
      </c>
      <c r="I436" s="30">
        <f t="array" ref="I436">G436+F436</f>
        <v>0</v>
      </c>
      <c r="J436" s="30">
        <f t="array" ref="J436">D436+F436</f>
        <v>0</v>
      </c>
      <c r="K436" s="30">
        <f t="array" ref="K436">E436+G436</f>
        <v>0</v>
      </c>
      <c r="L436" s="12"/>
    </row>
    <row r="437" spans="1:12" ht="20.100000000000001" customHeight="1">
      <c r="A437" s="20" t="s">
        <v>547</v>
      </c>
      <c r="B437" s="21" t="s">
        <v>155</v>
      </c>
      <c r="C437" s="28">
        <f t="array" ref="C437">D437+E437+F437+G437</f>
        <v>0</v>
      </c>
      <c r="D437" s="28">
        <f t="array" ref="D437">D$382*$L437</f>
        <v>0</v>
      </c>
      <c r="E437" s="28">
        <f t="array" ref="E437">E$382*$L437</f>
        <v>0</v>
      </c>
      <c r="F437" s="28">
        <f t="array" ref="F437">F$382*$L437</f>
        <v>0</v>
      </c>
      <c r="G437" s="28">
        <f t="array" ref="G437">G$382*$L437</f>
        <v>0</v>
      </c>
      <c r="H437" s="30">
        <f t="array" ref="H437">E437+D437</f>
        <v>0</v>
      </c>
      <c r="I437" s="30">
        <f t="array" ref="I437">G437+F437</f>
        <v>0</v>
      </c>
      <c r="J437" s="30">
        <f t="array" ref="J437">D437+F437</f>
        <v>0</v>
      </c>
      <c r="K437" s="30">
        <f t="array" ref="K437">E437+G437</f>
        <v>0</v>
      </c>
      <c r="L437" s="12"/>
    </row>
    <row r="438" spans="1:12" ht="20.100000000000001" customHeight="1">
      <c r="A438" s="20" t="s">
        <v>548</v>
      </c>
      <c r="B438" s="21" t="s">
        <v>157</v>
      </c>
      <c r="C438" s="28">
        <f t="array" ref="C438">D438+E438+F438+G438</f>
        <v>0</v>
      </c>
      <c r="D438" s="28">
        <f t="array" ref="D438">D$382*$L438</f>
        <v>0</v>
      </c>
      <c r="E438" s="28">
        <f t="array" ref="E438">E$382*$L438</f>
        <v>0</v>
      </c>
      <c r="F438" s="28">
        <f t="array" ref="F438">F$382*$L438</f>
        <v>0</v>
      </c>
      <c r="G438" s="28">
        <f t="array" ref="G438">G$382*$L438</f>
        <v>0</v>
      </c>
      <c r="H438" s="30">
        <f t="array" ref="H438">E438+D438</f>
        <v>0</v>
      </c>
      <c r="I438" s="30">
        <f t="array" ref="I438">G438+F438</f>
        <v>0</v>
      </c>
      <c r="J438" s="30">
        <f t="array" ref="J438">D438+F438</f>
        <v>0</v>
      </c>
      <c r="K438" s="30">
        <f t="array" ref="K438">E438+G438</f>
        <v>0</v>
      </c>
      <c r="L438" s="12"/>
    </row>
    <row r="439" spans="1:12" ht="20.100000000000001" customHeight="1">
      <c r="A439" s="20" t="s">
        <v>549</v>
      </c>
      <c r="B439" s="21" t="s">
        <v>159</v>
      </c>
      <c r="C439" s="28">
        <f t="array" ref="C439">D439+E439+F439+G439</f>
        <v>0</v>
      </c>
      <c r="D439" s="28">
        <f t="array" ref="D439">D$382*$L439</f>
        <v>0</v>
      </c>
      <c r="E439" s="28">
        <f t="array" ref="E439">E$382*$L439</f>
        <v>0</v>
      </c>
      <c r="F439" s="28">
        <f t="array" ref="F439">F$382*$L439</f>
        <v>0</v>
      </c>
      <c r="G439" s="28">
        <f t="array" ref="G439">G$382*$L439</f>
        <v>0</v>
      </c>
      <c r="H439" s="30">
        <f t="array" ref="H439">E439+D439</f>
        <v>0</v>
      </c>
      <c r="I439" s="30">
        <f t="array" ref="I439">G439+F439</f>
        <v>0</v>
      </c>
      <c r="J439" s="30">
        <f t="array" ref="J439">D439+F439</f>
        <v>0</v>
      </c>
      <c r="K439" s="30">
        <f t="array" ref="K439">E439+G439</f>
        <v>0</v>
      </c>
      <c r="L439" s="12"/>
    </row>
    <row r="440" spans="1:12" ht="20.100000000000001" customHeight="1">
      <c r="A440" s="20" t="s">
        <v>550</v>
      </c>
      <c r="B440" s="21" t="s">
        <v>161</v>
      </c>
      <c r="C440" s="28">
        <f t="array" ref="C440">D440+E440+F440+G440</f>
        <v>0</v>
      </c>
      <c r="D440" s="28">
        <f t="array" ref="D440">D$382*$L440</f>
        <v>0</v>
      </c>
      <c r="E440" s="28">
        <f t="array" ref="E440">E$382*$L440</f>
        <v>0</v>
      </c>
      <c r="F440" s="28">
        <f t="array" ref="F440">F$382*$L440</f>
        <v>0</v>
      </c>
      <c r="G440" s="28">
        <f t="array" ref="G440">G$382*$L440</f>
        <v>0</v>
      </c>
      <c r="H440" s="30">
        <f t="array" ref="H440">E440+D440</f>
        <v>0</v>
      </c>
      <c r="I440" s="30">
        <f t="array" ref="I440">G440+F440</f>
        <v>0</v>
      </c>
      <c r="J440" s="30">
        <f t="array" ref="J440">D440+F440</f>
        <v>0</v>
      </c>
      <c r="K440" s="30">
        <f t="array" ref="K440">E440+G440</f>
        <v>0</v>
      </c>
      <c r="L440" s="12"/>
    </row>
    <row r="441" spans="1:12" ht="20.100000000000001" customHeight="1">
      <c r="A441" s="20" t="s">
        <v>551</v>
      </c>
      <c r="B441" s="21" t="s">
        <v>163</v>
      </c>
      <c r="C441" s="28">
        <f t="array" ref="C441">D441+E441+F441+G441</f>
        <v>0</v>
      </c>
      <c r="D441" s="28">
        <f t="array" ref="D441">D$382*$L441</f>
        <v>0</v>
      </c>
      <c r="E441" s="28">
        <f t="array" ref="E441">E$382*$L441</f>
        <v>0</v>
      </c>
      <c r="F441" s="28">
        <f t="array" ref="F441">F$382*$L441</f>
        <v>0</v>
      </c>
      <c r="G441" s="28">
        <f t="array" ref="G441">G$382*$L441</f>
        <v>0</v>
      </c>
      <c r="H441" s="30">
        <f t="array" ref="H441">E441+D441</f>
        <v>0</v>
      </c>
      <c r="I441" s="30">
        <f t="array" ref="I441">G441+F441</f>
        <v>0</v>
      </c>
      <c r="J441" s="30">
        <f t="array" ref="J441">D441+F441</f>
        <v>0</v>
      </c>
      <c r="K441" s="30">
        <f t="array" ref="K441">E441+G441</f>
        <v>0</v>
      </c>
      <c r="L441" s="12"/>
    </row>
    <row r="442" spans="1:12" ht="20.100000000000001" customHeight="1">
      <c r="A442" s="20" t="s">
        <v>552</v>
      </c>
      <c r="B442" s="21" t="s">
        <v>165</v>
      </c>
      <c r="C442" s="28">
        <f t="array" ref="C442">D442+E442+F442+G442</f>
        <v>0</v>
      </c>
      <c r="D442" s="28">
        <f t="array" ref="D442">D$382*$L442</f>
        <v>0</v>
      </c>
      <c r="E442" s="28">
        <f t="array" ref="E442">E$382*$L442</f>
        <v>0</v>
      </c>
      <c r="F442" s="28">
        <f t="array" ref="F442">F$382*$L442</f>
        <v>0</v>
      </c>
      <c r="G442" s="28">
        <f t="array" ref="G442">G$382*$L442</f>
        <v>0</v>
      </c>
      <c r="H442" s="30">
        <f t="array" ref="H442">E442+D442</f>
        <v>0</v>
      </c>
      <c r="I442" s="30">
        <f t="array" ref="I442">G442+F442</f>
        <v>0</v>
      </c>
      <c r="J442" s="30">
        <f t="array" ref="J442">D442+F442</f>
        <v>0</v>
      </c>
      <c r="K442" s="30">
        <f t="array" ref="K442">E442+G442</f>
        <v>0</v>
      </c>
      <c r="L442" s="12"/>
    </row>
    <row r="443" spans="1:12" ht="20.100000000000001" customHeight="1">
      <c r="A443" s="20" t="s">
        <v>553</v>
      </c>
      <c r="B443" s="21" t="s">
        <v>167</v>
      </c>
      <c r="C443" s="28">
        <f t="array" ref="C443">D443+E443+F443+G443</f>
        <v>0</v>
      </c>
      <c r="D443" s="28">
        <f t="array" ref="D443">D$382*$L443</f>
        <v>0</v>
      </c>
      <c r="E443" s="28">
        <f t="array" ref="E443">E$382*$L443</f>
        <v>0</v>
      </c>
      <c r="F443" s="28">
        <f t="array" ref="F443">F$382*$L443</f>
        <v>0</v>
      </c>
      <c r="G443" s="28">
        <f t="array" ref="G443">G$382*$L443</f>
        <v>0</v>
      </c>
      <c r="H443" s="30">
        <f t="array" ref="H443">E443+D443</f>
        <v>0</v>
      </c>
      <c r="I443" s="30">
        <f t="array" ref="I443">G443+F443</f>
        <v>0</v>
      </c>
      <c r="J443" s="30">
        <f t="array" ref="J443">D443+F443</f>
        <v>0</v>
      </c>
      <c r="K443" s="30">
        <f t="array" ref="K443">E443+G443</f>
        <v>0</v>
      </c>
      <c r="L443" s="12"/>
    </row>
    <row r="444" spans="1:12" ht="20.100000000000001" customHeight="1">
      <c r="A444" s="20" t="s">
        <v>554</v>
      </c>
      <c r="B444" s="21" t="s">
        <v>169</v>
      </c>
      <c r="C444" s="28">
        <f t="array" ref="C444">D444+E444+F444+G444</f>
        <v>0</v>
      </c>
      <c r="D444" s="28">
        <f t="array" ref="D444">D$382*$L444</f>
        <v>0</v>
      </c>
      <c r="E444" s="28">
        <f t="array" ref="E444">E$382*$L444</f>
        <v>0</v>
      </c>
      <c r="F444" s="28">
        <f t="array" ref="F444">F$382*$L444</f>
        <v>0</v>
      </c>
      <c r="G444" s="28">
        <f t="array" ref="G444">G$382*$L444</f>
        <v>0</v>
      </c>
      <c r="H444" s="30">
        <f t="array" ref="H444">E444+D444</f>
        <v>0</v>
      </c>
      <c r="I444" s="30">
        <f t="array" ref="I444">G444+F444</f>
        <v>0</v>
      </c>
      <c r="J444" s="30">
        <f t="array" ref="J444">D444+F444</f>
        <v>0</v>
      </c>
      <c r="K444" s="30">
        <f t="array" ref="K444">E444+G444</f>
        <v>0</v>
      </c>
      <c r="L444" s="12"/>
    </row>
    <row r="445" spans="1:12" ht="20.100000000000001" customHeight="1">
      <c r="A445" s="20" t="s">
        <v>555</v>
      </c>
      <c r="B445" s="21" t="s">
        <v>171</v>
      </c>
      <c r="C445" s="28">
        <f t="array" ref="C445">D445+E445+F445+G445</f>
        <v>0</v>
      </c>
      <c r="D445" s="28">
        <f t="array" ref="D445">D$382*$L445</f>
        <v>0</v>
      </c>
      <c r="E445" s="28">
        <f t="array" ref="E445">E$382*$L445</f>
        <v>0</v>
      </c>
      <c r="F445" s="28">
        <f t="array" ref="F445">F$382*$L445</f>
        <v>0</v>
      </c>
      <c r="G445" s="28">
        <f t="array" ref="G445">G$382*$L445</f>
        <v>0</v>
      </c>
      <c r="H445" s="30">
        <f t="array" ref="H445">E445+D445</f>
        <v>0</v>
      </c>
      <c r="I445" s="30">
        <f t="array" ref="I445">G445+F445</f>
        <v>0</v>
      </c>
      <c r="J445" s="30">
        <f t="array" ref="J445">D445+F445</f>
        <v>0</v>
      </c>
      <c r="K445" s="30">
        <f t="array" ref="K445">E445+G445</f>
        <v>0</v>
      </c>
      <c r="L445" s="12"/>
    </row>
    <row r="446" spans="1:12" ht="20.100000000000001" customHeight="1">
      <c r="A446" s="20" t="s">
        <v>556</v>
      </c>
      <c r="B446" s="21" t="s">
        <v>173</v>
      </c>
      <c r="C446" s="28">
        <f t="array" ref="C446">D446+E446+F446+G446</f>
        <v>0</v>
      </c>
      <c r="D446" s="28">
        <f t="array" ref="D446">D$382*$L446</f>
        <v>0</v>
      </c>
      <c r="E446" s="28">
        <f t="array" ref="E446">E$382*$L446</f>
        <v>0</v>
      </c>
      <c r="F446" s="28">
        <f t="array" ref="F446">F$382*$L446</f>
        <v>0</v>
      </c>
      <c r="G446" s="28">
        <f t="array" ref="G446">G$382*$L446</f>
        <v>0</v>
      </c>
      <c r="H446" s="30">
        <f t="array" ref="H446">E446+D446</f>
        <v>0</v>
      </c>
      <c r="I446" s="30">
        <f t="array" ref="I446">G446+F446</f>
        <v>0</v>
      </c>
      <c r="J446" s="30">
        <f t="array" ref="J446">D446+F446</f>
        <v>0</v>
      </c>
      <c r="K446" s="30">
        <f t="array" ref="K446">E446+G446</f>
        <v>0</v>
      </c>
      <c r="L446" s="12"/>
    </row>
    <row r="447" spans="1:12" ht="20.100000000000001" customHeight="1">
      <c r="A447" s="20" t="s">
        <v>557</v>
      </c>
      <c r="B447" s="21" t="s">
        <v>175</v>
      </c>
      <c r="C447" s="28">
        <f t="array" ref="C447">D447+E447+F447+G447</f>
        <v>0</v>
      </c>
      <c r="D447" s="28">
        <f t="array" ref="D447">D$382*$L447</f>
        <v>0</v>
      </c>
      <c r="E447" s="28">
        <f t="array" ref="E447">E$382*$L447</f>
        <v>0</v>
      </c>
      <c r="F447" s="28">
        <f t="array" ref="F447">F$382*$L447</f>
        <v>0</v>
      </c>
      <c r="G447" s="28">
        <f t="array" ref="G447">G$382*$L447</f>
        <v>0</v>
      </c>
      <c r="H447" s="30">
        <f t="array" ref="H447">E447+D447</f>
        <v>0</v>
      </c>
      <c r="I447" s="30">
        <f t="array" ref="I447">G447+F447</f>
        <v>0</v>
      </c>
      <c r="J447" s="30">
        <f t="array" ref="J447">D447+F447</f>
        <v>0</v>
      </c>
      <c r="K447" s="30">
        <f t="array" ref="K447">E447+G447</f>
        <v>0</v>
      </c>
      <c r="L447" s="12"/>
    </row>
    <row r="448" spans="1:12" ht="20.100000000000001" customHeight="1">
      <c r="A448" s="20" t="s">
        <v>558</v>
      </c>
      <c r="B448" s="21" t="s">
        <v>177</v>
      </c>
      <c r="C448" s="28">
        <f t="array" ref="C448">D448+E448+F448+G448</f>
        <v>0</v>
      </c>
      <c r="D448" s="28">
        <f t="array" ref="D448">D$382*$L448</f>
        <v>0</v>
      </c>
      <c r="E448" s="28">
        <f t="array" ref="E448">E$382*$L448</f>
        <v>0</v>
      </c>
      <c r="F448" s="28">
        <f t="array" ref="F448">F$382*$L448</f>
        <v>0</v>
      </c>
      <c r="G448" s="28">
        <f t="array" ref="G448">G$382*$L448</f>
        <v>0</v>
      </c>
      <c r="H448" s="30">
        <f t="array" ref="H448">E448+D448</f>
        <v>0</v>
      </c>
      <c r="I448" s="30">
        <f t="array" ref="I448">G448+F448</f>
        <v>0</v>
      </c>
      <c r="J448" s="30">
        <f t="array" ref="J448">D448+F448</f>
        <v>0</v>
      </c>
      <c r="K448" s="30">
        <f t="array" ref="K448">E448+G448</f>
        <v>0</v>
      </c>
      <c r="L448" s="12"/>
    </row>
    <row r="449" spans="1:12" ht="20.100000000000001" customHeight="1">
      <c r="A449" s="20" t="s">
        <v>559</v>
      </c>
      <c r="B449" s="21" t="s">
        <v>179</v>
      </c>
      <c r="C449" s="28">
        <f t="array" ref="C449">D449+E449+F449+G449</f>
        <v>0</v>
      </c>
      <c r="D449" s="28">
        <f t="array" ref="D449">D$382*$L449</f>
        <v>0</v>
      </c>
      <c r="E449" s="28">
        <f t="array" ref="E449">E$382*$L449</f>
        <v>0</v>
      </c>
      <c r="F449" s="28">
        <f t="array" ref="F449">F$382*$L449</f>
        <v>0</v>
      </c>
      <c r="G449" s="28">
        <f t="array" ref="G449">G$382*$L449</f>
        <v>0</v>
      </c>
      <c r="H449" s="30">
        <f t="array" ref="H449">E449+D449</f>
        <v>0</v>
      </c>
      <c r="I449" s="30">
        <f t="array" ref="I449">G449+F449</f>
        <v>0</v>
      </c>
      <c r="J449" s="30">
        <f t="array" ref="J449">D449+F449</f>
        <v>0</v>
      </c>
      <c r="K449" s="30">
        <f t="array" ref="K449">E449+G449</f>
        <v>0</v>
      </c>
      <c r="L449" s="12"/>
    </row>
    <row r="450" spans="1:12" ht="20.100000000000001" customHeight="1">
      <c r="A450" s="20" t="s">
        <v>560</v>
      </c>
      <c r="B450" s="21" t="s">
        <v>181</v>
      </c>
      <c r="C450" s="28">
        <f t="array" ref="C450">D450+E450+F450+G450</f>
        <v>0</v>
      </c>
      <c r="D450" s="28">
        <f t="array" ref="D450">D$382*$L450</f>
        <v>0</v>
      </c>
      <c r="E450" s="28">
        <f t="array" ref="E450">E$382*$L450</f>
        <v>0</v>
      </c>
      <c r="F450" s="28">
        <f t="array" ref="F450">F$382*$L450</f>
        <v>0</v>
      </c>
      <c r="G450" s="28">
        <f t="array" ref="G450">G$382*$L450</f>
        <v>0</v>
      </c>
      <c r="H450" s="30">
        <f t="array" ref="H450">E450+D450</f>
        <v>0</v>
      </c>
      <c r="I450" s="30">
        <f t="array" ref="I450">G450+F450</f>
        <v>0</v>
      </c>
      <c r="J450" s="30">
        <f t="array" ref="J450">D450+F450</f>
        <v>0</v>
      </c>
      <c r="K450" s="30">
        <f t="array" ref="K450">E450+G450</f>
        <v>0</v>
      </c>
      <c r="L450" s="12"/>
    </row>
    <row r="451" spans="1:12" ht="20.100000000000001" customHeight="1">
      <c r="A451" s="20" t="s">
        <v>561</v>
      </c>
      <c r="B451" s="21" t="s">
        <v>183</v>
      </c>
      <c r="C451" s="28">
        <f t="array" ref="C451">D451+E451+F451+G451</f>
        <v>0</v>
      </c>
      <c r="D451" s="28">
        <f t="array" ref="D451">D$382*$L451</f>
        <v>0</v>
      </c>
      <c r="E451" s="28">
        <f t="array" ref="E451">E$382*$L451</f>
        <v>0</v>
      </c>
      <c r="F451" s="28">
        <f t="array" ref="F451">F$382*$L451</f>
        <v>0</v>
      </c>
      <c r="G451" s="28">
        <f t="array" ref="G451">G$382*$L451</f>
        <v>0</v>
      </c>
      <c r="H451" s="30">
        <f t="array" ref="H451">E451+D451</f>
        <v>0</v>
      </c>
      <c r="I451" s="30">
        <f t="array" ref="I451">G451+F451</f>
        <v>0</v>
      </c>
      <c r="J451" s="30">
        <f t="array" ref="J451">D451+F451</f>
        <v>0</v>
      </c>
      <c r="K451" s="30">
        <f t="array" ref="K451">E451+G451</f>
        <v>0</v>
      </c>
      <c r="L451" s="12"/>
    </row>
    <row r="452" spans="1:12" ht="20.100000000000001" customHeight="1">
      <c r="A452" s="20" t="s">
        <v>562</v>
      </c>
      <c r="B452" s="21" t="s">
        <v>185</v>
      </c>
      <c r="C452" s="28">
        <f t="array" ref="C452">D452+E452+F452+G452</f>
        <v>0</v>
      </c>
      <c r="D452" s="28">
        <f t="array" ref="D452">D$382*$L452</f>
        <v>0</v>
      </c>
      <c r="E452" s="28">
        <f t="array" ref="E452">E$382*$L452</f>
        <v>0</v>
      </c>
      <c r="F452" s="28">
        <f t="array" ref="F452">F$382*$L452</f>
        <v>0</v>
      </c>
      <c r="G452" s="28">
        <f t="array" ref="G452">G$382*$L452</f>
        <v>0</v>
      </c>
      <c r="H452" s="30">
        <f t="array" ref="H452">E452+D452</f>
        <v>0</v>
      </c>
      <c r="I452" s="30">
        <f t="array" ref="I452">G452+F452</f>
        <v>0</v>
      </c>
      <c r="J452" s="30">
        <f t="array" ref="J452">D452+F452</f>
        <v>0</v>
      </c>
      <c r="K452" s="30">
        <f t="array" ref="K452">E452+G452</f>
        <v>0</v>
      </c>
      <c r="L452" s="12"/>
    </row>
    <row r="453" spans="1:12" ht="20.100000000000001" customHeight="1">
      <c r="A453" s="20" t="s">
        <v>563</v>
      </c>
      <c r="B453" s="21" t="s">
        <v>187</v>
      </c>
      <c r="C453" s="28">
        <f t="array" ref="C453">D453+E453+F453+G453</f>
        <v>0</v>
      </c>
      <c r="D453" s="28">
        <f t="array" ref="D453">D$382*$L453</f>
        <v>0</v>
      </c>
      <c r="E453" s="28">
        <f t="array" ref="E453">E$382*$L453</f>
        <v>0</v>
      </c>
      <c r="F453" s="28">
        <f t="array" ref="F453">F$382*$L453</f>
        <v>0</v>
      </c>
      <c r="G453" s="28">
        <f t="array" ref="G453">G$382*$L453</f>
        <v>0</v>
      </c>
      <c r="H453" s="30">
        <f t="array" ref="H453">E453+D453</f>
        <v>0</v>
      </c>
      <c r="I453" s="30">
        <f t="array" ref="I453">G453+F453</f>
        <v>0</v>
      </c>
      <c r="J453" s="30">
        <f t="array" ref="J453">D453+F453</f>
        <v>0</v>
      </c>
      <c r="K453" s="30">
        <f t="array" ref="K453">E453+G453</f>
        <v>0</v>
      </c>
      <c r="L453" s="12"/>
    </row>
    <row r="454" spans="1:12" ht="20.100000000000001" customHeight="1">
      <c r="A454" s="20" t="s">
        <v>564</v>
      </c>
      <c r="B454" s="21" t="s">
        <v>189</v>
      </c>
      <c r="C454" s="28">
        <f t="array" ref="C454">D454+E454+F454+G454</f>
        <v>0</v>
      </c>
      <c r="D454" s="28">
        <f t="array" ref="D454">D$382*$L454</f>
        <v>0</v>
      </c>
      <c r="E454" s="28">
        <f t="array" ref="E454">E$382*$L454</f>
        <v>0</v>
      </c>
      <c r="F454" s="28">
        <f t="array" ref="F454">F$382*$L454</f>
        <v>0</v>
      </c>
      <c r="G454" s="28">
        <f t="array" ref="G454">G$382*$L454</f>
        <v>0</v>
      </c>
      <c r="H454" s="30">
        <f t="array" ref="H454">E454+D454</f>
        <v>0</v>
      </c>
      <c r="I454" s="30">
        <f t="array" ref="I454">G454+F454</f>
        <v>0</v>
      </c>
      <c r="J454" s="30">
        <f t="array" ref="J454">D454+F454</f>
        <v>0</v>
      </c>
      <c r="K454" s="30">
        <f t="array" ref="K454">E454+G454</f>
        <v>0</v>
      </c>
      <c r="L454" s="12"/>
    </row>
    <row r="455" spans="1:12" ht="20.100000000000001" customHeight="1">
      <c r="A455" s="20" t="s">
        <v>565</v>
      </c>
      <c r="B455" s="21" t="s">
        <v>191</v>
      </c>
      <c r="C455" s="28">
        <f t="array" ref="C455">D455+E455+F455+G455</f>
        <v>0</v>
      </c>
      <c r="D455" s="28">
        <f t="array" ref="D455">D$382*$L455</f>
        <v>0</v>
      </c>
      <c r="E455" s="28">
        <f t="array" ref="E455">E$382*$L455</f>
        <v>0</v>
      </c>
      <c r="F455" s="28">
        <f t="array" ref="F455">F$382*$L455</f>
        <v>0</v>
      </c>
      <c r="G455" s="28">
        <f t="array" ref="G455">G$382*$L455</f>
        <v>0</v>
      </c>
      <c r="H455" s="30">
        <f t="array" ref="H455">E455+D455</f>
        <v>0</v>
      </c>
      <c r="I455" s="30">
        <f t="array" ref="I455">G455+F455</f>
        <v>0</v>
      </c>
      <c r="J455" s="30">
        <f t="array" ref="J455">D455+F455</f>
        <v>0</v>
      </c>
      <c r="K455" s="30">
        <f t="array" ref="K455">E455+G455</f>
        <v>0</v>
      </c>
      <c r="L455" s="12"/>
    </row>
    <row r="456" spans="1:12" ht="20.100000000000001" customHeight="1">
      <c r="A456" s="20" t="s">
        <v>566</v>
      </c>
      <c r="B456" s="21" t="s">
        <v>193</v>
      </c>
      <c r="C456" s="28">
        <f t="array" ref="C456">D456+E456+F456+G456</f>
        <v>0</v>
      </c>
      <c r="D456" s="28">
        <f t="array" ref="D456">D$382*$L456</f>
        <v>0</v>
      </c>
      <c r="E456" s="28">
        <f t="array" ref="E456">E$382*$L456</f>
        <v>0</v>
      </c>
      <c r="F456" s="28">
        <f t="array" ref="F456">F$382*$L456</f>
        <v>0</v>
      </c>
      <c r="G456" s="28">
        <f t="array" ref="G456">G$382*$L456</f>
        <v>0</v>
      </c>
      <c r="H456" s="30">
        <f t="array" ref="H456">E456+D456</f>
        <v>0</v>
      </c>
      <c r="I456" s="30">
        <f t="array" ref="I456">G456+F456</f>
        <v>0</v>
      </c>
      <c r="J456" s="30">
        <f t="array" ref="J456">D456+F456</f>
        <v>0</v>
      </c>
      <c r="K456" s="30">
        <f t="array" ref="K456">E456+G456</f>
        <v>0</v>
      </c>
      <c r="L456" s="12"/>
    </row>
    <row r="457" spans="1:12" ht="20.100000000000001" customHeight="1">
      <c r="A457" s="20" t="s">
        <v>567</v>
      </c>
      <c r="B457" s="21" t="s">
        <v>195</v>
      </c>
      <c r="C457" s="28">
        <f t="array" ref="C457">D457+E457+F457+G457</f>
        <v>0</v>
      </c>
      <c r="D457" s="28">
        <f t="array" ref="D457">D$382*$L457</f>
        <v>0</v>
      </c>
      <c r="E457" s="28">
        <f t="array" ref="E457">E$382*$L457</f>
        <v>0</v>
      </c>
      <c r="F457" s="28">
        <f t="array" ref="F457">F$382*$L457</f>
        <v>0</v>
      </c>
      <c r="G457" s="28">
        <f t="array" ref="G457">G$382*$L457</f>
        <v>0</v>
      </c>
      <c r="H457" s="30">
        <f t="array" ref="H457">E457+D457</f>
        <v>0</v>
      </c>
      <c r="I457" s="30">
        <f t="array" ref="I457">G457+F457</f>
        <v>0</v>
      </c>
      <c r="J457" s="30">
        <f t="array" ref="J457">D457+F457</f>
        <v>0</v>
      </c>
      <c r="K457" s="30">
        <f t="array" ref="K457">E457+G457</f>
        <v>0</v>
      </c>
      <c r="L457" s="12"/>
    </row>
    <row r="458" spans="1:12" ht="20.100000000000001" customHeight="1">
      <c r="A458" s="20" t="s">
        <v>568</v>
      </c>
      <c r="B458" s="21" t="s">
        <v>197</v>
      </c>
      <c r="C458" s="28">
        <f t="array" ref="C458">D458+E458+F458+G458</f>
        <v>0</v>
      </c>
      <c r="D458" s="28">
        <f t="array" ref="D458">D$382*$L458</f>
        <v>0</v>
      </c>
      <c r="E458" s="28">
        <f t="array" ref="E458">E$382*$L458</f>
        <v>0</v>
      </c>
      <c r="F458" s="28">
        <f t="array" ref="F458">F$382*$L458</f>
        <v>0</v>
      </c>
      <c r="G458" s="28">
        <f t="array" ref="G458">G$382*$L458</f>
        <v>0</v>
      </c>
      <c r="H458" s="30">
        <f t="array" ref="H458">E458+D458</f>
        <v>0</v>
      </c>
      <c r="I458" s="30">
        <f t="array" ref="I458">G458+F458</f>
        <v>0</v>
      </c>
      <c r="J458" s="30">
        <f t="array" ref="J458">D458+F458</f>
        <v>0</v>
      </c>
      <c r="K458" s="30">
        <f t="array" ref="K458">E458+G458</f>
        <v>0</v>
      </c>
      <c r="L458" s="12"/>
    </row>
    <row r="459" spans="1:12" ht="20.100000000000001" customHeight="1">
      <c r="A459" s="20" t="s">
        <v>569</v>
      </c>
      <c r="B459" s="21" t="s">
        <v>199</v>
      </c>
      <c r="C459" s="28">
        <f t="array" ref="C459">D459+E459+F459+G459</f>
        <v>0</v>
      </c>
      <c r="D459" s="28">
        <f t="array" ref="D459">D$382*$L459</f>
        <v>0</v>
      </c>
      <c r="E459" s="28">
        <f t="array" ref="E459">E$382*$L459</f>
        <v>0</v>
      </c>
      <c r="F459" s="28">
        <f t="array" ref="F459">F$382*$L459</f>
        <v>0</v>
      </c>
      <c r="G459" s="28">
        <f t="array" ref="G459">G$382*$L459</f>
        <v>0</v>
      </c>
      <c r="H459" s="30">
        <f t="array" ref="H459">E459+D459</f>
        <v>0</v>
      </c>
      <c r="I459" s="30">
        <f t="array" ref="I459">G459+F459</f>
        <v>0</v>
      </c>
      <c r="J459" s="30">
        <f t="array" ref="J459">D459+F459</f>
        <v>0</v>
      </c>
      <c r="K459" s="30">
        <f t="array" ref="K459">E459+G459</f>
        <v>0</v>
      </c>
      <c r="L459" s="12"/>
    </row>
    <row r="460" spans="1:12" ht="20.100000000000001" customHeight="1">
      <c r="A460" s="20" t="s">
        <v>570</v>
      </c>
      <c r="B460" s="21" t="s">
        <v>201</v>
      </c>
      <c r="C460" s="28">
        <f t="array" ref="C460">D460+E460+F460+G460</f>
        <v>0</v>
      </c>
      <c r="D460" s="28">
        <f t="array" ref="D460">D$382*$L460</f>
        <v>0</v>
      </c>
      <c r="E460" s="28">
        <f t="array" ref="E460">E$382*$L460</f>
        <v>0</v>
      </c>
      <c r="F460" s="28">
        <f t="array" ref="F460">F$382*$L460</f>
        <v>0</v>
      </c>
      <c r="G460" s="28">
        <f t="array" ref="G460">G$382*$L460</f>
        <v>0</v>
      </c>
      <c r="H460" s="30">
        <f t="array" ref="H460">E460+D460</f>
        <v>0</v>
      </c>
      <c r="I460" s="30">
        <f t="array" ref="I460">G460+F460</f>
        <v>0</v>
      </c>
      <c r="J460" s="30">
        <f t="array" ref="J460">D460+F460</f>
        <v>0</v>
      </c>
      <c r="K460" s="30">
        <f t="array" ref="K460">E460+G460</f>
        <v>0</v>
      </c>
      <c r="L460" s="12"/>
    </row>
    <row r="461" spans="1:12" ht="20.100000000000001" customHeight="1">
      <c r="A461" s="20" t="s">
        <v>571</v>
      </c>
      <c r="B461" s="21" t="s">
        <v>203</v>
      </c>
      <c r="C461" s="28">
        <f t="array" ref="C461">D461+E461+F461+G461</f>
        <v>0</v>
      </c>
      <c r="D461" s="28">
        <f t="array" ref="D461">D$382*$L461</f>
        <v>0</v>
      </c>
      <c r="E461" s="28">
        <f t="array" ref="E461">E$382*$L461</f>
        <v>0</v>
      </c>
      <c r="F461" s="28">
        <f t="array" ref="F461">F$382*$L461</f>
        <v>0</v>
      </c>
      <c r="G461" s="28">
        <f t="array" ref="G461">G$382*$L461</f>
        <v>0</v>
      </c>
      <c r="H461" s="30">
        <f t="array" ref="H461">E461+D461</f>
        <v>0</v>
      </c>
      <c r="I461" s="30">
        <f t="array" ref="I461">G461+F461</f>
        <v>0</v>
      </c>
      <c r="J461" s="30">
        <f t="array" ref="J461">D461+F461</f>
        <v>0</v>
      </c>
      <c r="K461" s="30">
        <f t="array" ref="K461">E461+G461</f>
        <v>0</v>
      </c>
      <c r="L461" s="12"/>
    </row>
    <row r="462" spans="1:12" ht="20.100000000000001" customHeight="1">
      <c r="A462" s="20" t="s">
        <v>572</v>
      </c>
      <c r="B462" s="21" t="s">
        <v>205</v>
      </c>
      <c r="C462" s="28">
        <f t="array" ref="C462">D462+E462+F462+G462</f>
        <v>0</v>
      </c>
      <c r="D462" s="28">
        <f t="array" ref="D462">D$382*$L462</f>
        <v>0</v>
      </c>
      <c r="E462" s="28">
        <f t="array" ref="E462">E$382*$L462</f>
        <v>0</v>
      </c>
      <c r="F462" s="28">
        <f t="array" ref="F462">F$382*$L462</f>
        <v>0</v>
      </c>
      <c r="G462" s="28">
        <f t="array" ref="G462">G$382*$L462</f>
        <v>0</v>
      </c>
      <c r="H462" s="30">
        <f t="array" ref="H462">E462+D462</f>
        <v>0</v>
      </c>
      <c r="I462" s="30">
        <f t="array" ref="I462">G462+F462</f>
        <v>0</v>
      </c>
      <c r="J462" s="30">
        <f t="array" ref="J462">D462+F462</f>
        <v>0</v>
      </c>
      <c r="K462" s="30">
        <f t="array" ref="K462">E462+G462</f>
        <v>0</v>
      </c>
      <c r="L462" s="12"/>
    </row>
    <row r="463" spans="1:12" ht="20.100000000000001" customHeight="1">
      <c r="A463" s="20" t="s">
        <v>573</v>
      </c>
      <c r="B463" s="21" t="s">
        <v>207</v>
      </c>
      <c r="C463" s="28">
        <f t="array" ref="C463">D463+E463+F463+G463</f>
        <v>0</v>
      </c>
      <c r="D463" s="28">
        <f t="array" ref="D463">D$382*$L463</f>
        <v>0</v>
      </c>
      <c r="E463" s="28">
        <f t="array" ref="E463">E$382*$L463</f>
        <v>0</v>
      </c>
      <c r="F463" s="28">
        <f t="array" ref="F463">F$382*$L463</f>
        <v>0</v>
      </c>
      <c r="G463" s="28">
        <f t="array" ref="G463">G$382*$L463</f>
        <v>0</v>
      </c>
      <c r="H463" s="30">
        <f t="array" ref="H463">E463+D463</f>
        <v>0</v>
      </c>
      <c r="I463" s="30">
        <f t="array" ref="I463">G463+F463</f>
        <v>0</v>
      </c>
      <c r="J463" s="30">
        <f t="array" ref="J463">D463+F463</f>
        <v>0</v>
      </c>
      <c r="K463" s="30">
        <f t="array" ref="K463">E463+G463</f>
        <v>0</v>
      </c>
      <c r="L463" s="12"/>
    </row>
    <row r="464" spans="1:12" ht="20.100000000000001" customHeight="1">
      <c r="A464" s="20" t="s">
        <v>574</v>
      </c>
      <c r="B464" s="21" t="s">
        <v>209</v>
      </c>
      <c r="C464" s="28">
        <f t="array" ref="C464">D464+E464+F464+G464</f>
        <v>0</v>
      </c>
      <c r="D464" s="28">
        <f t="array" ref="D464">D$382*$L464</f>
        <v>0</v>
      </c>
      <c r="E464" s="28">
        <f t="array" ref="E464">E$382*$L464</f>
        <v>0</v>
      </c>
      <c r="F464" s="28">
        <f t="array" ref="F464">F$382*$L464</f>
        <v>0</v>
      </c>
      <c r="G464" s="28">
        <f t="array" ref="G464">G$382*$L464</f>
        <v>0</v>
      </c>
      <c r="H464" s="30">
        <f t="array" ref="H464">E464+D464</f>
        <v>0</v>
      </c>
      <c r="I464" s="30">
        <f t="array" ref="I464">G464+F464</f>
        <v>0</v>
      </c>
      <c r="J464" s="30">
        <f t="array" ref="J464">D464+F464</f>
        <v>0</v>
      </c>
      <c r="K464" s="30">
        <f t="array" ref="K464">E464+G464</f>
        <v>0</v>
      </c>
      <c r="L464" s="12"/>
    </row>
    <row r="465" spans="1:12" ht="20.100000000000001" customHeight="1">
      <c r="A465" s="20" t="s">
        <v>575</v>
      </c>
      <c r="B465" s="21" t="s">
        <v>211</v>
      </c>
      <c r="C465" s="28">
        <f t="array" ref="C465">D465+E465+F465+G465</f>
        <v>0</v>
      </c>
      <c r="D465" s="28">
        <f t="array" ref="D465">D$382*$L465</f>
        <v>0</v>
      </c>
      <c r="E465" s="28">
        <f t="array" ref="E465">E$382*$L465</f>
        <v>0</v>
      </c>
      <c r="F465" s="28">
        <f t="array" ref="F465">F$382*$L465</f>
        <v>0</v>
      </c>
      <c r="G465" s="28">
        <f t="array" ref="G465">G$382*$L465</f>
        <v>0</v>
      </c>
      <c r="H465" s="30">
        <f t="array" ref="H465">E465+D465</f>
        <v>0</v>
      </c>
      <c r="I465" s="30">
        <f t="array" ref="I465">G465+F465</f>
        <v>0</v>
      </c>
      <c r="J465" s="30">
        <f t="array" ref="J465">D465+F465</f>
        <v>0</v>
      </c>
      <c r="K465" s="30">
        <f t="array" ref="K465">E465+G465</f>
        <v>0</v>
      </c>
      <c r="L465" s="12"/>
    </row>
    <row r="466" spans="1:12" ht="20.100000000000001" customHeight="1">
      <c r="A466" s="20" t="s">
        <v>576</v>
      </c>
      <c r="B466" s="21" t="s">
        <v>213</v>
      </c>
      <c r="C466" s="28">
        <f t="array" ref="C466">D466+E466+F466+G466</f>
        <v>0</v>
      </c>
      <c r="D466" s="28">
        <f t="array" ref="D466">D$382*$L466</f>
        <v>0</v>
      </c>
      <c r="E466" s="28">
        <f t="array" ref="E466">E$382*$L466</f>
        <v>0</v>
      </c>
      <c r="F466" s="28">
        <f t="array" ref="F466">F$382*$L466</f>
        <v>0</v>
      </c>
      <c r="G466" s="28">
        <f t="array" ref="G466">G$382*$L466</f>
        <v>0</v>
      </c>
      <c r="H466" s="30">
        <f t="array" ref="H466">E466+D466</f>
        <v>0</v>
      </c>
      <c r="I466" s="30">
        <f t="array" ref="I466">G466+F466</f>
        <v>0</v>
      </c>
      <c r="J466" s="30">
        <f t="array" ref="J466">D466+F466</f>
        <v>0</v>
      </c>
      <c r="K466" s="30">
        <f t="array" ref="K466">E466+G466</f>
        <v>0</v>
      </c>
      <c r="L466" s="12"/>
    </row>
    <row r="467" spans="1:12" ht="20.100000000000001" customHeight="1">
      <c r="A467" s="20" t="s">
        <v>577</v>
      </c>
      <c r="B467" s="21" t="s">
        <v>215</v>
      </c>
      <c r="C467" s="28">
        <f t="array" ref="C467">D467+E467+F467+G467</f>
        <v>0</v>
      </c>
      <c r="D467" s="28">
        <f t="array" ref="D467">D$382*$L467</f>
        <v>0</v>
      </c>
      <c r="E467" s="28">
        <f t="array" ref="E467">E$382*$L467</f>
        <v>0</v>
      </c>
      <c r="F467" s="28">
        <f t="array" ref="F467">F$382*$L467</f>
        <v>0</v>
      </c>
      <c r="G467" s="28">
        <f t="array" ref="G467">G$382*$L467</f>
        <v>0</v>
      </c>
      <c r="H467" s="30">
        <f t="array" ref="H467">E467+D467</f>
        <v>0</v>
      </c>
      <c r="I467" s="30">
        <f t="array" ref="I467">G467+F467</f>
        <v>0</v>
      </c>
      <c r="J467" s="30">
        <f t="array" ref="J467">D467+F467</f>
        <v>0</v>
      </c>
      <c r="K467" s="30">
        <f t="array" ref="K467">E467+G467</f>
        <v>0</v>
      </c>
      <c r="L467" s="12"/>
    </row>
    <row r="468" spans="1:12" ht="20.100000000000001" customHeight="1">
      <c r="A468" s="20" t="s">
        <v>578</v>
      </c>
      <c r="B468" s="21" t="s">
        <v>217</v>
      </c>
      <c r="C468" s="28">
        <f t="array" ref="C468">D468+E468+F468+G468</f>
        <v>0</v>
      </c>
      <c r="D468" s="28">
        <f t="array" ref="D468">D$382*$L468</f>
        <v>0</v>
      </c>
      <c r="E468" s="28">
        <f t="array" ref="E468">E$382*$L468</f>
        <v>0</v>
      </c>
      <c r="F468" s="28">
        <f t="array" ref="F468">F$382*$L468</f>
        <v>0</v>
      </c>
      <c r="G468" s="28">
        <f t="array" ref="G468">G$382*$L468</f>
        <v>0</v>
      </c>
      <c r="H468" s="30">
        <f t="array" ref="H468">E468+D468</f>
        <v>0</v>
      </c>
      <c r="I468" s="30">
        <f t="array" ref="I468">G468+F468</f>
        <v>0</v>
      </c>
      <c r="J468" s="30">
        <f t="array" ref="J468">D468+F468</f>
        <v>0</v>
      </c>
      <c r="K468" s="30">
        <f t="array" ref="K468">E468+G468</f>
        <v>0</v>
      </c>
      <c r="L468" s="12"/>
    </row>
    <row r="469" spans="1:12" ht="20.100000000000001" customHeight="1">
      <c r="A469" s="20" t="s">
        <v>579</v>
      </c>
      <c r="B469" s="21" t="s">
        <v>219</v>
      </c>
      <c r="C469" s="28">
        <f t="array" ref="C469">D469+E469+F469+G469</f>
        <v>0</v>
      </c>
      <c r="D469" s="28">
        <f t="array" ref="D469">D$382*$L469</f>
        <v>0</v>
      </c>
      <c r="E469" s="28">
        <f t="array" ref="E469">E$382*$L469</f>
        <v>0</v>
      </c>
      <c r="F469" s="28">
        <f t="array" ref="F469">F$382*$L469</f>
        <v>0</v>
      </c>
      <c r="G469" s="28">
        <f t="array" ref="G469">G$382*$L469</f>
        <v>0</v>
      </c>
      <c r="H469" s="30">
        <f t="array" ref="H469">E469+D469</f>
        <v>0</v>
      </c>
      <c r="I469" s="30">
        <f t="array" ref="I469">G469+F469</f>
        <v>0</v>
      </c>
      <c r="J469" s="30">
        <f t="array" ref="J469">D469+F469</f>
        <v>0</v>
      </c>
      <c r="K469" s="30">
        <f t="array" ref="K469">E469+G469</f>
        <v>0</v>
      </c>
      <c r="L469" s="12"/>
    </row>
    <row r="470" spans="1:12" ht="20.100000000000001" customHeight="1">
      <c r="A470" s="20" t="s">
        <v>580</v>
      </c>
      <c r="B470" s="21" t="s">
        <v>221</v>
      </c>
      <c r="C470" s="28">
        <f t="array" ref="C470">D470+E470+F470+G470</f>
        <v>0</v>
      </c>
      <c r="D470" s="28">
        <f t="array" ref="D470">D$382*$L470</f>
        <v>0</v>
      </c>
      <c r="E470" s="28">
        <f t="array" ref="E470">E$382*$L470</f>
        <v>0</v>
      </c>
      <c r="F470" s="28">
        <f t="array" ref="F470">F$382*$L470</f>
        <v>0</v>
      </c>
      <c r="G470" s="28">
        <f t="array" ref="G470">G$382*$L470</f>
        <v>0</v>
      </c>
      <c r="H470" s="30">
        <f t="array" ref="H470">E470+D470</f>
        <v>0</v>
      </c>
      <c r="I470" s="30">
        <f t="array" ref="I470">G470+F470</f>
        <v>0</v>
      </c>
      <c r="J470" s="30">
        <f t="array" ref="J470">D470+F470</f>
        <v>0</v>
      </c>
      <c r="K470" s="30">
        <f t="array" ref="K470">E470+G470</f>
        <v>0</v>
      </c>
      <c r="L470" s="12"/>
    </row>
    <row r="471" spans="1:12" ht="20.100000000000001" customHeight="1">
      <c r="A471" s="20" t="s">
        <v>581</v>
      </c>
      <c r="B471" s="21" t="s">
        <v>223</v>
      </c>
      <c r="C471" s="28">
        <f t="array" ref="C471">D471+E471+F471+G471</f>
        <v>0</v>
      </c>
      <c r="D471" s="28">
        <f t="array" ref="D471">D$382*$L471</f>
        <v>0</v>
      </c>
      <c r="E471" s="28">
        <f t="array" ref="E471">E$382*$L471</f>
        <v>0</v>
      </c>
      <c r="F471" s="28">
        <f t="array" ref="F471">F$382*$L471</f>
        <v>0</v>
      </c>
      <c r="G471" s="28">
        <f t="array" ref="G471">G$382*$L471</f>
        <v>0</v>
      </c>
      <c r="H471" s="30">
        <f t="array" ref="H471">E471+D471</f>
        <v>0</v>
      </c>
      <c r="I471" s="30">
        <f t="array" ref="I471">G471+F471</f>
        <v>0</v>
      </c>
      <c r="J471" s="30">
        <f t="array" ref="J471">D471+F471</f>
        <v>0</v>
      </c>
      <c r="K471" s="30">
        <f t="array" ref="K471">E471+G471</f>
        <v>0</v>
      </c>
      <c r="L471" s="12"/>
    </row>
    <row r="472" spans="1:12" ht="20.100000000000001" customHeight="1">
      <c r="A472" s="20" t="s">
        <v>582</v>
      </c>
      <c r="B472" s="21" t="s">
        <v>225</v>
      </c>
      <c r="C472" s="28">
        <f t="array" ref="C472">D472+E472+F472+G472</f>
        <v>0</v>
      </c>
      <c r="D472" s="28">
        <f t="array" ref="D472">D$382*$L472</f>
        <v>0</v>
      </c>
      <c r="E472" s="28">
        <f t="array" ref="E472">E$382*$L472</f>
        <v>0</v>
      </c>
      <c r="F472" s="28">
        <f t="array" ref="F472">F$382*$L472</f>
        <v>0</v>
      </c>
      <c r="G472" s="28">
        <f t="array" ref="G472">G$382*$L472</f>
        <v>0</v>
      </c>
      <c r="H472" s="30">
        <f t="array" ref="H472">E472+D472</f>
        <v>0</v>
      </c>
      <c r="I472" s="30">
        <f t="array" ref="I472">G472+F472</f>
        <v>0</v>
      </c>
      <c r="J472" s="30">
        <f t="array" ref="J472">D472+F472</f>
        <v>0</v>
      </c>
      <c r="K472" s="30">
        <f t="array" ref="K472">E472+G472</f>
        <v>0</v>
      </c>
      <c r="L472" s="12"/>
    </row>
    <row r="473" spans="1:12" ht="20.100000000000001" customHeight="1">
      <c r="A473" s="20" t="s">
        <v>583</v>
      </c>
      <c r="B473" s="21" t="s">
        <v>227</v>
      </c>
      <c r="C473" s="28">
        <f t="array" ref="C473">D473+E473+F473+G473</f>
        <v>0</v>
      </c>
      <c r="D473" s="28">
        <f t="array" ref="D473">D$382*$L473</f>
        <v>0</v>
      </c>
      <c r="E473" s="28">
        <f t="array" ref="E473">E$382*$L473</f>
        <v>0</v>
      </c>
      <c r="F473" s="28">
        <f t="array" ref="F473">F$382*$L473</f>
        <v>0</v>
      </c>
      <c r="G473" s="28">
        <f t="array" ref="G473">G$382*$L473</f>
        <v>0</v>
      </c>
      <c r="H473" s="30">
        <f t="array" ref="H473">E473+D473</f>
        <v>0</v>
      </c>
      <c r="I473" s="30">
        <f t="array" ref="I473">G473+F473</f>
        <v>0</v>
      </c>
      <c r="J473" s="30">
        <f t="array" ref="J473">D473+F473</f>
        <v>0</v>
      </c>
      <c r="K473" s="30">
        <f t="array" ref="K473">E473+G473</f>
        <v>0</v>
      </c>
      <c r="L473" s="12"/>
    </row>
    <row r="474" spans="1:12" ht="20.100000000000001" customHeight="1">
      <c r="A474" s="20" t="s">
        <v>584</v>
      </c>
      <c r="B474" s="21" t="s">
        <v>229</v>
      </c>
      <c r="C474" s="28">
        <f t="array" ref="C474">D474+E474+F474+G474</f>
        <v>0</v>
      </c>
      <c r="D474" s="28">
        <f t="array" ref="D474">D$382*$L474</f>
        <v>0</v>
      </c>
      <c r="E474" s="28">
        <f t="array" ref="E474">E$382*$L474</f>
        <v>0</v>
      </c>
      <c r="F474" s="28">
        <f t="array" ref="F474">F$382*$L474</f>
        <v>0</v>
      </c>
      <c r="G474" s="28">
        <f t="array" ref="G474">G$382*$L474</f>
        <v>0</v>
      </c>
      <c r="H474" s="30">
        <f t="array" ref="H474">E474+D474</f>
        <v>0</v>
      </c>
      <c r="I474" s="30">
        <f t="array" ref="I474">G474+F474</f>
        <v>0</v>
      </c>
      <c r="J474" s="30">
        <f t="array" ref="J474">D474+F474</f>
        <v>0</v>
      </c>
      <c r="K474" s="30">
        <f t="array" ref="K474">E474+G474</f>
        <v>0</v>
      </c>
      <c r="L474" s="12"/>
    </row>
    <row r="475" spans="1:12" ht="20.100000000000001" customHeight="1">
      <c r="A475" s="20" t="s">
        <v>585</v>
      </c>
      <c r="B475" s="21" t="s">
        <v>231</v>
      </c>
      <c r="C475" s="28">
        <f t="array" ref="C475">D475+E475+F475+G475</f>
        <v>0</v>
      </c>
      <c r="D475" s="28">
        <f t="array" ref="D475">D$382*$L475</f>
        <v>0</v>
      </c>
      <c r="E475" s="28">
        <f t="array" ref="E475">E$382*$L475</f>
        <v>0</v>
      </c>
      <c r="F475" s="28">
        <f t="array" ref="F475">F$382*$L475</f>
        <v>0</v>
      </c>
      <c r="G475" s="28">
        <f t="array" ref="G475">G$382*$L475</f>
        <v>0</v>
      </c>
      <c r="H475" s="30">
        <f t="array" ref="H475">E475+D475</f>
        <v>0</v>
      </c>
      <c r="I475" s="30">
        <f t="array" ref="I475">G475+F475</f>
        <v>0</v>
      </c>
      <c r="J475" s="30">
        <f t="array" ref="J475">D475+F475</f>
        <v>0</v>
      </c>
      <c r="K475" s="30">
        <f t="array" ref="K475">E475+G475</f>
        <v>0</v>
      </c>
      <c r="L475" s="12"/>
    </row>
    <row r="476" spans="1:12" ht="20.100000000000001" customHeight="1">
      <c r="A476" s="20" t="s">
        <v>586</v>
      </c>
      <c r="B476" s="21" t="s">
        <v>233</v>
      </c>
      <c r="C476" s="28">
        <f t="array" ref="C476">D476+E476+F476+G476</f>
        <v>0</v>
      </c>
      <c r="D476" s="28">
        <f t="array" ref="D476">D$382*$L476</f>
        <v>0</v>
      </c>
      <c r="E476" s="28">
        <f t="array" ref="E476">E$382*$L476</f>
        <v>0</v>
      </c>
      <c r="F476" s="28">
        <f t="array" ref="F476">F$382*$L476</f>
        <v>0</v>
      </c>
      <c r="G476" s="28">
        <f t="array" ref="G476">G$382*$L476</f>
        <v>0</v>
      </c>
      <c r="H476" s="30">
        <f t="array" ref="H476">E476+D476</f>
        <v>0</v>
      </c>
      <c r="I476" s="30">
        <f t="array" ref="I476">G476+F476</f>
        <v>0</v>
      </c>
      <c r="J476" s="30">
        <f t="array" ref="J476">D476+F476</f>
        <v>0</v>
      </c>
      <c r="K476" s="30">
        <f t="array" ref="K476">E476+G476</f>
        <v>0</v>
      </c>
      <c r="L476" s="12"/>
    </row>
    <row r="477" spans="1:12" ht="20.100000000000001" customHeight="1">
      <c r="A477" s="20" t="s">
        <v>587</v>
      </c>
      <c r="B477" s="21" t="s">
        <v>235</v>
      </c>
      <c r="C477" s="28">
        <f t="array" ref="C477">D477+E477+F477+G477</f>
        <v>0</v>
      </c>
      <c r="D477" s="28">
        <f t="array" ref="D477">D$382*$L477</f>
        <v>0</v>
      </c>
      <c r="E477" s="28">
        <f t="array" ref="E477">E$382*$L477</f>
        <v>0</v>
      </c>
      <c r="F477" s="28">
        <f t="array" ref="F477">F$382*$L477</f>
        <v>0</v>
      </c>
      <c r="G477" s="28">
        <f t="array" ref="G477">G$382*$L477</f>
        <v>0</v>
      </c>
      <c r="H477" s="30">
        <f t="array" ref="H477">E477+D477</f>
        <v>0</v>
      </c>
      <c r="I477" s="30">
        <f t="array" ref="I477">G477+F477</f>
        <v>0</v>
      </c>
      <c r="J477" s="30">
        <f t="array" ref="J477">D477+F477</f>
        <v>0</v>
      </c>
      <c r="K477" s="30">
        <f t="array" ref="K477">E477+G477</f>
        <v>0</v>
      </c>
      <c r="L477" s="12"/>
    </row>
    <row r="478" spans="1:12" ht="20.100000000000001" customHeight="1">
      <c r="A478" s="20" t="s">
        <v>588</v>
      </c>
      <c r="B478" s="21" t="s">
        <v>237</v>
      </c>
      <c r="C478" s="28">
        <f t="array" ref="C478">D478+E478+F478+G478</f>
        <v>0</v>
      </c>
      <c r="D478" s="28">
        <f t="array" ref="D478">D$382*$L478</f>
        <v>0</v>
      </c>
      <c r="E478" s="28">
        <f t="array" ref="E478">E$382*$L478</f>
        <v>0</v>
      </c>
      <c r="F478" s="28">
        <f t="array" ref="F478">F$382*$L478</f>
        <v>0</v>
      </c>
      <c r="G478" s="28">
        <f t="array" ref="G478">G$382*$L478</f>
        <v>0</v>
      </c>
      <c r="H478" s="30">
        <f t="array" ref="H478">E478+D478</f>
        <v>0</v>
      </c>
      <c r="I478" s="30">
        <f t="array" ref="I478">G478+F478</f>
        <v>0</v>
      </c>
      <c r="J478" s="30">
        <f t="array" ref="J478">D478+F478</f>
        <v>0</v>
      </c>
      <c r="K478" s="30">
        <f t="array" ref="K478">E478+G478</f>
        <v>0</v>
      </c>
      <c r="L478" s="12"/>
    </row>
    <row r="479" spans="1:12" ht="20.100000000000001" customHeight="1">
      <c r="A479" s="20" t="s">
        <v>589</v>
      </c>
      <c r="B479" s="21" t="s">
        <v>239</v>
      </c>
      <c r="C479" s="28">
        <f t="array" ref="C479">D479+E479+F479+G479</f>
        <v>0</v>
      </c>
      <c r="D479" s="28">
        <f t="array" ref="D479">D$382*$L479</f>
        <v>0</v>
      </c>
      <c r="E479" s="28">
        <f t="array" ref="E479">E$382*$L479</f>
        <v>0</v>
      </c>
      <c r="F479" s="28">
        <f t="array" ref="F479">F$382*$L479</f>
        <v>0</v>
      </c>
      <c r="G479" s="28">
        <f t="array" ref="G479">G$382*$L479</f>
        <v>0</v>
      </c>
      <c r="H479" s="30">
        <f t="array" ref="H479">E479+D479</f>
        <v>0</v>
      </c>
      <c r="I479" s="30">
        <f t="array" ref="I479">G479+F479</f>
        <v>0</v>
      </c>
      <c r="J479" s="30">
        <f t="array" ref="J479">D479+F479</f>
        <v>0</v>
      </c>
      <c r="K479" s="30">
        <f t="array" ref="K479">E479+G479</f>
        <v>0</v>
      </c>
      <c r="L479" s="12"/>
    </row>
    <row r="480" spans="1:12" ht="20.100000000000001" customHeight="1">
      <c r="A480" s="20" t="s">
        <v>590</v>
      </c>
      <c r="B480" s="21" t="s">
        <v>241</v>
      </c>
      <c r="C480" s="28">
        <f t="array" ref="C480">D480+E480+F480+G480</f>
        <v>0</v>
      </c>
      <c r="D480" s="28">
        <f t="array" ref="D480">D$382*$L480</f>
        <v>0</v>
      </c>
      <c r="E480" s="28">
        <f t="array" ref="E480">E$382*$L480</f>
        <v>0</v>
      </c>
      <c r="F480" s="28">
        <f t="array" ref="F480">F$382*$L480</f>
        <v>0</v>
      </c>
      <c r="G480" s="28">
        <f t="array" ref="G480">G$382*$L480</f>
        <v>0</v>
      </c>
      <c r="H480" s="30">
        <f t="array" ref="H480">E480+D480</f>
        <v>0</v>
      </c>
      <c r="I480" s="30">
        <f t="array" ref="I480">G480+F480</f>
        <v>0</v>
      </c>
      <c r="J480" s="30">
        <f t="array" ref="J480">D480+F480</f>
        <v>0</v>
      </c>
      <c r="K480" s="30">
        <f t="array" ref="K480">E480+G480</f>
        <v>0</v>
      </c>
      <c r="L480" s="12"/>
    </row>
    <row r="481" spans="1:12" ht="20.100000000000001" customHeight="1">
      <c r="A481" s="20" t="s">
        <v>591</v>
      </c>
      <c r="B481" s="21" t="s">
        <v>243</v>
      </c>
      <c r="C481" s="28">
        <f t="array" ref="C481">D481+E481+F481+G481</f>
        <v>0</v>
      </c>
      <c r="D481" s="28">
        <f t="array" ref="D481">D$382*$L481</f>
        <v>0</v>
      </c>
      <c r="E481" s="28">
        <f t="array" ref="E481">E$382*$L481</f>
        <v>0</v>
      </c>
      <c r="F481" s="28">
        <f t="array" ref="F481">F$382*$L481</f>
        <v>0</v>
      </c>
      <c r="G481" s="28">
        <f t="array" ref="G481">G$382*$L481</f>
        <v>0</v>
      </c>
      <c r="H481" s="30">
        <f t="array" ref="H481">E481+D481</f>
        <v>0</v>
      </c>
      <c r="I481" s="30">
        <f t="array" ref="I481">G481+F481</f>
        <v>0</v>
      </c>
      <c r="J481" s="30">
        <f t="array" ref="J481">D481+F481</f>
        <v>0</v>
      </c>
      <c r="K481" s="30">
        <f t="array" ref="K481">E481+G481</f>
        <v>0</v>
      </c>
      <c r="L481" s="12"/>
    </row>
    <row r="482" spans="1:12" ht="20.100000000000001" customHeight="1">
      <c r="A482" s="20" t="s">
        <v>592</v>
      </c>
      <c r="B482" s="21" t="s">
        <v>245</v>
      </c>
      <c r="C482" s="28">
        <f t="array" ref="C482">D482+E482+F482+G482</f>
        <v>0</v>
      </c>
      <c r="D482" s="28">
        <f t="array" ref="D482">D$382*$L482</f>
        <v>0</v>
      </c>
      <c r="E482" s="28">
        <f t="array" ref="E482">E$382*$L482</f>
        <v>0</v>
      </c>
      <c r="F482" s="28">
        <f t="array" ref="F482">F$382*$L482</f>
        <v>0</v>
      </c>
      <c r="G482" s="28">
        <f t="array" ref="G482">G$382*$L482</f>
        <v>0</v>
      </c>
      <c r="H482" s="30">
        <f t="array" ref="H482">E482+D482</f>
        <v>0</v>
      </c>
      <c r="I482" s="30">
        <f t="array" ref="I482">G482+F482</f>
        <v>0</v>
      </c>
      <c r="J482" s="30">
        <f t="array" ref="J482">D482+F482</f>
        <v>0</v>
      </c>
      <c r="K482" s="30">
        <f t="array" ref="K482">E482+G482</f>
        <v>0</v>
      </c>
      <c r="L482" s="12"/>
    </row>
    <row r="483" spans="1:12" ht="20.100000000000001" customHeight="1">
      <c r="A483" s="20" t="s">
        <v>593</v>
      </c>
      <c r="B483" s="21" t="s">
        <v>247</v>
      </c>
      <c r="C483" s="28">
        <f t="array" ref="C483">D483+E483+F483+G483</f>
        <v>0</v>
      </c>
      <c r="D483" s="28">
        <f t="array" ref="D483">D$382*$L483</f>
        <v>0</v>
      </c>
      <c r="E483" s="28">
        <f t="array" ref="E483">E$382*$L483</f>
        <v>0</v>
      </c>
      <c r="F483" s="28">
        <f t="array" ref="F483">F$382*$L483</f>
        <v>0</v>
      </c>
      <c r="G483" s="28">
        <f t="array" ref="G483">G$382*$L483</f>
        <v>0</v>
      </c>
      <c r="H483" s="30">
        <f t="array" ref="H483">E483+D483</f>
        <v>0</v>
      </c>
      <c r="I483" s="30">
        <f t="array" ref="I483">G483+F483</f>
        <v>0</v>
      </c>
      <c r="J483" s="30">
        <f t="array" ref="J483">D483+F483</f>
        <v>0</v>
      </c>
      <c r="K483" s="30">
        <f t="array" ref="K483">E483+G483</f>
        <v>0</v>
      </c>
      <c r="L483" s="12"/>
    </row>
    <row r="484" spans="1:12" ht="20.100000000000001" customHeight="1">
      <c r="A484" s="20" t="s">
        <v>594</v>
      </c>
      <c r="B484" s="21" t="s">
        <v>249</v>
      </c>
      <c r="C484" s="26">
        <f t="array" ref="C484">SUM(C384:C483)</f>
        <v>1049788.8000000003</v>
      </c>
      <c r="D484" s="26">
        <f t="array" ref="D484">SUM(D384:D483)</f>
        <v>39931.69999999999</v>
      </c>
      <c r="E484" s="26">
        <f t="array" ref="E484">SUM(E384:E483)</f>
        <v>46537.700000000019</v>
      </c>
      <c r="F484" s="28">
        <f t="array" ref="F484">SUM(F384:F483)</f>
        <v>428002.60000000021</v>
      </c>
      <c r="G484" s="28">
        <f t="array" ref="G484">SUM(G384:G483)</f>
        <v>535316.80000000016</v>
      </c>
      <c r="H484" s="12">
        <f t="array" ref="H484">SUM(H384:H483)</f>
        <v>86469.400000000023</v>
      </c>
      <c r="I484" s="30">
        <f t="array" ref="I484">SUM(I384:I483)</f>
        <v>963319.40000000014</v>
      </c>
      <c r="J484" s="12">
        <f t="array" ref="J484">SUM(J384:J483)</f>
        <v>467934.3</v>
      </c>
      <c r="K484" s="12">
        <f t="array" ref="K484">SUM(K384:K483)</f>
        <v>581854.50000000047</v>
      </c>
      <c r="L484" s="12">
        <f t="array" ref="L484">SUM(L384:L483)</f>
        <v>1</v>
      </c>
    </row>
    <row r="485" spans="1:12" ht="20.100000000000001" customHeight="1">
      <c r="A485" s="10"/>
      <c r="B485" s="11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1:12" ht="92.1" customHeight="1">
      <c r="A486" s="20" t="s">
        <v>595</v>
      </c>
      <c r="B486" s="21" t="s">
        <v>39</v>
      </c>
      <c r="C486" s="26" t="str">
        <f t="array" ref="C486">IF(C487="","?",C487)&amp;IF(C488="","","; downloaded "&amp;C488)&amp;IF(C489="","","; "&amp;C489)</f>
        <v>Eurostat migr_imm3ctb 2015-2024 (Zeitreihe); downloaded 14.05.2026; Eurostat migr_imm3ctb: Immigration Total × Geburtsland 2015-2024. Sex-Anteile aus 2024-Daten (Imm FOR 55,6% M / NAT 53,8% M). D/E/J/K befüllt — F/G und Detail R384-R483 berechnen sich automatisch.</v>
      </c>
      <c r="D486" s="25"/>
      <c r="E486" s="25"/>
      <c r="F486" s="25"/>
      <c r="G486" s="25"/>
      <c r="H486" s="25"/>
      <c r="I486" s="25"/>
      <c r="J486" s="25"/>
      <c r="K486" s="25"/>
      <c r="L486" s="25"/>
    </row>
    <row r="487" spans="1:12" ht="32.1" customHeight="1">
      <c r="A487" s="10"/>
      <c r="B487" s="21" t="s">
        <v>41</v>
      </c>
      <c r="C487" s="22" t="s">
        <v>596</v>
      </c>
      <c r="D487" s="25"/>
      <c r="E487" s="25"/>
      <c r="F487" s="25"/>
      <c r="G487" s="25"/>
      <c r="H487" s="25"/>
      <c r="I487" s="25"/>
      <c r="J487" s="25"/>
      <c r="K487" s="25"/>
      <c r="L487" s="25"/>
    </row>
    <row r="488" spans="1:12" ht="20.100000000000001" customHeight="1">
      <c r="A488" s="10"/>
      <c r="B488" s="21" t="s">
        <v>43</v>
      </c>
      <c r="C488" s="27" t="s">
        <v>44</v>
      </c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1:12" ht="68.099999999999994" customHeight="1">
      <c r="A489" s="10"/>
      <c r="B489" s="21" t="s">
        <v>45</v>
      </c>
      <c r="C489" s="22" t="s">
        <v>597</v>
      </c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1:12" ht="20.100000000000001" customHeight="1">
      <c r="A490" s="10"/>
      <c r="B490" s="11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1:12" ht="20.100000000000001" customHeight="1">
      <c r="A491" s="10"/>
      <c r="B491" s="21" t="s">
        <v>598</v>
      </c>
      <c r="C491" s="31">
        <f t="array" ref="C491">C484/C$118</f>
        <v>1.2560716661021985E-2</v>
      </c>
      <c r="D491" s="31">
        <f t="array" ref="D491">D484/D$118</f>
        <v>1.3543691979426536E-3</v>
      </c>
      <c r="E491" s="31">
        <f t="array" ref="E491">E484/E$118</f>
        <v>1.6506850770303984E-3</v>
      </c>
      <c r="F491" s="31">
        <f t="array" ref="F491">F484/F$118</f>
        <v>3.340581622947722E-2</v>
      </c>
      <c r="G491" s="31">
        <f t="array" ref="G491">G484/G$118</f>
        <v>4.0900257236436574E-2</v>
      </c>
      <c r="H491" s="31">
        <f t="array" ref="H491">H484/H$118</f>
        <v>1.4992117423891463E-3</v>
      </c>
      <c r="I491" s="31">
        <f t="array" ref="I491">I484/I$118</f>
        <v>3.7192986438983618E-2</v>
      </c>
      <c r="J491" s="31">
        <f t="array" ref="J491">J484/J$118</f>
        <v>1.1063366455035889E-2</v>
      </c>
      <c r="K491" s="31">
        <f t="array" ref="K491">K484/K$118</f>
        <v>1.4094865547989296E-2</v>
      </c>
      <c r="L491" s="12"/>
    </row>
    <row r="492" spans="1:12" ht="20.100000000000001" customHeight="1">
      <c r="A492" s="10"/>
      <c r="B492" s="11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1:12" ht="26.85" customHeight="1">
      <c r="A493" s="16"/>
      <c r="B493" s="17" t="s">
        <v>599</v>
      </c>
      <c r="C493" s="23" t="s">
        <v>600</v>
      </c>
      <c r="D493" s="19"/>
      <c r="E493" s="19"/>
      <c r="F493" s="19"/>
      <c r="G493" s="19"/>
      <c r="H493" s="19"/>
      <c r="I493" s="19"/>
      <c r="J493" s="19"/>
      <c r="K493" s="19"/>
      <c r="L493" s="19"/>
    </row>
    <row r="494" spans="1:12" ht="20.100000000000001" customHeight="1">
      <c r="A494" s="10"/>
      <c r="B494" s="11" t="str">
        <f t="array" ref="B494">"Total emigration in "&amp;L494</f>
        <v>Total emigration in 2015</v>
      </c>
      <c r="C494" s="28">
        <f t="array" ref="C494">D494+E494+F494+G494</f>
        <v>320705</v>
      </c>
      <c r="D494" s="24">
        <v>48668</v>
      </c>
      <c r="E494" s="24">
        <v>57919</v>
      </c>
      <c r="F494" s="26">
        <f t="array" ref="F494">J494-D494</f>
        <v>84491</v>
      </c>
      <c r="G494" s="26">
        <f t="array" ref="G494">K494-E494</f>
        <v>129627</v>
      </c>
      <c r="H494" s="12">
        <f t="array" ref="H494">E494+D494</f>
        <v>106587</v>
      </c>
      <c r="I494" s="12">
        <f t="array" ref="I494">G494+F494</f>
        <v>214118</v>
      </c>
      <c r="J494" s="24">
        <v>133159</v>
      </c>
      <c r="K494" s="24">
        <v>187546</v>
      </c>
      <c r="L494" s="12">
        <f t="array" ref="L494">L495-1</f>
        <v>2015</v>
      </c>
    </row>
    <row r="495" spans="1:12" ht="20.100000000000001" customHeight="1">
      <c r="A495" s="10"/>
      <c r="B495" s="11" t="str">
        <f t="array" ref="B495">"Total emigration in "&amp;L495</f>
        <v>Total emigration in 2016</v>
      </c>
      <c r="C495" s="28">
        <f t="array" ref="C495">D495+E495+F495+G495</f>
        <v>501348</v>
      </c>
      <c r="D495" s="24">
        <v>83992</v>
      </c>
      <c r="E495" s="24">
        <v>99960</v>
      </c>
      <c r="F495" s="26">
        <f t="array" ref="F495">J495-D495</f>
        <v>125245</v>
      </c>
      <c r="G495" s="26">
        <f t="array" ref="G495">K495-E495</f>
        <v>192151</v>
      </c>
      <c r="H495" s="12">
        <f t="array" ref="H495">E495+D495</f>
        <v>183952</v>
      </c>
      <c r="I495" s="12">
        <f t="array" ref="I495">G495+F495</f>
        <v>317396</v>
      </c>
      <c r="J495" s="24">
        <v>209237</v>
      </c>
      <c r="K495" s="24">
        <v>292111</v>
      </c>
      <c r="L495" s="12">
        <f t="array" ref="L495">L496-1</f>
        <v>2016</v>
      </c>
    </row>
    <row r="496" spans="1:12" ht="20.100000000000001" customHeight="1">
      <c r="A496" s="10"/>
      <c r="B496" s="11" t="str">
        <f t="array" ref="B496">"Total emigration in "&amp;L496</f>
        <v>Total emigration in 2017</v>
      </c>
      <c r="C496" s="28">
        <f t="array" ref="C496">D496+E496+F496+G496</f>
        <v>506662</v>
      </c>
      <c r="D496" s="24">
        <v>70673</v>
      </c>
      <c r="E496" s="24">
        <v>84107</v>
      </c>
      <c r="F496" s="26">
        <f t="array" ref="F496">J496-D496</f>
        <v>138852</v>
      </c>
      <c r="G496" s="26">
        <f t="array" ref="G496">K496-E496</f>
        <v>213030</v>
      </c>
      <c r="H496" s="12">
        <f t="array" ref="H496">E496+D496</f>
        <v>154780</v>
      </c>
      <c r="I496" s="12">
        <f t="array" ref="I496">G496+F496</f>
        <v>351882</v>
      </c>
      <c r="J496" s="24">
        <v>209525</v>
      </c>
      <c r="K496" s="24">
        <v>297137</v>
      </c>
      <c r="L496" s="12">
        <f t="array" ref="L496">L497-1</f>
        <v>2017</v>
      </c>
    </row>
    <row r="497" spans="1:12" ht="20.100000000000001" customHeight="1">
      <c r="A497" s="10"/>
      <c r="B497" s="11" t="str">
        <f t="array" ref="B497">"Total emigration in "&amp;L497</f>
        <v>Total emigration in 2018</v>
      </c>
      <c r="C497" s="28">
        <f t="array" ref="C497">D497+E497+F497+G497</f>
        <v>459401</v>
      </c>
      <c r="D497" s="24">
        <v>59716</v>
      </c>
      <c r="E497" s="24">
        <v>71067</v>
      </c>
      <c r="F497" s="26">
        <f t="array" ref="F497">J497-D497</f>
        <v>129672</v>
      </c>
      <c r="G497" s="26">
        <f t="array" ref="G497">K497-E497</f>
        <v>198946</v>
      </c>
      <c r="H497" s="12">
        <f t="array" ref="H497">E497+D497</f>
        <v>130783</v>
      </c>
      <c r="I497" s="12">
        <f t="array" ref="I497">G497+F497</f>
        <v>328618</v>
      </c>
      <c r="J497" s="24">
        <v>189388</v>
      </c>
      <c r="K497" s="24">
        <v>270013</v>
      </c>
      <c r="L497" s="12">
        <f t="array" ref="L497">L498-1</f>
        <v>2018</v>
      </c>
    </row>
    <row r="498" spans="1:12" ht="20.100000000000001" customHeight="1">
      <c r="A498" s="10"/>
      <c r="B498" s="11" t="str">
        <f t="array" ref="B498">"Total emigration in "&amp;L498</f>
        <v>Total emigration in 2019</v>
      </c>
      <c r="C498" s="28">
        <f t="array" ref="C498">D498+E498+F498+G498</f>
        <v>490268</v>
      </c>
      <c r="D498" s="24">
        <v>58619</v>
      </c>
      <c r="E498" s="24">
        <v>69763</v>
      </c>
      <c r="F498" s="26">
        <f t="array" ref="F498">J498-D498</f>
        <v>142800</v>
      </c>
      <c r="G498" s="26">
        <f t="array" ref="G498">K498-E498</f>
        <v>219086</v>
      </c>
      <c r="H498" s="12">
        <f t="array" ref="H498">E498+D498</f>
        <v>128382</v>
      </c>
      <c r="I498" s="12">
        <f t="array" ref="I498">G498+F498</f>
        <v>361886</v>
      </c>
      <c r="J498" s="24">
        <v>201419</v>
      </c>
      <c r="K498" s="24">
        <v>288849</v>
      </c>
      <c r="L498" s="12">
        <f t="array" ref="L498">L499-1</f>
        <v>2019</v>
      </c>
    </row>
    <row r="499" spans="1:12" ht="20.100000000000001" customHeight="1">
      <c r="A499" s="10"/>
      <c r="B499" s="11" t="str">
        <f t="array" ref="B499">"Total emigration in "&amp;L499</f>
        <v>Total emigration in 2020</v>
      </c>
      <c r="C499" s="28">
        <f t="array" ref="C499">D499+E499+F499+G499</f>
        <v>386012</v>
      </c>
      <c r="D499" s="24">
        <v>46711</v>
      </c>
      <c r="E499" s="24">
        <v>55591</v>
      </c>
      <c r="F499" s="26">
        <f t="array" ref="F499">J499-D499</f>
        <v>111952</v>
      </c>
      <c r="G499" s="26">
        <f t="array" ref="G499">K499-E499</f>
        <v>171758</v>
      </c>
      <c r="H499" s="12">
        <f t="array" ref="H499">E499+D499</f>
        <v>102302</v>
      </c>
      <c r="I499" s="12">
        <f t="array" ref="I499">G499+F499</f>
        <v>283710</v>
      </c>
      <c r="J499" s="24">
        <v>158663</v>
      </c>
      <c r="K499" s="24">
        <v>227349</v>
      </c>
      <c r="L499" s="12">
        <f t="array" ref="L499">L500-1</f>
        <v>2020</v>
      </c>
    </row>
    <row r="500" spans="1:12" ht="20.100000000000001" customHeight="1">
      <c r="A500" s="10"/>
      <c r="B500" s="11" t="str">
        <f t="array" ref="B500">"Total emigration in "&amp;L500</f>
        <v>Total emigration in 2021</v>
      </c>
      <c r="C500" s="28">
        <f t="array" ref="C500">D500+E500+F500+G500</f>
        <v>439021</v>
      </c>
      <c r="D500" s="24">
        <v>59003</v>
      </c>
      <c r="E500" s="24">
        <v>70220</v>
      </c>
      <c r="F500" s="26">
        <f t="array" ref="F500">J500-D500</f>
        <v>122247</v>
      </c>
      <c r="G500" s="26">
        <f t="array" ref="G500">K500-E500</f>
        <v>187551</v>
      </c>
      <c r="H500" s="12">
        <f t="array" ref="H500">E500+D500</f>
        <v>129223</v>
      </c>
      <c r="I500" s="12">
        <f t="array" ref="I500">G500+F500</f>
        <v>309798</v>
      </c>
      <c r="J500" s="24">
        <v>181250</v>
      </c>
      <c r="K500" s="24">
        <v>257771</v>
      </c>
      <c r="L500" s="12">
        <f t="array" ref="L500">L501-1</f>
        <v>2021</v>
      </c>
    </row>
    <row r="501" spans="1:12" ht="20.100000000000001" customHeight="1">
      <c r="A501" s="10"/>
      <c r="B501" s="11" t="str">
        <f t="array" ref="B501">"Total emigration in "&amp;L501</f>
        <v>Total emigration in 2022</v>
      </c>
      <c r="C501" s="28">
        <f t="array" ref="C501">D501+E501+F501+G501</f>
        <v>435191</v>
      </c>
      <c r="D501" s="24">
        <v>65288</v>
      </c>
      <c r="E501" s="24">
        <v>77700</v>
      </c>
      <c r="F501" s="26">
        <f t="array" ref="F501">J501-D501</f>
        <v>115304</v>
      </c>
      <c r="G501" s="26">
        <f t="array" ref="G501">K501-E501</f>
        <v>176899</v>
      </c>
      <c r="H501" s="12">
        <f t="array" ref="H501">E501+D501</f>
        <v>142988</v>
      </c>
      <c r="I501" s="12">
        <f t="array" ref="I501">G501+F501</f>
        <v>292203</v>
      </c>
      <c r="J501" s="24">
        <v>180592</v>
      </c>
      <c r="K501" s="24">
        <v>254599</v>
      </c>
      <c r="L501" s="12">
        <f t="array" ref="L501">L502-1</f>
        <v>2022</v>
      </c>
    </row>
    <row r="502" spans="1:12" ht="20.100000000000001" customHeight="1">
      <c r="A502" s="10"/>
      <c r="B502" s="11" t="str">
        <f t="array" ref="B502">"Total emigration in "&amp;L502</f>
        <v>Total emigration in 2023</v>
      </c>
      <c r="C502" s="28">
        <f t="array" ref="C502">D502+E502+F502+G502</f>
        <v>548795</v>
      </c>
      <c r="D502" s="24">
        <v>61845</v>
      </c>
      <c r="E502" s="24">
        <v>73601</v>
      </c>
      <c r="F502" s="26">
        <f t="array" ref="F502">J502-D502</f>
        <v>163107</v>
      </c>
      <c r="G502" s="26">
        <f t="array" ref="G502">K502-E502</f>
        <v>250242</v>
      </c>
      <c r="H502" s="12">
        <f t="array" ref="H502">E502+D502</f>
        <v>135446</v>
      </c>
      <c r="I502" s="12">
        <f t="array" ref="I502">G502+F502</f>
        <v>413349</v>
      </c>
      <c r="J502" s="24">
        <v>224952</v>
      </c>
      <c r="K502" s="24">
        <v>323843</v>
      </c>
      <c r="L502" s="12">
        <f t="array" ref="L502">L503-1</f>
        <v>2023</v>
      </c>
    </row>
    <row r="503" spans="1:12" ht="20.100000000000001" customHeight="1">
      <c r="A503" s="10"/>
      <c r="B503" s="11" t="str">
        <f t="array" ref="B503">"Total emigration in "&amp;L503</f>
        <v>Total emigration in 2024</v>
      </c>
      <c r="C503" s="28">
        <f t="array" ref="C503">D503+E503+F503+G503</f>
        <v>559549</v>
      </c>
      <c r="D503" s="24">
        <v>64177</v>
      </c>
      <c r="E503" s="24">
        <v>76378</v>
      </c>
      <c r="F503" s="26">
        <f t="array" ref="F503">J503-D503</f>
        <v>165335</v>
      </c>
      <c r="G503" s="26">
        <f t="array" ref="G503">K503-E503</f>
        <v>253659</v>
      </c>
      <c r="H503" s="12">
        <f t="array" ref="H503">E503+D503</f>
        <v>140555</v>
      </c>
      <c r="I503" s="12">
        <f t="array" ref="I503">G503+F503</f>
        <v>418994</v>
      </c>
      <c r="J503" s="24">
        <v>229512</v>
      </c>
      <c r="K503" s="24">
        <v>330037</v>
      </c>
      <c r="L503" s="24">
        <v>2024</v>
      </c>
    </row>
    <row r="504" spans="1:12" ht="20.100000000000001" customHeight="1">
      <c r="A504" s="20" t="s">
        <v>601</v>
      </c>
      <c r="B504" s="21" t="s">
        <v>602</v>
      </c>
      <c r="C504" s="26">
        <f t="array" ref="C504">D504+E504+F504+G504</f>
        <v>464695.19999999995</v>
      </c>
      <c r="D504" s="26">
        <f t="array" ref="D504">AVERAGE(D494:D503)</f>
        <v>61869.2</v>
      </c>
      <c r="E504" s="26">
        <f t="array" ref="E504">AVERAGE(E494:E503)</f>
        <v>73630.600000000006</v>
      </c>
      <c r="F504" s="26">
        <f t="array" ref="F504">AVERAGE(F494:F503)</f>
        <v>129900.5</v>
      </c>
      <c r="G504" s="26">
        <f t="array" ref="G504">AVERAGE(G494:G503)</f>
        <v>199294.9</v>
      </c>
      <c r="H504" s="12">
        <f t="array" ref="H504">E504+D504</f>
        <v>135499.79999999999</v>
      </c>
      <c r="I504" s="12">
        <f t="array" ref="I504">G504+F504</f>
        <v>329195.40000000002</v>
      </c>
      <c r="J504" s="30">
        <f t="array" ref="J504">D504+F504</f>
        <v>191769.7</v>
      </c>
      <c r="K504" s="30">
        <f t="array" ref="K504">E504+G504</f>
        <v>272925.5</v>
      </c>
      <c r="L504" s="12"/>
    </row>
    <row r="505" spans="1:12" ht="20.100000000000001" customHeight="1">
      <c r="A505" s="10"/>
      <c r="B505" s="11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1:12" ht="20.100000000000001" customHeight="1">
      <c r="A506" s="10"/>
      <c r="B506" s="21" t="s">
        <v>603</v>
      </c>
      <c r="C506" s="26">
        <f t="array" ref="C506">D506+E506+F506+G506</f>
        <v>585093.6</v>
      </c>
      <c r="D506" s="26">
        <f t="array" ref="D506">D382-D504</f>
        <v>-21937.5</v>
      </c>
      <c r="E506" s="26">
        <f t="array" ref="E506">E382-E504</f>
        <v>-27092.900000000009</v>
      </c>
      <c r="F506" s="26">
        <f t="array" ref="F506">F382-F504</f>
        <v>298102.09999999998</v>
      </c>
      <c r="G506" s="26">
        <f t="array" ref="G506">G382-G504</f>
        <v>336021.9</v>
      </c>
      <c r="H506" s="12">
        <f t="array" ref="H506">E506+D506</f>
        <v>-49030.400000000009</v>
      </c>
      <c r="I506" s="12">
        <f t="array" ref="I506">G506+F506</f>
        <v>634124</v>
      </c>
      <c r="J506" s="30">
        <f t="array" ref="J506">D506+F506</f>
        <v>276164.59999999998</v>
      </c>
      <c r="K506" s="30">
        <f t="array" ref="K506">E506+G506</f>
        <v>308929</v>
      </c>
      <c r="L506" s="12"/>
    </row>
    <row r="507" spans="1:12" ht="20.100000000000001" customHeight="1">
      <c r="A507" s="10"/>
      <c r="B507" s="11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1:12" ht="20.100000000000001" customHeight="1">
      <c r="A508" s="20" t="s">
        <v>604</v>
      </c>
      <c r="B508" s="21" t="s">
        <v>49</v>
      </c>
      <c r="C508" s="28">
        <f t="array" ref="C508">D508+E508+F508+G508</f>
        <v>0</v>
      </c>
      <c r="D508" s="28">
        <f t="array" ref="D508">D$504*$L508</f>
        <v>0</v>
      </c>
      <c r="E508" s="28">
        <f t="array" ref="E508">E$504*$L508</f>
        <v>0</v>
      </c>
      <c r="F508" s="28">
        <f t="array" ref="F508">F$504*$L508</f>
        <v>0</v>
      </c>
      <c r="G508" s="28">
        <f t="array" ref="G508">G$504*$L508</f>
        <v>0</v>
      </c>
      <c r="H508" s="30">
        <f t="array" ref="H508">E508+D508</f>
        <v>0</v>
      </c>
      <c r="I508" s="30">
        <f t="array" ref="I508">G508+F508</f>
        <v>0</v>
      </c>
      <c r="J508" s="30">
        <f t="array" ref="J508">D508+F508</f>
        <v>0</v>
      </c>
      <c r="K508" s="30">
        <f t="array" ref="K508">E508+G508</f>
        <v>0</v>
      </c>
      <c r="L508" s="12"/>
    </row>
    <row r="509" spans="1:12" ht="20.100000000000001" customHeight="1">
      <c r="A509" s="20" t="s">
        <v>605</v>
      </c>
      <c r="B509" s="21" t="s">
        <v>51</v>
      </c>
      <c r="C509" s="28">
        <f t="array" ref="C509">D509+E509+F509+G509</f>
        <v>0</v>
      </c>
      <c r="D509" s="28">
        <f t="array" ref="D509">D$504*$L509</f>
        <v>0</v>
      </c>
      <c r="E509" s="28">
        <f t="array" ref="E509">E$504*$L509</f>
        <v>0</v>
      </c>
      <c r="F509" s="28">
        <f t="array" ref="F509">F$504*$L509</f>
        <v>0</v>
      </c>
      <c r="G509" s="28">
        <f t="array" ref="G509">G$504*$L509</f>
        <v>0</v>
      </c>
      <c r="H509" s="30">
        <f t="array" ref="H509">E509+D509</f>
        <v>0</v>
      </c>
      <c r="I509" s="30">
        <f t="array" ref="I509">G509+F509</f>
        <v>0</v>
      </c>
      <c r="J509" s="30">
        <f t="array" ref="J509">D509+F509</f>
        <v>0</v>
      </c>
      <c r="K509" s="30">
        <f t="array" ref="K509">E509+G509</f>
        <v>0</v>
      </c>
      <c r="L509" s="12"/>
    </row>
    <row r="510" spans="1:12" ht="20.100000000000001" customHeight="1">
      <c r="A510" s="20" t="s">
        <v>606</v>
      </c>
      <c r="B510" s="21" t="s">
        <v>53</v>
      </c>
      <c r="C510" s="28">
        <f t="array" ref="C510">D510+E510+F510+G510</f>
        <v>0</v>
      </c>
      <c r="D510" s="28">
        <f t="array" ref="D510">D$504*$L510</f>
        <v>0</v>
      </c>
      <c r="E510" s="28">
        <f t="array" ref="E510">E$504*$L510</f>
        <v>0</v>
      </c>
      <c r="F510" s="28">
        <f t="array" ref="F510">F$504*$L510</f>
        <v>0</v>
      </c>
      <c r="G510" s="28">
        <f t="array" ref="G510">G$504*$L510</f>
        <v>0</v>
      </c>
      <c r="H510" s="30">
        <f t="array" ref="H510">E510+D510</f>
        <v>0</v>
      </c>
      <c r="I510" s="30">
        <f t="array" ref="I510">G510+F510</f>
        <v>0</v>
      </c>
      <c r="J510" s="30">
        <f t="array" ref="J510">D510+F510</f>
        <v>0</v>
      </c>
      <c r="K510" s="30">
        <f t="array" ref="K510">E510+G510</f>
        <v>0</v>
      </c>
      <c r="L510" s="12"/>
    </row>
    <row r="511" spans="1:12" ht="20.100000000000001" customHeight="1">
      <c r="A511" s="20" t="s">
        <v>607</v>
      </c>
      <c r="B511" s="21" t="s">
        <v>55</v>
      </c>
      <c r="C511" s="28">
        <f t="array" ref="C511">D511+E511+F511+G511</f>
        <v>0</v>
      </c>
      <c r="D511" s="28">
        <f t="array" ref="D511">D$504*$L511</f>
        <v>0</v>
      </c>
      <c r="E511" s="28">
        <f t="array" ref="E511">E$504*$L511</f>
        <v>0</v>
      </c>
      <c r="F511" s="28">
        <f t="array" ref="F511">F$504*$L511</f>
        <v>0</v>
      </c>
      <c r="G511" s="28">
        <f t="array" ref="G511">G$504*$L511</f>
        <v>0</v>
      </c>
      <c r="H511" s="30">
        <f t="array" ref="H511">E511+D511</f>
        <v>0</v>
      </c>
      <c r="I511" s="30">
        <f t="array" ref="I511">G511+F511</f>
        <v>0</v>
      </c>
      <c r="J511" s="30">
        <f t="array" ref="J511">D511+F511</f>
        <v>0</v>
      </c>
      <c r="K511" s="30">
        <f t="array" ref="K511">E511+G511</f>
        <v>0</v>
      </c>
      <c r="L511" s="12"/>
    </row>
    <row r="512" spans="1:12" ht="20.100000000000001" customHeight="1">
      <c r="A512" s="20" t="s">
        <v>608</v>
      </c>
      <c r="B512" s="21" t="s">
        <v>57</v>
      </c>
      <c r="C512" s="28">
        <f t="array" ref="C512">D512+E512+F512+G512</f>
        <v>0</v>
      </c>
      <c r="D512" s="28">
        <f t="array" ref="D512">D$504*$L512</f>
        <v>0</v>
      </c>
      <c r="E512" s="28">
        <f t="array" ref="E512">E$504*$L512</f>
        <v>0</v>
      </c>
      <c r="F512" s="28">
        <f t="array" ref="F512">F$504*$L512</f>
        <v>0</v>
      </c>
      <c r="G512" s="28">
        <f t="array" ref="G512">G$504*$L512</f>
        <v>0</v>
      </c>
      <c r="H512" s="30">
        <f t="array" ref="H512">E512+D512</f>
        <v>0</v>
      </c>
      <c r="I512" s="30">
        <f t="array" ref="I512">G512+F512</f>
        <v>0</v>
      </c>
      <c r="J512" s="30">
        <f t="array" ref="J512">D512+F512</f>
        <v>0</v>
      </c>
      <c r="K512" s="30">
        <f t="array" ref="K512">E512+G512</f>
        <v>0</v>
      </c>
      <c r="L512" s="12"/>
    </row>
    <row r="513" spans="1:12" ht="20.100000000000001" customHeight="1">
      <c r="A513" s="20" t="s">
        <v>609</v>
      </c>
      <c r="B513" s="21" t="s">
        <v>59</v>
      </c>
      <c r="C513" s="28">
        <f t="array" ref="C513">D513+E513+F513+G513</f>
        <v>0</v>
      </c>
      <c r="D513" s="28">
        <f t="array" ref="D513">D$504*$L513</f>
        <v>0</v>
      </c>
      <c r="E513" s="28">
        <f t="array" ref="E513">E$504*$L513</f>
        <v>0</v>
      </c>
      <c r="F513" s="28">
        <f t="array" ref="F513">F$504*$L513</f>
        <v>0</v>
      </c>
      <c r="G513" s="28">
        <f t="array" ref="G513">G$504*$L513</f>
        <v>0</v>
      </c>
      <c r="H513" s="30">
        <f t="array" ref="H513">E513+D513</f>
        <v>0</v>
      </c>
      <c r="I513" s="30">
        <f t="array" ref="I513">G513+F513</f>
        <v>0</v>
      </c>
      <c r="J513" s="30">
        <f t="array" ref="J513">D513+F513</f>
        <v>0</v>
      </c>
      <c r="K513" s="30">
        <f t="array" ref="K513">E513+G513</f>
        <v>0</v>
      </c>
      <c r="L513" s="12"/>
    </row>
    <row r="514" spans="1:12" ht="20.100000000000001" customHeight="1">
      <c r="A514" s="20" t="s">
        <v>610</v>
      </c>
      <c r="B514" s="21" t="s">
        <v>61</v>
      </c>
      <c r="C514" s="28">
        <f t="array" ref="C514">D514+E514+F514+G514</f>
        <v>3213.2361775262084</v>
      </c>
      <c r="D514" s="28">
        <f t="array" ref="D514">D$504*$L514</f>
        <v>427.80805937871639</v>
      </c>
      <c r="E514" s="28">
        <f t="array" ref="E514">E$504*$L514</f>
        <v>509.13482147644578</v>
      </c>
      <c r="F514" s="28">
        <f t="array" ref="F514">F$504*$L514</f>
        <v>898.22530139916068</v>
      </c>
      <c r="G514" s="28">
        <f t="array" ref="G514">G$504*$L514</f>
        <v>1378.0679952718856</v>
      </c>
      <c r="H514" s="30">
        <f t="array" ref="H514">E514+D514</f>
        <v>936.94288085516223</v>
      </c>
      <c r="I514" s="30">
        <f t="array" ref="I514">G514+F514</f>
        <v>2276.2932966710464</v>
      </c>
      <c r="J514" s="30">
        <f t="array" ref="J514">D514+F514</f>
        <v>1326.0333607778771</v>
      </c>
      <c r="K514" s="30">
        <f t="array" ref="K514">E514+G514</f>
        <v>1887.2028167483313</v>
      </c>
      <c r="L514" s="12">
        <v>6.9147178140127304E-3</v>
      </c>
    </row>
    <row r="515" spans="1:12" ht="20.100000000000001" customHeight="1">
      <c r="A515" s="20" t="s">
        <v>611</v>
      </c>
      <c r="B515" s="21" t="s">
        <v>63</v>
      </c>
      <c r="C515" s="28">
        <f t="array" ref="C515">D515+E515+F515+G515</f>
        <v>3866.2298026835383</v>
      </c>
      <c r="D515" s="28">
        <f t="array" ref="D515">D$504*$L515</f>
        <v>514.74718247184035</v>
      </c>
      <c r="E515" s="28">
        <f t="array" ref="E515">E$504*$L515</f>
        <v>612.60116332053906</v>
      </c>
      <c r="F515" s="28">
        <f t="array" ref="F515">F$504*$L515</f>
        <v>1080.7625826208082</v>
      </c>
      <c r="G515" s="28">
        <f t="array" ref="G515">G$504*$L515</f>
        <v>1658.1188742703507</v>
      </c>
      <c r="H515" s="30">
        <f t="array" ref="H515">E515+D515</f>
        <v>1127.3483457923794</v>
      </c>
      <c r="I515" s="30">
        <f t="array" ref="I515">G515+F515</f>
        <v>2738.8814568911589</v>
      </c>
      <c r="J515" s="30">
        <f t="array" ref="J515">D515+F515</f>
        <v>1595.5097650926486</v>
      </c>
      <c r="K515" s="30">
        <f t="array" ref="K515">E515+G515</f>
        <v>2270.7200375908897</v>
      </c>
      <c r="L515" s="12">
        <v>8.3199262714216508E-3</v>
      </c>
    </row>
    <row r="516" spans="1:12" ht="20.100000000000001" customHeight="1">
      <c r="A516" s="20" t="s">
        <v>612</v>
      </c>
      <c r="B516" s="21" t="s">
        <v>65</v>
      </c>
      <c r="C516" s="28">
        <f t="array" ref="C516">D516+E516+F516+G516</f>
        <v>4605.6370129478382</v>
      </c>
      <c r="D516" s="28">
        <f t="array" ref="D516">D$504*$L516</f>
        <v>613.19135097903393</v>
      </c>
      <c r="E516" s="28">
        <f t="array" ref="E516">E$504*$L516</f>
        <v>729.7596718140345</v>
      </c>
      <c r="F516" s="28">
        <f t="array" ref="F516">F$504*$L516</f>
        <v>1287.4558437453854</v>
      </c>
      <c r="G516" s="28">
        <f t="array" ref="G516">G$504*$L516</f>
        <v>1975.2301464093841</v>
      </c>
      <c r="H516" s="30">
        <f t="array" ref="H516">E516+D516</f>
        <v>1342.9510227930684</v>
      </c>
      <c r="I516" s="30">
        <f t="array" ref="I516">G516+F516</f>
        <v>3262.6859901547696</v>
      </c>
      <c r="J516" s="30">
        <f t="array" ref="J516">D516+F516</f>
        <v>1900.6471947244195</v>
      </c>
      <c r="K516" s="30">
        <f t="array" ref="K516">E516+G516</f>
        <v>2704.9898182234188</v>
      </c>
      <c r="L516" s="12">
        <v>9.9110922879079404E-3</v>
      </c>
    </row>
    <row r="517" spans="1:12" ht="20.100000000000001" customHeight="1">
      <c r="A517" s="20" t="s">
        <v>613</v>
      </c>
      <c r="B517" s="21" t="s">
        <v>67</v>
      </c>
      <c r="C517" s="28">
        <f t="array" ref="C517">D517+E517+F517+G517</f>
        <v>5431.8625917530189</v>
      </c>
      <c r="D517" s="28">
        <f t="array" ref="D517">D$504*$L517</f>
        <v>723.19445748887836</v>
      </c>
      <c r="E517" s="28">
        <f t="array" ref="E517">E$504*$L517</f>
        <v>860.67448458329216</v>
      </c>
      <c r="F517" s="28">
        <f t="array" ref="F517">F$504*$L517</f>
        <v>1518.418237588882</v>
      </c>
      <c r="G517" s="28">
        <f t="array" ref="G517">G$504*$L517</f>
        <v>2329.575412091966</v>
      </c>
      <c r="H517" s="30">
        <f t="array" ref="H517">E517+D517</f>
        <v>1583.8689420721705</v>
      </c>
      <c r="I517" s="30">
        <f t="array" ref="I517">G517+F517</f>
        <v>3847.9936496808477</v>
      </c>
      <c r="J517" s="30">
        <f t="array" ref="J517">D517+F517</f>
        <v>2241.6126950777602</v>
      </c>
      <c r="K517" s="30">
        <f t="array" ref="K517">E517+G517</f>
        <v>3190.2498966752582</v>
      </c>
      <c r="L517" s="12">
        <v>1.1689086936454301E-2</v>
      </c>
    </row>
    <row r="518" spans="1:12" ht="20.100000000000001" customHeight="1">
      <c r="A518" s="20" t="s">
        <v>614</v>
      </c>
      <c r="B518" s="21" t="s">
        <v>69</v>
      </c>
      <c r="C518" s="28">
        <f t="array" ref="C518">D518+E518+F518+G518</f>
        <v>6342.5641708079929</v>
      </c>
      <c r="D518" s="28">
        <f t="array" ref="D518">D$504*$L518</f>
        <v>844.44464069470462</v>
      </c>
      <c r="E518" s="28">
        <f t="array" ref="E518">E$504*$L518</f>
        <v>1004.9744551591991</v>
      </c>
      <c r="F518" s="28">
        <f t="array" ref="F518">F$504*$L518</f>
        <v>1772.9949805163551</v>
      </c>
      <c r="G518" s="28">
        <f t="array" ref="G518">G$504*$L518</f>
        <v>2720.1500944377344</v>
      </c>
      <c r="H518" s="30">
        <f t="array" ref="H518">E518+D518</f>
        <v>1849.4190958539039</v>
      </c>
      <c r="I518" s="30">
        <f t="array" ref="I518">G518+F518</f>
        <v>4493.1450749540891</v>
      </c>
      <c r="J518" s="30">
        <f t="array" ref="J518">D518+F518</f>
        <v>2617.4396212110596</v>
      </c>
      <c r="K518" s="30">
        <f t="array" ref="K518">E518+G518</f>
        <v>3725.1245495969333</v>
      </c>
      <c r="L518" s="12">
        <v>1.36488695618289E-2</v>
      </c>
    </row>
    <row r="519" spans="1:12" ht="20.100000000000001" customHeight="1">
      <c r="A519" s="20" t="s">
        <v>615</v>
      </c>
      <c r="B519" s="21" t="s">
        <v>71</v>
      </c>
      <c r="C519" s="28">
        <f t="array" ref="C519">D519+E519+F519+G519</f>
        <v>7332.2622656684471</v>
      </c>
      <c r="D519" s="28">
        <f t="array" ref="D519">D$504*$L519</f>
        <v>976.212365798257</v>
      </c>
      <c r="E519" s="28">
        <f t="array" ref="E519">E$504*$L519</f>
        <v>1161.7913634109566</v>
      </c>
      <c r="F519" s="28">
        <f t="array" ref="F519">F$504*$L519</f>
        <v>2049.6543421181541</v>
      </c>
      <c r="G519" s="28">
        <f t="array" ref="G519">G$504*$L519</f>
        <v>3144.6041943410787</v>
      </c>
      <c r="H519" s="30">
        <f t="array" ref="H519">E519+D519</f>
        <v>2138.0037292092138</v>
      </c>
      <c r="I519" s="30">
        <f t="array" ref="I519">G519+F519</f>
        <v>5194.2585364592323</v>
      </c>
      <c r="J519" s="30">
        <f t="array" ref="J519">D519+F519</f>
        <v>3025.8667079164111</v>
      </c>
      <c r="K519" s="30">
        <f t="array" ref="K519">E519+G519</f>
        <v>4306.3955577520355</v>
      </c>
      <c r="L519" s="12">
        <v>1.5778648597335299E-2</v>
      </c>
    </row>
    <row r="520" spans="1:12" ht="20.100000000000001" customHeight="1">
      <c r="A520" s="20" t="s">
        <v>616</v>
      </c>
      <c r="B520" s="21" t="s">
        <v>73</v>
      </c>
      <c r="C520" s="28">
        <f t="array" ref="C520">D520+E520+F520+G520</f>
        <v>8392.0514490843871</v>
      </c>
      <c r="D520" s="28">
        <f t="array" ref="D520">D$504*$L520</f>
        <v>1117.3119703274142</v>
      </c>
      <c r="E520" s="28">
        <f t="array" ref="E520">E$504*$L520</f>
        <v>1329.7141511832981</v>
      </c>
      <c r="F520" s="28">
        <f t="array" ref="F520">F$504*$L520</f>
        <v>2345.9069068537538</v>
      </c>
      <c r="G520" s="28">
        <f t="array" ref="G520">G$504*$L520</f>
        <v>3599.1184207199212</v>
      </c>
      <c r="H520" s="30">
        <f t="array" ref="H520">E520+D520</f>
        <v>2447.0261215107121</v>
      </c>
      <c r="I520" s="30">
        <f t="array" ref="I520">G520+F520</f>
        <v>5945.025327573675</v>
      </c>
      <c r="J520" s="30">
        <f t="array" ref="J520">D520+F520</f>
        <v>3463.218877181168</v>
      </c>
      <c r="K520" s="30">
        <f t="array" ref="K520">E520+G520</f>
        <v>4928.8325719032191</v>
      </c>
      <c r="L520" s="12">
        <v>1.80592600248171E-2</v>
      </c>
    </row>
    <row r="521" spans="1:12" ht="20.100000000000001" customHeight="1">
      <c r="A521" s="20" t="s">
        <v>617</v>
      </c>
      <c r="B521" s="21" t="s">
        <v>75</v>
      </c>
      <c r="C521" s="28">
        <f t="array" ref="C521">D521+E521+F521+G521</f>
        <v>9509.4480638142013</v>
      </c>
      <c r="D521" s="28">
        <f t="array" ref="D521">D$504*$L521</f>
        <v>1266.0813887247675</v>
      </c>
      <c r="E521" s="28">
        <f t="array" ref="E521">E$504*$L521</f>
        <v>1506.7647925080312</v>
      </c>
      <c r="F521" s="28">
        <f t="array" ref="F521">F$504*$L521</f>
        <v>2658.263003821638</v>
      </c>
      <c r="G521" s="28">
        <f t="array" ref="G521">G$504*$L521</f>
        <v>4078.3388787597655</v>
      </c>
      <c r="H521" s="30">
        <f t="array" ref="H521">E521+D521</f>
        <v>2772.8461812327987</v>
      </c>
      <c r="I521" s="30">
        <f t="array" ref="I521">G521+F521</f>
        <v>6736.6018825814035</v>
      </c>
      <c r="J521" s="30">
        <f t="array" ref="J521">D521+F521</f>
        <v>3924.3443925464053</v>
      </c>
      <c r="K521" s="30">
        <f t="array" ref="K521">E521+G521</f>
        <v>5585.1036712677969</v>
      </c>
      <c r="L521" s="12">
        <v>2.0463839660521999E-2</v>
      </c>
    </row>
    <row r="522" spans="1:12" ht="20.100000000000001" customHeight="1">
      <c r="A522" s="20" t="s">
        <v>618</v>
      </c>
      <c r="B522" s="21" t="s">
        <v>77</v>
      </c>
      <c r="C522" s="28">
        <f t="array" ref="C522">D522+E522+F522+G522</f>
        <v>10668.405390257729</v>
      </c>
      <c r="D522" s="28">
        <f t="array" ref="D522">D$504*$L522</f>
        <v>1420.3841717558807</v>
      </c>
      <c r="E522" s="28">
        <f t="array" ref="E522">E$504*$L522</f>
        <v>1690.4006969039292</v>
      </c>
      <c r="F522" s="28">
        <f t="array" ref="F522">F$504*$L522</f>
        <v>2982.2369467065164</v>
      </c>
      <c r="G522" s="28">
        <f t="array" ref="G522">G$504*$L522</f>
        <v>4575.3835748914016</v>
      </c>
      <c r="H522" s="30">
        <f t="array" ref="H522">E522+D522</f>
        <v>3110.7848686598099</v>
      </c>
      <c r="I522" s="30">
        <f t="array" ref="I522">G522+F522</f>
        <v>7557.620521597918</v>
      </c>
      <c r="J522" s="30">
        <f t="array" ref="J522">D522+F522</f>
        <v>4402.6211184623971</v>
      </c>
      <c r="K522" s="30">
        <f t="array" ref="K522">E522+G522</f>
        <v>6265.7842717953308</v>
      </c>
      <c r="L522" s="12">
        <v>2.2957855795062501E-2</v>
      </c>
    </row>
    <row r="523" spans="1:12" ht="20.100000000000001" customHeight="1">
      <c r="A523" s="20" t="s">
        <v>619</v>
      </c>
      <c r="B523" s="21" t="s">
        <v>79</v>
      </c>
      <c r="C523" s="28">
        <f t="array" ref="C523">D523+E523+F523+G523</f>
        <v>11849.519379899193</v>
      </c>
      <c r="D523" s="28">
        <f t="array" ref="D523">D$504*$L523</f>
        <v>1577.6368777186833</v>
      </c>
      <c r="E523" s="28">
        <f t="array" ref="E523">E$504*$L523</f>
        <v>1877.5473076838441</v>
      </c>
      <c r="F523" s="28">
        <f t="array" ref="F523">F$504*$L523</f>
        <v>3312.4045443305527</v>
      </c>
      <c r="G523" s="28">
        <f t="array" ref="G523">G$504*$L523</f>
        <v>5081.9306501661122</v>
      </c>
      <c r="H523" s="30">
        <f t="array" ref="H523">E523+D523</f>
        <v>3455.1841854025274</v>
      </c>
      <c r="I523" s="30">
        <f t="array" ref="I523">G523+F523</f>
        <v>8394.3351944966653</v>
      </c>
      <c r="J523" s="30">
        <f t="array" ref="J523">D523+F523</f>
        <v>4890.0414220492357</v>
      </c>
      <c r="K523" s="30">
        <f t="array" ref="K523">E523+G523</f>
        <v>6959.4779578499565</v>
      </c>
      <c r="L523" s="12">
        <v>2.5499551921128499E-2</v>
      </c>
    </row>
    <row r="524" spans="1:12" ht="20.100000000000001" customHeight="1">
      <c r="A524" s="20" t="s">
        <v>620</v>
      </c>
      <c r="B524" s="21" t="s">
        <v>81</v>
      </c>
      <c r="C524" s="28">
        <f t="array" ref="C524">D524+E524+F524+G524</f>
        <v>13030.437190290313</v>
      </c>
      <c r="D524" s="28">
        <f t="array" ref="D524">D$504*$L524</f>
        <v>1734.8634645107361</v>
      </c>
      <c r="E524" s="28">
        <f t="array" ref="E524">E$504*$L524</f>
        <v>2064.6628340111756</v>
      </c>
      <c r="F524" s="28">
        <f t="array" ref="F524">F$504*$L524</f>
        <v>3642.5173021742139</v>
      </c>
      <c r="G524" s="28">
        <f t="array" ref="G524">G$504*$L524</f>
        <v>5588.3935895941877</v>
      </c>
      <c r="H524" s="30">
        <f t="array" ref="H524">E524+D524</f>
        <v>3799.5262985219115</v>
      </c>
      <c r="I524" s="30">
        <f t="array" ref="I524">G524+F524</f>
        <v>9230.9108917684025</v>
      </c>
      <c r="J524" s="30">
        <f t="array" ref="J524">D524+F524</f>
        <v>5377.3807666849498</v>
      </c>
      <c r="K524" s="30">
        <f t="array" ref="K524">E524+G524</f>
        <v>7653.0564236053633</v>
      </c>
      <c r="L524" s="12">
        <v>2.8040825879609502E-2</v>
      </c>
    </row>
    <row r="525" spans="1:12" ht="20.100000000000001" customHeight="1">
      <c r="A525" s="20" t="s">
        <v>621</v>
      </c>
      <c r="B525" s="21" t="s">
        <v>83</v>
      </c>
      <c r="C525" s="28">
        <f t="array" ref="C525">D525+E525+F525+G525</f>
        <v>14186.467416610009</v>
      </c>
      <c r="D525" s="28">
        <f t="array" ref="D525">D$504*$L525</f>
        <v>1888.77653544028</v>
      </c>
      <c r="E525" s="28">
        <f t="array" ref="E525">E$504*$L525</f>
        <v>2247.8349416250589</v>
      </c>
      <c r="F525" s="28">
        <f t="array" ref="F525">F$504*$L525</f>
        <v>3965.6730059861789</v>
      </c>
      <c r="G525" s="28">
        <f t="array" ref="G525">G$504*$L525</f>
        <v>6084.1829335584926</v>
      </c>
      <c r="H525" s="30">
        <f t="array" ref="H525">E525+D525</f>
        <v>4136.6114770653385</v>
      </c>
      <c r="I525" s="30">
        <f t="array" ref="I525">G525+F525</f>
        <v>10049.855939544672</v>
      </c>
      <c r="J525" s="30">
        <f t="array" ref="J525">D525+F525</f>
        <v>5854.4495414264584</v>
      </c>
      <c r="K525" s="30">
        <f t="array" ref="K525">E525+G525</f>
        <v>8332.017875183552</v>
      </c>
      <c r="L525" s="12">
        <v>3.05285430463022E-2</v>
      </c>
    </row>
    <row r="526" spans="1:12" ht="20.100000000000001" customHeight="1">
      <c r="A526" s="20" t="s">
        <v>622</v>
      </c>
      <c r="B526" s="21" t="s">
        <v>85</v>
      </c>
      <c r="C526" s="28">
        <f t="array" ref="C526">D526+E526+F526+G526</f>
        <v>15291.3760520183</v>
      </c>
      <c r="D526" s="28">
        <f t="array" ref="D526">D$504*$L526</f>
        <v>2035.8833128414724</v>
      </c>
      <c r="E526" s="28">
        <f t="array" ref="E526">E$504*$L526</f>
        <v>2422.9068721513345</v>
      </c>
      <c r="F526" s="28">
        <f t="array" ref="F526">F$504*$L526</f>
        <v>4274.5382238620132</v>
      </c>
      <c r="G526" s="28">
        <f t="array" ref="G526">G$504*$L526</f>
        <v>6558.0476431634797</v>
      </c>
      <c r="H526" s="30">
        <f t="array" ref="H526">E526+D526</f>
        <v>4458.7901849928066</v>
      </c>
      <c r="I526" s="30">
        <f t="array" ref="I526">G526+F526</f>
        <v>10832.585867025493</v>
      </c>
      <c r="J526" s="30">
        <f t="array" ref="J526">D526+F526</f>
        <v>6310.4215367034858</v>
      </c>
      <c r="K526" s="30">
        <f t="array" ref="K526">E526+G526</f>
        <v>8980.9545153148138</v>
      </c>
      <c r="L526" s="12">
        <v>3.2906249197362701E-2</v>
      </c>
    </row>
    <row r="527" spans="1:12" ht="20.100000000000001" customHeight="1">
      <c r="A527" s="20" t="s">
        <v>623</v>
      </c>
      <c r="B527" s="21" t="s">
        <v>87</v>
      </c>
      <c r="C527" s="28">
        <f t="array" ref="C527">D527+E527+F527+G527</f>
        <v>16318.337039796268</v>
      </c>
      <c r="D527" s="28">
        <f t="array" ref="D527">D$504*$L527</f>
        <v>2172.6121939339232</v>
      </c>
      <c r="E527" s="28">
        <f t="array" ref="E527">E$504*$L527</f>
        <v>2585.6280573641025</v>
      </c>
      <c r="F527" s="28">
        <f t="array" ref="F527">F$504*$L527</f>
        <v>4561.614022778921</v>
      </c>
      <c r="G527" s="28">
        <f t="array" ref="G527">G$504*$L527</f>
        <v>6998.4827657193209</v>
      </c>
      <c r="H527" s="30">
        <f t="array" ref="H527">E527+D527</f>
        <v>4758.2402512980261</v>
      </c>
      <c r="I527" s="30">
        <f t="array" ref="I527">G527+F527</f>
        <v>11560.096788498242</v>
      </c>
      <c r="J527" s="30">
        <f t="array" ref="J527">D527+F527</f>
        <v>6734.2262167128447</v>
      </c>
      <c r="K527" s="30">
        <f t="array" ref="K527">E527+G527</f>
        <v>9584.1108230834234</v>
      </c>
      <c r="L527" s="12">
        <v>3.51162160482748E-2</v>
      </c>
    </row>
    <row r="528" spans="1:12" ht="20.100000000000001" customHeight="1">
      <c r="A528" s="20" t="s">
        <v>624</v>
      </c>
      <c r="B528" s="21" t="s">
        <v>89</v>
      </c>
      <c r="C528" s="28">
        <f t="array" ref="C528">D528+E528+F528+G528</f>
        <v>17240.992185507319</v>
      </c>
      <c r="D528" s="28">
        <f t="array" ref="D528">D$504*$L528</f>
        <v>2295.4538668004093</v>
      </c>
      <c r="E528" s="28">
        <f t="array" ref="E528">E$504*$L528</f>
        <v>2731.8220614592433</v>
      </c>
      <c r="F528" s="28">
        <f t="array" ref="F528">F$504*$L528</f>
        <v>4819.5322555375951</v>
      </c>
      <c r="G528" s="28">
        <f t="array" ref="G528">G$504*$L528</f>
        <v>7394.1840017100731</v>
      </c>
      <c r="H528" s="30">
        <f t="array" ref="H528">E528+D528</f>
        <v>5027.2759282596526</v>
      </c>
      <c r="I528" s="30">
        <f t="array" ref="I528">G528+F528</f>
        <v>12213.716257247668</v>
      </c>
      <c r="J528" s="30">
        <f t="array" ref="J528">D528+F528</f>
        <v>7114.9861223380049</v>
      </c>
      <c r="K528" s="30">
        <f t="array" ref="K528">E528+G528</f>
        <v>10126.006063169316</v>
      </c>
      <c r="L528" s="12">
        <v>3.7101722129919398E-2</v>
      </c>
    </row>
    <row r="529" spans="1:12" ht="20.100000000000001" customHeight="1">
      <c r="A529" s="20" t="s">
        <v>625</v>
      </c>
      <c r="B529" s="21" t="s">
        <v>91</v>
      </c>
      <c r="C529" s="28">
        <f t="array" ref="C529">D529+E529+F529+G529</f>
        <v>18034.563583686111</v>
      </c>
      <c r="D529" s="28">
        <f t="array" ref="D529">D$504*$L529</f>
        <v>2401.1094181127596</v>
      </c>
      <c r="E529" s="28">
        <f t="array" ref="E529">E$504*$L529</f>
        <v>2857.5628442147854</v>
      </c>
      <c r="F529" s="28">
        <f t="array" ref="F529">F$504*$L529</f>
        <v>5041.366527570367</v>
      </c>
      <c r="G529" s="28">
        <f t="array" ref="G529">G$504*$L529</f>
        <v>7734.5247937881959</v>
      </c>
      <c r="H529" s="30">
        <f t="array" ref="H529">E529+D529</f>
        <v>5258.6722623275455</v>
      </c>
      <c r="I529" s="30">
        <f t="array" ref="I529">G529+F529</f>
        <v>12775.891321358562</v>
      </c>
      <c r="J529" s="30">
        <f t="array" ref="J529">D529+F529</f>
        <v>7442.4759456831271</v>
      </c>
      <c r="K529" s="30">
        <f t="array" ref="K529">E529+G529</f>
        <v>10592.08763800298</v>
      </c>
      <c r="L529" s="12">
        <v>3.8809446673187302E-2</v>
      </c>
    </row>
    <row r="530" spans="1:12" ht="20.100000000000001" customHeight="1">
      <c r="A530" s="20" t="s">
        <v>626</v>
      </c>
      <c r="B530" s="21" t="s">
        <v>93</v>
      </c>
      <c r="C530" s="28">
        <f t="array" ref="C530">D530+E530+F530+G530</f>
        <v>18676.953856748849</v>
      </c>
      <c r="D530" s="28">
        <f t="array" ref="D530">D$504*$L530</f>
        <v>2486.6368181852663</v>
      </c>
      <c r="E530" s="28">
        <f t="array" ref="E530">E$504*$L530</f>
        <v>2959.3490930070552</v>
      </c>
      <c r="F530" s="28">
        <f t="array" ref="F530">F$504*$L530</f>
        <v>5220.9397567881142</v>
      </c>
      <c r="G530" s="28">
        <f t="array" ref="G530">G$504*$L530</f>
        <v>8010.028188768415</v>
      </c>
      <c r="H530" s="30">
        <f t="array" ref="H530">E530+D530</f>
        <v>5445.9859111923215</v>
      </c>
      <c r="I530" s="30">
        <f t="array" ref="I530">G530+F530</f>
        <v>13230.967945556529</v>
      </c>
      <c r="J530" s="30">
        <f t="array" ref="J530">D530+F530</f>
        <v>7707.57657497338</v>
      </c>
      <c r="K530" s="30">
        <f t="array" ref="K530">E530+G530</f>
        <v>10969.377281775471</v>
      </c>
      <c r="L530" s="12">
        <v>4.0191837266123798E-2</v>
      </c>
    </row>
    <row r="531" spans="1:12" ht="20.100000000000001" customHeight="1">
      <c r="A531" s="20" t="s">
        <v>627</v>
      </c>
      <c r="B531" s="21" t="s">
        <v>95</v>
      </c>
      <c r="C531" s="28">
        <f t="array" ref="C531">D531+E531+F531+G531</f>
        <v>19149.766395024897</v>
      </c>
      <c r="D531" s="28">
        <f t="array" ref="D531">D$504*$L531</f>
        <v>2549.5867550322755</v>
      </c>
      <c r="E531" s="28">
        <f t="array" ref="E531">E$504*$L531</f>
        <v>3034.2658790655041</v>
      </c>
      <c r="F531" s="28">
        <f t="array" ref="F531">F$504*$L531</f>
        <v>5353.1093706088031</v>
      </c>
      <c r="G531" s="28">
        <f t="array" ref="G531">G$504*$L531</f>
        <v>8212.8043903183152</v>
      </c>
      <c r="H531" s="30">
        <f t="array" ref="H531">E531+D531</f>
        <v>5583.8526340977796</v>
      </c>
      <c r="I531" s="30">
        <f t="array" ref="I531">G531+F531</f>
        <v>13565.913760927118</v>
      </c>
      <c r="J531" s="30">
        <f t="array" ref="J531">D531+F531</f>
        <v>7902.6961256410787</v>
      </c>
      <c r="K531" s="30">
        <f t="array" ref="K531">E531+G531</f>
        <v>11247.070269383819</v>
      </c>
      <c r="L531" s="12">
        <v>4.12093053576299E-2</v>
      </c>
    </row>
    <row r="532" spans="1:12" ht="20.100000000000001" customHeight="1">
      <c r="A532" s="20" t="s">
        <v>628</v>
      </c>
      <c r="B532" s="21" t="s">
        <v>97</v>
      </c>
      <c r="C532" s="28">
        <f t="array" ref="C532">D532+E532+F532+G532</f>
        <v>19439.180001167406</v>
      </c>
      <c r="D532" s="28">
        <f t="array" ref="D532">D$504*$L532</f>
        <v>2588.1190839247456</v>
      </c>
      <c r="E532" s="28">
        <f t="array" ref="E532">E$504*$L532</f>
        <v>3080.1232442124578</v>
      </c>
      <c r="F532" s="28">
        <f t="array" ref="F532">F$504*$L532</f>
        <v>5434.0118033103136</v>
      </c>
      <c r="G532" s="28">
        <f t="array" ref="G532">G$504*$L532</f>
        <v>8336.9258697198893</v>
      </c>
      <c r="H532" s="30">
        <f t="array" ref="H532">E532+D532</f>
        <v>5668.242328137203</v>
      </c>
      <c r="I532" s="30">
        <f t="array" ref="I532">G532+F532</f>
        <v>13770.937673030203</v>
      </c>
      <c r="J532" s="30">
        <f t="array" ref="J532">D532+F532</f>
        <v>8022.1308872350592</v>
      </c>
      <c r="K532" s="30">
        <f t="array" ref="K532">E532+G532</f>
        <v>11417.049113932348</v>
      </c>
      <c r="L532" s="12">
        <v>4.1832108446929098E-2</v>
      </c>
    </row>
    <row r="533" spans="1:12" ht="20.100000000000001" customHeight="1">
      <c r="A533" s="20" t="s">
        <v>629</v>
      </c>
      <c r="B533" s="21" t="s">
        <v>99</v>
      </c>
      <c r="C533" s="28">
        <f t="array" ref="C533">D533+E533+F533+G533</f>
        <v>19536.619949416054</v>
      </c>
      <c r="D533" s="28">
        <f t="array" ref="D533">D$504*$L533</f>
        <v>2601.0921717599231</v>
      </c>
      <c r="E533" s="28">
        <f t="array" ref="E533">E$504*$L533</f>
        <v>3095.5625296914491</v>
      </c>
      <c r="F533" s="28">
        <f t="array" ref="F533">F$504*$L533</f>
        <v>5461.25008336458</v>
      </c>
      <c r="G533" s="28">
        <f t="array" ref="G533">G$504*$L533</f>
        <v>8378.7151646001021</v>
      </c>
      <c r="H533" s="30">
        <f t="array" ref="H533">E533+D533</f>
        <v>5696.6547014513726</v>
      </c>
      <c r="I533" s="30">
        <f t="array" ref="I533">G533+F533</f>
        <v>13839.965247964683</v>
      </c>
      <c r="J533" s="30">
        <f t="array" ref="J533">D533+F533</f>
        <v>8062.342255124503</v>
      </c>
      <c r="K533" s="30">
        <f t="array" ref="K533">E533+G533</f>
        <v>11474.277694291552</v>
      </c>
      <c r="L533" s="12">
        <v>4.2041794168341001E-2</v>
      </c>
    </row>
    <row r="534" spans="1:12" ht="20.100000000000001" customHeight="1">
      <c r="A534" s="20" t="s">
        <v>630</v>
      </c>
      <c r="B534" s="21" t="s">
        <v>101</v>
      </c>
      <c r="C534" s="28">
        <f t="array" ref="C534">D534+E534+F534+G534</f>
        <v>19439.180001167406</v>
      </c>
      <c r="D534" s="28">
        <f t="array" ref="D534">D$504*$L534</f>
        <v>2588.1190839247456</v>
      </c>
      <c r="E534" s="28">
        <f t="array" ref="E534">E$504*$L534</f>
        <v>3080.1232442124578</v>
      </c>
      <c r="F534" s="28">
        <f t="array" ref="F534">F$504*$L534</f>
        <v>5434.0118033103136</v>
      </c>
      <c r="G534" s="28">
        <f t="array" ref="G534">G$504*$L534</f>
        <v>8336.9258697198893</v>
      </c>
      <c r="H534" s="30">
        <f t="array" ref="H534">E534+D534</f>
        <v>5668.242328137203</v>
      </c>
      <c r="I534" s="30">
        <f t="array" ref="I534">G534+F534</f>
        <v>13770.937673030203</v>
      </c>
      <c r="J534" s="30">
        <f t="array" ref="J534">D534+F534</f>
        <v>8022.1308872350592</v>
      </c>
      <c r="K534" s="30">
        <f t="array" ref="K534">E534+G534</f>
        <v>11417.049113932348</v>
      </c>
      <c r="L534" s="12">
        <v>4.1832108446929098E-2</v>
      </c>
    </row>
    <row r="535" spans="1:12" ht="20.100000000000001" customHeight="1">
      <c r="A535" s="20" t="s">
        <v>631</v>
      </c>
      <c r="B535" s="21" t="s">
        <v>103</v>
      </c>
      <c r="C535" s="28">
        <f t="array" ref="C535">D535+E535+F535+G535</f>
        <v>19149.766395024897</v>
      </c>
      <c r="D535" s="28">
        <f t="array" ref="D535">D$504*$L535</f>
        <v>2549.5867550322755</v>
      </c>
      <c r="E535" s="28">
        <f t="array" ref="E535">E$504*$L535</f>
        <v>3034.2658790655041</v>
      </c>
      <c r="F535" s="28">
        <f t="array" ref="F535">F$504*$L535</f>
        <v>5353.1093706088031</v>
      </c>
      <c r="G535" s="28">
        <f t="array" ref="G535">G$504*$L535</f>
        <v>8212.8043903183152</v>
      </c>
      <c r="H535" s="30">
        <f t="array" ref="H535">E535+D535</f>
        <v>5583.8526340977796</v>
      </c>
      <c r="I535" s="30">
        <f t="array" ref="I535">G535+F535</f>
        <v>13565.913760927118</v>
      </c>
      <c r="J535" s="30">
        <f t="array" ref="J535">D535+F535</f>
        <v>7902.6961256410787</v>
      </c>
      <c r="K535" s="30">
        <f t="array" ref="K535">E535+G535</f>
        <v>11247.070269383819</v>
      </c>
      <c r="L535" s="12">
        <v>4.12093053576299E-2</v>
      </c>
    </row>
    <row r="536" spans="1:12" ht="20.100000000000001" customHeight="1">
      <c r="A536" s="20" t="s">
        <v>632</v>
      </c>
      <c r="B536" s="21" t="s">
        <v>105</v>
      </c>
      <c r="C536" s="28">
        <f t="array" ref="C536">D536+E536+F536+G536</f>
        <v>18676.953856748849</v>
      </c>
      <c r="D536" s="28">
        <f t="array" ref="D536">D$504*$L536</f>
        <v>2486.6368181852663</v>
      </c>
      <c r="E536" s="28">
        <f t="array" ref="E536">E$504*$L536</f>
        <v>2959.3490930070552</v>
      </c>
      <c r="F536" s="28">
        <f t="array" ref="F536">F$504*$L536</f>
        <v>5220.9397567881142</v>
      </c>
      <c r="G536" s="28">
        <f t="array" ref="G536">G$504*$L536</f>
        <v>8010.028188768415</v>
      </c>
      <c r="H536" s="30">
        <f t="array" ref="H536">E536+D536</f>
        <v>5445.9859111923215</v>
      </c>
      <c r="I536" s="30">
        <f t="array" ref="I536">G536+F536</f>
        <v>13230.967945556529</v>
      </c>
      <c r="J536" s="30">
        <f t="array" ref="J536">D536+F536</f>
        <v>7707.57657497338</v>
      </c>
      <c r="K536" s="30">
        <f t="array" ref="K536">E536+G536</f>
        <v>10969.377281775471</v>
      </c>
      <c r="L536" s="12">
        <v>4.0191837266123798E-2</v>
      </c>
    </row>
    <row r="537" spans="1:12" ht="20.100000000000001" customHeight="1">
      <c r="A537" s="20" t="s">
        <v>633</v>
      </c>
      <c r="B537" s="21" t="s">
        <v>107</v>
      </c>
      <c r="C537" s="28">
        <f t="array" ref="C537">D537+E537+F537+G537</f>
        <v>18034.563583686111</v>
      </c>
      <c r="D537" s="28">
        <f t="array" ref="D537">D$504*$L537</f>
        <v>2401.1094181127596</v>
      </c>
      <c r="E537" s="28">
        <f t="array" ref="E537">E$504*$L537</f>
        <v>2857.5628442147854</v>
      </c>
      <c r="F537" s="28">
        <f t="array" ref="F537">F$504*$L537</f>
        <v>5041.366527570367</v>
      </c>
      <c r="G537" s="28">
        <f t="array" ref="G537">G$504*$L537</f>
        <v>7734.5247937881959</v>
      </c>
      <c r="H537" s="30">
        <f t="array" ref="H537">E537+D537</f>
        <v>5258.6722623275455</v>
      </c>
      <c r="I537" s="30">
        <f t="array" ref="I537">G537+F537</f>
        <v>12775.891321358562</v>
      </c>
      <c r="J537" s="30">
        <f t="array" ref="J537">D537+F537</f>
        <v>7442.4759456831271</v>
      </c>
      <c r="K537" s="30">
        <f t="array" ref="K537">E537+G537</f>
        <v>10592.08763800298</v>
      </c>
      <c r="L537" s="12">
        <v>3.8809446673187302E-2</v>
      </c>
    </row>
    <row r="538" spans="1:12" ht="20.100000000000001" customHeight="1">
      <c r="A538" s="20" t="s">
        <v>634</v>
      </c>
      <c r="B538" s="21" t="s">
        <v>109</v>
      </c>
      <c r="C538" s="28">
        <f t="array" ref="C538">D538+E538+F538+G538</f>
        <v>17240.992185507319</v>
      </c>
      <c r="D538" s="28">
        <f t="array" ref="D538">D$504*$L538</f>
        <v>2295.4538668004093</v>
      </c>
      <c r="E538" s="28">
        <f t="array" ref="E538">E$504*$L538</f>
        <v>2731.8220614592433</v>
      </c>
      <c r="F538" s="28">
        <f t="array" ref="F538">F$504*$L538</f>
        <v>4819.5322555375951</v>
      </c>
      <c r="G538" s="28">
        <f t="array" ref="G538">G$504*$L538</f>
        <v>7394.1840017100731</v>
      </c>
      <c r="H538" s="30">
        <f t="array" ref="H538">E538+D538</f>
        <v>5027.2759282596526</v>
      </c>
      <c r="I538" s="30">
        <f t="array" ref="I538">G538+F538</f>
        <v>12213.716257247668</v>
      </c>
      <c r="J538" s="30">
        <f t="array" ref="J538">D538+F538</f>
        <v>7114.9861223380049</v>
      </c>
      <c r="K538" s="30">
        <f t="array" ref="K538">E538+G538</f>
        <v>10126.006063169316</v>
      </c>
      <c r="L538" s="12">
        <v>3.7101722129919398E-2</v>
      </c>
    </row>
    <row r="539" spans="1:12" ht="20.100000000000001" customHeight="1">
      <c r="A539" s="20" t="s">
        <v>635</v>
      </c>
      <c r="B539" s="21" t="s">
        <v>111</v>
      </c>
      <c r="C539" s="28">
        <f t="array" ref="C539">D539+E539+F539+G539</f>
        <v>16318.337039796268</v>
      </c>
      <c r="D539" s="28">
        <f t="array" ref="D539">D$504*$L539</f>
        <v>2172.6121939339232</v>
      </c>
      <c r="E539" s="28">
        <f t="array" ref="E539">E$504*$L539</f>
        <v>2585.6280573641025</v>
      </c>
      <c r="F539" s="28">
        <f t="array" ref="F539">F$504*$L539</f>
        <v>4561.614022778921</v>
      </c>
      <c r="G539" s="28">
        <f t="array" ref="G539">G$504*$L539</f>
        <v>6998.4827657193209</v>
      </c>
      <c r="H539" s="30">
        <f t="array" ref="H539">E539+D539</f>
        <v>4758.2402512980261</v>
      </c>
      <c r="I539" s="30">
        <f t="array" ref="I539">G539+F539</f>
        <v>11560.096788498242</v>
      </c>
      <c r="J539" s="30">
        <f t="array" ref="J539">D539+F539</f>
        <v>6734.2262167128447</v>
      </c>
      <c r="K539" s="30">
        <f t="array" ref="K539">E539+G539</f>
        <v>9584.1108230834234</v>
      </c>
      <c r="L539" s="12">
        <v>3.51162160482748E-2</v>
      </c>
    </row>
    <row r="540" spans="1:12" ht="20.100000000000001" customHeight="1">
      <c r="A540" s="20" t="s">
        <v>636</v>
      </c>
      <c r="B540" s="21" t="s">
        <v>113</v>
      </c>
      <c r="C540" s="28">
        <f t="array" ref="C540">D540+E540+F540+G540</f>
        <v>15291.3760520183</v>
      </c>
      <c r="D540" s="28">
        <f t="array" ref="D540">D$504*$L540</f>
        <v>2035.8833128414724</v>
      </c>
      <c r="E540" s="28">
        <f t="array" ref="E540">E$504*$L540</f>
        <v>2422.9068721513345</v>
      </c>
      <c r="F540" s="28">
        <f t="array" ref="F540">F$504*$L540</f>
        <v>4274.5382238620132</v>
      </c>
      <c r="G540" s="28">
        <f t="array" ref="G540">G$504*$L540</f>
        <v>6558.0476431634797</v>
      </c>
      <c r="H540" s="30">
        <f t="array" ref="H540">E540+D540</f>
        <v>4458.7901849928066</v>
      </c>
      <c r="I540" s="30">
        <f t="array" ref="I540">G540+F540</f>
        <v>10832.585867025493</v>
      </c>
      <c r="J540" s="30">
        <f t="array" ref="J540">D540+F540</f>
        <v>6310.4215367034858</v>
      </c>
      <c r="K540" s="30">
        <f t="array" ref="K540">E540+G540</f>
        <v>8980.9545153148138</v>
      </c>
      <c r="L540" s="12">
        <v>3.2906249197362701E-2</v>
      </c>
    </row>
    <row r="541" spans="1:12" ht="20.100000000000001" customHeight="1">
      <c r="A541" s="20" t="s">
        <v>637</v>
      </c>
      <c r="B541" s="21" t="s">
        <v>115</v>
      </c>
      <c r="C541" s="28">
        <f t="array" ref="C541">D541+E541+F541+G541</f>
        <v>14186.467416610009</v>
      </c>
      <c r="D541" s="28">
        <f t="array" ref="D541">D$504*$L541</f>
        <v>1888.77653544028</v>
      </c>
      <c r="E541" s="28">
        <f t="array" ref="E541">E$504*$L541</f>
        <v>2247.8349416250589</v>
      </c>
      <c r="F541" s="28">
        <f t="array" ref="F541">F$504*$L541</f>
        <v>3965.6730059861789</v>
      </c>
      <c r="G541" s="28">
        <f t="array" ref="G541">G$504*$L541</f>
        <v>6084.1829335584926</v>
      </c>
      <c r="H541" s="30">
        <f t="array" ref="H541">E541+D541</f>
        <v>4136.6114770653385</v>
      </c>
      <c r="I541" s="30">
        <f t="array" ref="I541">G541+F541</f>
        <v>10049.855939544672</v>
      </c>
      <c r="J541" s="30">
        <f t="array" ref="J541">D541+F541</f>
        <v>5854.4495414264584</v>
      </c>
      <c r="K541" s="30">
        <f t="array" ref="K541">E541+G541</f>
        <v>8332.017875183552</v>
      </c>
      <c r="L541" s="12">
        <v>3.05285430463022E-2</v>
      </c>
    </row>
    <row r="542" spans="1:12" ht="20.100000000000001" customHeight="1">
      <c r="A542" s="20" t="s">
        <v>638</v>
      </c>
      <c r="B542" s="21" t="s">
        <v>117</v>
      </c>
      <c r="C542" s="28">
        <f t="array" ref="C542">D542+E542+F542+G542</f>
        <v>13030.437190290313</v>
      </c>
      <c r="D542" s="28">
        <f t="array" ref="D542">D$504*$L542</f>
        <v>1734.8634645107361</v>
      </c>
      <c r="E542" s="28">
        <f t="array" ref="E542">E$504*$L542</f>
        <v>2064.6628340111756</v>
      </c>
      <c r="F542" s="28">
        <f t="array" ref="F542">F$504*$L542</f>
        <v>3642.5173021742139</v>
      </c>
      <c r="G542" s="28">
        <f t="array" ref="G542">G$504*$L542</f>
        <v>5588.3935895941877</v>
      </c>
      <c r="H542" s="30">
        <f t="array" ref="H542">E542+D542</f>
        <v>3799.5262985219115</v>
      </c>
      <c r="I542" s="30">
        <f t="array" ref="I542">G542+F542</f>
        <v>9230.9108917684025</v>
      </c>
      <c r="J542" s="30">
        <f t="array" ref="J542">D542+F542</f>
        <v>5377.3807666849498</v>
      </c>
      <c r="K542" s="30">
        <f t="array" ref="K542">E542+G542</f>
        <v>7653.0564236053633</v>
      </c>
      <c r="L542" s="12">
        <v>2.8040825879609502E-2</v>
      </c>
    </row>
    <row r="543" spans="1:12" ht="20.100000000000001" customHeight="1">
      <c r="A543" s="20" t="s">
        <v>639</v>
      </c>
      <c r="B543" s="21" t="s">
        <v>119</v>
      </c>
      <c r="C543" s="28">
        <f t="array" ref="C543">D543+E543+F543+G543</f>
        <v>11849.519379899193</v>
      </c>
      <c r="D543" s="28">
        <f t="array" ref="D543">D$504*$L543</f>
        <v>1577.6368777186833</v>
      </c>
      <c r="E543" s="28">
        <f t="array" ref="E543">E$504*$L543</f>
        <v>1877.5473076838441</v>
      </c>
      <c r="F543" s="28">
        <f t="array" ref="F543">F$504*$L543</f>
        <v>3312.4045443305527</v>
      </c>
      <c r="G543" s="28">
        <f t="array" ref="G543">G$504*$L543</f>
        <v>5081.9306501661122</v>
      </c>
      <c r="H543" s="30">
        <f t="array" ref="H543">E543+D543</f>
        <v>3455.1841854025274</v>
      </c>
      <c r="I543" s="30">
        <f t="array" ref="I543">G543+F543</f>
        <v>8394.3351944966653</v>
      </c>
      <c r="J543" s="30">
        <f t="array" ref="J543">D543+F543</f>
        <v>4890.0414220492357</v>
      </c>
      <c r="K543" s="30">
        <f t="array" ref="K543">E543+G543</f>
        <v>6959.4779578499565</v>
      </c>
      <c r="L543" s="12">
        <v>2.5499551921128499E-2</v>
      </c>
    </row>
    <row r="544" spans="1:12" ht="20.100000000000001" customHeight="1">
      <c r="A544" s="20" t="s">
        <v>640</v>
      </c>
      <c r="B544" s="21" t="s">
        <v>121</v>
      </c>
      <c r="C544" s="28">
        <f t="array" ref="C544">D544+E544+F544+G544</f>
        <v>10668.405390257729</v>
      </c>
      <c r="D544" s="28">
        <f t="array" ref="D544">D$504*$L544</f>
        <v>1420.3841717558807</v>
      </c>
      <c r="E544" s="28">
        <f t="array" ref="E544">E$504*$L544</f>
        <v>1690.4006969039292</v>
      </c>
      <c r="F544" s="28">
        <f t="array" ref="F544">F$504*$L544</f>
        <v>2982.2369467065164</v>
      </c>
      <c r="G544" s="28">
        <f t="array" ref="G544">G$504*$L544</f>
        <v>4575.3835748914016</v>
      </c>
      <c r="H544" s="30">
        <f t="array" ref="H544">E544+D544</f>
        <v>3110.7848686598099</v>
      </c>
      <c r="I544" s="30">
        <f t="array" ref="I544">G544+F544</f>
        <v>7557.620521597918</v>
      </c>
      <c r="J544" s="30">
        <f t="array" ref="J544">D544+F544</f>
        <v>4402.6211184623971</v>
      </c>
      <c r="K544" s="30">
        <f t="array" ref="K544">E544+G544</f>
        <v>6265.7842717953308</v>
      </c>
      <c r="L544" s="12">
        <v>2.2957855795062501E-2</v>
      </c>
    </row>
    <row r="545" spans="1:12" ht="20.100000000000001" customHeight="1">
      <c r="A545" s="20" t="s">
        <v>641</v>
      </c>
      <c r="B545" s="21" t="s">
        <v>123</v>
      </c>
      <c r="C545" s="28">
        <f t="array" ref="C545">D545+E545+F545+G545</f>
        <v>9509.4480638142013</v>
      </c>
      <c r="D545" s="28">
        <f t="array" ref="D545">D$504*$L545</f>
        <v>1266.0813887247675</v>
      </c>
      <c r="E545" s="28">
        <f t="array" ref="E545">E$504*$L545</f>
        <v>1506.7647925080312</v>
      </c>
      <c r="F545" s="28">
        <f t="array" ref="F545">F$504*$L545</f>
        <v>2658.263003821638</v>
      </c>
      <c r="G545" s="28">
        <f t="array" ref="G545">G$504*$L545</f>
        <v>4078.3388787597655</v>
      </c>
      <c r="H545" s="30">
        <f t="array" ref="H545">E545+D545</f>
        <v>2772.8461812327987</v>
      </c>
      <c r="I545" s="30">
        <f t="array" ref="I545">G545+F545</f>
        <v>6736.6018825814035</v>
      </c>
      <c r="J545" s="30">
        <f t="array" ref="J545">D545+F545</f>
        <v>3924.3443925464053</v>
      </c>
      <c r="K545" s="30">
        <f t="array" ref="K545">E545+G545</f>
        <v>5585.1036712677969</v>
      </c>
      <c r="L545" s="12">
        <v>2.0463839660521999E-2</v>
      </c>
    </row>
    <row r="546" spans="1:12" ht="20.100000000000001" customHeight="1">
      <c r="A546" s="20" t="s">
        <v>642</v>
      </c>
      <c r="B546" s="21" t="s">
        <v>125</v>
      </c>
      <c r="C546" s="28">
        <f t="array" ref="C546">D546+E546+F546+G546</f>
        <v>8392.0514490843871</v>
      </c>
      <c r="D546" s="28">
        <f t="array" ref="D546">D$504*$L546</f>
        <v>1117.3119703274142</v>
      </c>
      <c r="E546" s="28">
        <f t="array" ref="E546">E$504*$L546</f>
        <v>1329.7141511832981</v>
      </c>
      <c r="F546" s="28">
        <f t="array" ref="F546">F$504*$L546</f>
        <v>2345.9069068537538</v>
      </c>
      <c r="G546" s="28">
        <f t="array" ref="G546">G$504*$L546</f>
        <v>3599.1184207199212</v>
      </c>
      <c r="H546" s="30">
        <f t="array" ref="H546">E546+D546</f>
        <v>2447.0261215107121</v>
      </c>
      <c r="I546" s="30">
        <f t="array" ref="I546">G546+F546</f>
        <v>5945.025327573675</v>
      </c>
      <c r="J546" s="30">
        <f t="array" ref="J546">D546+F546</f>
        <v>3463.218877181168</v>
      </c>
      <c r="K546" s="30">
        <f t="array" ref="K546">E546+G546</f>
        <v>4928.8325719032191</v>
      </c>
      <c r="L546" s="12">
        <v>1.80592600248171E-2</v>
      </c>
    </row>
    <row r="547" spans="1:12" ht="20.100000000000001" customHeight="1">
      <c r="A547" s="20" t="s">
        <v>643</v>
      </c>
      <c r="B547" s="21" t="s">
        <v>127</v>
      </c>
      <c r="C547" s="28">
        <f t="array" ref="C547">D547+E547+F547+G547</f>
        <v>7332.2622656684471</v>
      </c>
      <c r="D547" s="28">
        <f t="array" ref="D547">D$504*$L547</f>
        <v>976.212365798257</v>
      </c>
      <c r="E547" s="28">
        <f t="array" ref="E547">E$504*$L547</f>
        <v>1161.7913634109566</v>
      </c>
      <c r="F547" s="28">
        <f t="array" ref="F547">F$504*$L547</f>
        <v>2049.6543421181541</v>
      </c>
      <c r="G547" s="28">
        <f t="array" ref="G547">G$504*$L547</f>
        <v>3144.6041943410787</v>
      </c>
      <c r="H547" s="30">
        <f t="array" ref="H547">E547+D547</f>
        <v>2138.0037292092138</v>
      </c>
      <c r="I547" s="30">
        <f t="array" ref="I547">G547+F547</f>
        <v>5194.2585364592323</v>
      </c>
      <c r="J547" s="30">
        <f t="array" ref="J547">D547+F547</f>
        <v>3025.8667079164111</v>
      </c>
      <c r="K547" s="30">
        <f t="array" ref="K547">E547+G547</f>
        <v>4306.3955577520355</v>
      </c>
      <c r="L547" s="12">
        <v>1.5778648597335299E-2</v>
      </c>
    </row>
    <row r="548" spans="1:12" ht="20.100000000000001" customHeight="1">
      <c r="A548" s="20" t="s">
        <v>644</v>
      </c>
      <c r="B548" s="21" t="s">
        <v>129</v>
      </c>
      <c r="C548" s="28">
        <f t="array" ref="C548">D548+E548+F548+G548</f>
        <v>6342.5641708079929</v>
      </c>
      <c r="D548" s="28">
        <f t="array" ref="D548">D$504*$L548</f>
        <v>844.44464069470462</v>
      </c>
      <c r="E548" s="28">
        <f t="array" ref="E548">E$504*$L548</f>
        <v>1004.9744551591991</v>
      </c>
      <c r="F548" s="28">
        <f t="array" ref="F548">F$504*$L548</f>
        <v>1772.9949805163551</v>
      </c>
      <c r="G548" s="28">
        <f t="array" ref="G548">G$504*$L548</f>
        <v>2720.1500944377344</v>
      </c>
      <c r="H548" s="30">
        <f t="array" ref="H548">E548+D548</f>
        <v>1849.4190958539039</v>
      </c>
      <c r="I548" s="30">
        <f t="array" ref="I548">G548+F548</f>
        <v>4493.1450749540891</v>
      </c>
      <c r="J548" s="30">
        <f t="array" ref="J548">D548+F548</f>
        <v>2617.4396212110596</v>
      </c>
      <c r="K548" s="30">
        <f t="array" ref="K548">E548+G548</f>
        <v>3725.1245495969333</v>
      </c>
      <c r="L548" s="12">
        <v>1.36488695618289E-2</v>
      </c>
    </row>
    <row r="549" spans="1:12" ht="20.100000000000001" customHeight="1">
      <c r="A549" s="20" t="s">
        <v>645</v>
      </c>
      <c r="B549" s="21" t="s">
        <v>131</v>
      </c>
      <c r="C549" s="28">
        <f t="array" ref="C549">D549+E549+F549+G549</f>
        <v>5431.8625917530189</v>
      </c>
      <c r="D549" s="28">
        <f t="array" ref="D549">D$504*$L549</f>
        <v>723.19445748887836</v>
      </c>
      <c r="E549" s="28">
        <f t="array" ref="E549">E$504*$L549</f>
        <v>860.67448458329216</v>
      </c>
      <c r="F549" s="28">
        <f t="array" ref="F549">F$504*$L549</f>
        <v>1518.418237588882</v>
      </c>
      <c r="G549" s="28">
        <f t="array" ref="G549">G$504*$L549</f>
        <v>2329.575412091966</v>
      </c>
      <c r="H549" s="30">
        <f t="array" ref="H549">E549+D549</f>
        <v>1583.8689420721705</v>
      </c>
      <c r="I549" s="30">
        <f t="array" ref="I549">G549+F549</f>
        <v>3847.9936496808477</v>
      </c>
      <c r="J549" s="30">
        <f t="array" ref="J549">D549+F549</f>
        <v>2241.6126950777602</v>
      </c>
      <c r="K549" s="30">
        <f t="array" ref="K549">E549+G549</f>
        <v>3190.2498966752582</v>
      </c>
      <c r="L549" s="12">
        <v>1.1689086936454301E-2</v>
      </c>
    </row>
    <row r="550" spans="1:12" ht="20.100000000000001" customHeight="1">
      <c r="A550" s="20" t="s">
        <v>646</v>
      </c>
      <c r="B550" s="21" t="s">
        <v>133</v>
      </c>
      <c r="C550" s="28">
        <f t="array" ref="C550">D550+E550+F550+G550</f>
        <v>4605.6370129478382</v>
      </c>
      <c r="D550" s="28">
        <f t="array" ref="D550">D$504*$L550</f>
        <v>613.19135097903393</v>
      </c>
      <c r="E550" s="28">
        <f t="array" ref="E550">E$504*$L550</f>
        <v>729.7596718140345</v>
      </c>
      <c r="F550" s="28">
        <f t="array" ref="F550">F$504*$L550</f>
        <v>1287.4558437453854</v>
      </c>
      <c r="G550" s="28">
        <f t="array" ref="G550">G$504*$L550</f>
        <v>1975.2301464093841</v>
      </c>
      <c r="H550" s="30">
        <f t="array" ref="H550">E550+D550</f>
        <v>1342.9510227930684</v>
      </c>
      <c r="I550" s="30">
        <f t="array" ref="I550">G550+F550</f>
        <v>3262.6859901547696</v>
      </c>
      <c r="J550" s="30">
        <f t="array" ref="J550">D550+F550</f>
        <v>1900.6471947244195</v>
      </c>
      <c r="K550" s="30">
        <f t="array" ref="K550">E550+G550</f>
        <v>2704.9898182234188</v>
      </c>
      <c r="L550" s="12">
        <v>9.9110922879079404E-3</v>
      </c>
    </row>
    <row r="551" spans="1:12" ht="20.100000000000001" customHeight="1">
      <c r="A551" s="20" t="s">
        <v>647</v>
      </c>
      <c r="B551" s="21" t="s">
        <v>135</v>
      </c>
      <c r="C551" s="28">
        <f t="array" ref="C551">D551+E551+F551+G551</f>
        <v>3866.2298026835383</v>
      </c>
      <c r="D551" s="28">
        <f t="array" ref="D551">D$504*$L551</f>
        <v>514.74718247184035</v>
      </c>
      <c r="E551" s="28">
        <f t="array" ref="E551">E$504*$L551</f>
        <v>612.60116332053906</v>
      </c>
      <c r="F551" s="28">
        <f t="array" ref="F551">F$504*$L551</f>
        <v>1080.7625826208082</v>
      </c>
      <c r="G551" s="28">
        <f t="array" ref="G551">G$504*$L551</f>
        <v>1658.1188742703507</v>
      </c>
      <c r="H551" s="30">
        <f t="array" ref="H551">E551+D551</f>
        <v>1127.3483457923794</v>
      </c>
      <c r="I551" s="30">
        <f t="array" ref="I551">G551+F551</f>
        <v>2738.8814568911589</v>
      </c>
      <c r="J551" s="30">
        <f t="array" ref="J551">D551+F551</f>
        <v>1595.5097650926486</v>
      </c>
      <c r="K551" s="30">
        <f t="array" ref="K551">E551+G551</f>
        <v>2270.7200375908897</v>
      </c>
      <c r="L551" s="12">
        <v>8.3199262714216508E-3</v>
      </c>
    </row>
    <row r="552" spans="1:12" ht="20.100000000000001" customHeight="1">
      <c r="A552" s="20" t="s">
        <v>648</v>
      </c>
      <c r="B552" s="21" t="s">
        <v>137</v>
      </c>
      <c r="C552" s="28">
        <f t="array" ref="C552">D552+E552+F552+G552</f>
        <v>3213.2361775262084</v>
      </c>
      <c r="D552" s="28">
        <f t="array" ref="D552">D$504*$L552</f>
        <v>427.80805937871639</v>
      </c>
      <c r="E552" s="28">
        <f t="array" ref="E552">E$504*$L552</f>
        <v>509.13482147644578</v>
      </c>
      <c r="F552" s="28">
        <f t="array" ref="F552">F$504*$L552</f>
        <v>898.22530139916068</v>
      </c>
      <c r="G552" s="28">
        <f t="array" ref="G552">G$504*$L552</f>
        <v>1378.0679952718856</v>
      </c>
      <c r="H552" s="30">
        <f t="array" ref="H552">E552+D552</f>
        <v>936.94288085516223</v>
      </c>
      <c r="I552" s="30">
        <f t="array" ref="I552">G552+F552</f>
        <v>2276.2932966710464</v>
      </c>
      <c r="J552" s="30">
        <f t="array" ref="J552">D552+F552</f>
        <v>1326.0333607778771</v>
      </c>
      <c r="K552" s="30">
        <f t="array" ref="K552">E552+G552</f>
        <v>1887.2028167483313</v>
      </c>
      <c r="L552" s="12">
        <v>6.9147178140127304E-3</v>
      </c>
    </row>
    <row r="553" spans="1:12" ht="20.100000000000001" customHeight="1">
      <c r="A553" s="20" t="s">
        <v>649</v>
      </c>
      <c r="B553" s="21" t="s">
        <v>139</v>
      </c>
      <c r="C553" s="28">
        <f t="array" ref="C553">D553+E553+F553+G553</f>
        <v>0</v>
      </c>
      <c r="D553" s="28">
        <f t="array" ref="D553">D$504*$L553</f>
        <v>0</v>
      </c>
      <c r="E553" s="28">
        <f t="array" ref="E553">E$504*$L553</f>
        <v>0</v>
      </c>
      <c r="F553" s="28">
        <f t="array" ref="F553">F$504*$L553</f>
        <v>0</v>
      </c>
      <c r="G553" s="28">
        <f t="array" ref="G553">G$504*$L553</f>
        <v>0</v>
      </c>
      <c r="H553" s="30">
        <f t="array" ref="H553">E553+D553</f>
        <v>0</v>
      </c>
      <c r="I553" s="30">
        <f t="array" ref="I553">G553+F553</f>
        <v>0</v>
      </c>
      <c r="J553" s="30">
        <f t="array" ref="J553">D553+F553</f>
        <v>0</v>
      </c>
      <c r="K553" s="30">
        <f t="array" ref="K553">E553+G553</f>
        <v>0</v>
      </c>
      <c r="L553" s="12"/>
    </row>
    <row r="554" spans="1:12" ht="20.100000000000001" customHeight="1">
      <c r="A554" s="20" t="s">
        <v>650</v>
      </c>
      <c r="B554" s="21" t="s">
        <v>141</v>
      </c>
      <c r="C554" s="28">
        <f t="array" ref="C554">D554+E554+F554+G554</f>
        <v>0</v>
      </c>
      <c r="D554" s="28">
        <f t="array" ref="D554">D$504*$L554</f>
        <v>0</v>
      </c>
      <c r="E554" s="28">
        <f t="array" ref="E554">E$504*$L554</f>
        <v>0</v>
      </c>
      <c r="F554" s="28">
        <f t="array" ref="F554">F$504*$L554</f>
        <v>0</v>
      </c>
      <c r="G554" s="28">
        <f t="array" ref="G554">G$504*$L554</f>
        <v>0</v>
      </c>
      <c r="H554" s="30">
        <f t="array" ref="H554">E554+D554</f>
        <v>0</v>
      </c>
      <c r="I554" s="30">
        <f t="array" ref="I554">G554+F554</f>
        <v>0</v>
      </c>
      <c r="J554" s="30">
        <f t="array" ref="J554">D554+F554</f>
        <v>0</v>
      </c>
      <c r="K554" s="30">
        <f t="array" ref="K554">E554+G554</f>
        <v>0</v>
      </c>
      <c r="L554" s="12"/>
    </row>
    <row r="555" spans="1:12" ht="20.100000000000001" customHeight="1">
      <c r="A555" s="20" t="s">
        <v>651</v>
      </c>
      <c r="B555" s="21" t="s">
        <v>143</v>
      </c>
      <c r="C555" s="28">
        <f t="array" ref="C555">D555+E555+F555+G555</f>
        <v>0</v>
      </c>
      <c r="D555" s="28">
        <f t="array" ref="D555">D$504*$L555</f>
        <v>0</v>
      </c>
      <c r="E555" s="28">
        <f t="array" ref="E555">E$504*$L555</f>
        <v>0</v>
      </c>
      <c r="F555" s="28">
        <f t="array" ref="F555">F$504*$L555</f>
        <v>0</v>
      </c>
      <c r="G555" s="28">
        <f t="array" ref="G555">G$504*$L555</f>
        <v>0</v>
      </c>
      <c r="H555" s="30">
        <f t="array" ref="H555">E555+D555</f>
        <v>0</v>
      </c>
      <c r="I555" s="30">
        <f t="array" ref="I555">G555+F555</f>
        <v>0</v>
      </c>
      <c r="J555" s="30">
        <f t="array" ref="J555">D555+F555</f>
        <v>0</v>
      </c>
      <c r="K555" s="30">
        <f t="array" ref="K555">E555+G555</f>
        <v>0</v>
      </c>
      <c r="L555" s="12"/>
    </row>
    <row r="556" spans="1:12" ht="20.100000000000001" customHeight="1">
      <c r="A556" s="20" t="s">
        <v>652</v>
      </c>
      <c r="B556" s="21" t="s">
        <v>145</v>
      </c>
      <c r="C556" s="28">
        <f t="array" ref="C556">D556+E556+F556+G556</f>
        <v>0</v>
      </c>
      <c r="D556" s="28">
        <f t="array" ref="D556">D$504*$L556</f>
        <v>0</v>
      </c>
      <c r="E556" s="28">
        <f t="array" ref="E556">E$504*$L556</f>
        <v>0</v>
      </c>
      <c r="F556" s="28">
        <f t="array" ref="F556">F$504*$L556</f>
        <v>0</v>
      </c>
      <c r="G556" s="28">
        <f t="array" ref="G556">G$504*$L556</f>
        <v>0</v>
      </c>
      <c r="H556" s="30">
        <f t="array" ref="H556">E556+D556</f>
        <v>0</v>
      </c>
      <c r="I556" s="30">
        <f t="array" ref="I556">G556+F556</f>
        <v>0</v>
      </c>
      <c r="J556" s="30">
        <f t="array" ref="J556">D556+F556</f>
        <v>0</v>
      </c>
      <c r="K556" s="30">
        <f t="array" ref="K556">E556+G556</f>
        <v>0</v>
      </c>
      <c r="L556" s="12"/>
    </row>
    <row r="557" spans="1:12" ht="20.100000000000001" customHeight="1">
      <c r="A557" s="20" t="s">
        <v>653</v>
      </c>
      <c r="B557" s="21" t="s">
        <v>147</v>
      </c>
      <c r="C557" s="28">
        <f t="array" ref="C557">D557+E557+F557+G557</f>
        <v>0</v>
      </c>
      <c r="D557" s="28">
        <f t="array" ref="D557">D$504*$L557</f>
        <v>0</v>
      </c>
      <c r="E557" s="28">
        <f t="array" ref="E557">E$504*$L557</f>
        <v>0</v>
      </c>
      <c r="F557" s="28">
        <f t="array" ref="F557">F$504*$L557</f>
        <v>0</v>
      </c>
      <c r="G557" s="28">
        <f t="array" ref="G557">G$504*$L557</f>
        <v>0</v>
      </c>
      <c r="H557" s="30">
        <f t="array" ref="H557">E557+D557</f>
        <v>0</v>
      </c>
      <c r="I557" s="30">
        <f t="array" ref="I557">G557+F557</f>
        <v>0</v>
      </c>
      <c r="J557" s="30">
        <f t="array" ref="J557">D557+F557</f>
        <v>0</v>
      </c>
      <c r="K557" s="30">
        <f t="array" ref="K557">E557+G557</f>
        <v>0</v>
      </c>
      <c r="L557" s="12"/>
    </row>
    <row r="558" spans="1:12" ht="20.100000000000001" customHeight="1">
      <c r="A558" s="20" t="s">
        <v>654</v>
      </c>
      <c r="B558" s="21" t="s">
        <v>149</v>
      </c>
      <c r="C558" s="28">
        <f t="array" ref="C558">D558+E558+F558+G558</f>
        <v>0</v>
      </c>
      <c r="D558" s="28">
        <f t="array" ref="D558">D$504*$L558</f>
        <v>0</v>
      </c>
      <c r="E558" s="28">
        <f t="array" ref="E558">E$504*$L558</f>
        <v>0</v>
      </c>
      <c r="F558" s="28">
        <f t="array" ref="F558">F$504*$L558</f>
        <v>0</v>
      </c>
      <c r="G558" s="28">
        <f t="array" ref="G558">G$504*$L558</f>
        <v>0</v>
      </c>
      <c r="H558" s="30">
        <f t="array" ref="H558">E558+D558</f>
        <v>0</v>
      </c>
      <c r="I558" s="30">
        <f t="array" ref="I558">G558+F558</f>
        <v>0</v>
      </c>
      <c r="J558" s="30">
        <f t="array" ref="J558">D558+F558</f>
        <v>0</v>
      </c>
      <c r="K558" s="30">
        <f t="array" ref="K558">E558+G558</f>
        <v>0</v>
      </c>
      <c r="L558" s="12"/>
    </row>
    <row r="559" spans="1:12" ht="20.100000000000001" customHeight="1">
      <c r="A559" s="20" t="s">
        <v>655</v>
      </c>
      <c r="B559" s="21" t="s">
        <v>151</v>
      </c>
      <c r="C559" s="28">
        <f t="array" ref="C559">D559+E559+F559+G559</f>
        <v>0</v>
      </c>
      <c r="D559" s="28">
        <f t="array" ref="D559">D$504*$L559</f>
        <v>0</v>
      </c>
      <c r="E559" s="28">
        <f t="array" ref="E559">E$504*$L559</f>
        <v>0</v>
      </c>
      <c r="F559" s="28">
        <f t="array" ref="F559">F$504*$L559</f>
        <v>0</v>
      </c>
      <c r="G559" s="28">
        <f t="array" ref="G559">G$504*$L559</f>
        <v>0</v>
      </c>
      <c r="H559" s="30">
        <f t="array" ref="H559">E559+D559</f>
        <v>0</v>
      </c>
      <c r="I559" s="30">
        <f t="array" ref="I559">G559+F559</f>
        <v>0</v>
      </c>
      <c r="J559" s="30">
        <f t="array" ref="J559">D559+F559</f>
        <v>0</v>
      </c>
      <c r="K559" s="30">
        <f t="array" ref="K559">E559+G559</f>
        <v>0</v>
      </c>
      <c r="L559" s="12"/>
    </row>
    <row r="560" spans="1:12" ht="20.100000000000001" customHeight="1">
      <c r="A560" s="20" t="s">
        <v>656</v>
      </c>
      <c r="B560" s="21" t="s">
        <v>153</v>
      </c>
      <c r="C560" s="28">
        <f t="array" ref="C560">D560+E560+F560+G560</f>
        <v>0</v>
      </c>
      <c r="D560" s="28">
        <f t="array" ref="D560">D$504*$L560</f>
        <v>0</v>
      </c>
      <c r="E560" s="28">
        <f t="array" ref="E560">E$504*$L560</f>
        <v>0</v>
      </c>
      <c r="F560" s="28">
        <f t="array" ref="F560">F$504*$L560</f>
        <v>0</v>
      </c>
      <c r="G560" s="28">
        <f t="array" ref="G560">G$504*$L560</f>
        <v>0</v>
      </c>
      <c r="H560" s="30">
        <f t="array" ref="H560">E560+D560</f>
        <v>0</v>
      </c>
      <c r="I560" s="30">
        <f t="array" ref="I560">G560+F560</f>
        <v>0</v>
      </c>
      <c r="J560" s="30">
        <f t="array" ref="J560">D560+F560</f>
        <v>0</v>
      </c>
      <c r="K560" s="30">
        <f t="array" ref="K560">E560+G560</f>
        <v>0</v>
      </c>
      <c r="L560" s="12"/>
    </row>
    <row r="561" spans="1:12" ht="20.100000000000001" customHeight="1">
      <c r="A561" s="20" t="s">
        <v>657</v>
      </c>
      <c r="B561" s="21" t="s">
        <v>155</v>
      </c>
      <c r="C561" s="28">
        <f t="array" ref="C561">D561+E561+F561+G561</f>
        <v>0</v>
      </c>
      <c r="D561" s="28">
        <f t="array" ref="D561">D$504*$L561</f>
        <v>0</v>
      </c>
      <c r="E561" s="28">
        <f t="array" ref="E561">E$504*$L561</f>
        <v>0</v>
      </c>
      <c r="F561" s="28">
        <f t="array" ref="F561">F$504*$L561</f>
        <v>0</v>
      </c>
      <c r="G561" s="28">
        <f t="array" ref="G561">G$504*$L561</f>
        <v>0</v>
      </c>
      <c r="H561" s="30">
        <f t="array" ref="H561">E561+D561</f>
        <v>0</v>
      </c>
      <c r="I561" s="30">
        <f t="array" ref="I561">G561+F561</f>
        <v>0</v>
      </c>
      <c r="J561" s="30">
        <f t="array" ref="J561">D561+F561</f>
        <v>0</v>
      </c>
      <c r="K561" s="30">
        <f t="array" ref="K561">E561+G561</f>
        <v>0</v>
      </c>
      <c r="L561" s="12"/>
    </row>
    <row r="562" spans="1:12" ht="20.100000000000001" customHeight="1">
      <c r="A562" s="20" t="s">
        <v>658</v>
      </c>
      <c r="B562" s="21" t="s">
        <v>157</v>
      </c>
      <c r="C562" s="28">
        <f t="array" ref="C562">D562+E562+F562+G562</f>
        <v>0</v>
      </c>
      <c r="D562" s="28">
        <f t="array" ref="D562">D$504*$L562</f>
        <v>0</v>
      </c>
      <c r="E562" s="28">
        <f t="array" ref="E562">E$504*$L562</f>
        <v>0</v>
      </c>
      <c r="F562" s="28">
        <f t="array" ref="F562">F$504*$L562</f>
        <v>0</v>
      </c>
      <c r="G562" s="28">
        <f t="array" ref="G562">G$504*$L562</f>
        <v>0</v>
      </c>
      <c r="H562" s="30">
        <f t="array" ref="H562">E562+D562</f>
        <v>0</v>
      </c>
      <c r="I562" s="30">
        <f t="array" ref="I562">G562+F562</f>
        <v>0</v>
      </c>
      <c r="J562" s="30">
        <f t="array" ref="J562">D562+F562</f>
        <v>0</v>
      </c>
      <c r="K562" s="30">
        <f t="array" ref="K562">E562+G562</f>
        <v>0</v>
      </c>
      <c r="L562" s="12"/>
    </row>
    <row r="563" spans="1:12" ht="20.100000000000001" customHeight="1">
      <c r="A563" s="20" t="s">
        <v>659</v>
      </c>
      <c r="B563" s="21" t="s">
        <v>159</v>
      </c>
      <c r="C563" s="28">
        <f t="array" ref="C563">D563+E563+F563+G563</f>
        <v>0</v>
      </c>
      <c r="D563" s="28">
        <f t="array" ref="D563">D$504*$L563</f>
        <v>0</v>
      </c>
      <c r="E563" s="28">
        <f t="array" ref="E563">E$504*$L563</f>
        <v>0</v>
      </c>
      <c r="F563" s="28">
        <f t="array" ref="F563">F$504*$L563</f>
        <v>0</v>
      </c>
      <c r="G563" s="28">
        <f t="array" ref="G563">G$504*$L563</f>
        <v>0</v>
      </c>
      <c r="H563" s="30">
        <f t="array" ref="H563">E563+D563</f>
        <v>0</v>
      </c>
      <c r="I563" s="30">
        <f t="array" ref="I563">G563+F563</f>
        <v>0</v>
      </c>
      <c r="J563" s="30">
        <f t="array" ref="J563">D563+F563</f>
        <v>0</v>
      </c>
      <c r="K563" s="30">
        <f t="array" ref="K563">E563+G563</f>
        <v>0</v>
      </c>
      <c r="L563" s="12"/>
    </row>
    <row r="564" spans="1:12" ht="20.100000000000001" customHeight="1">
      <c r="A564" s="20" t="s">
        <v>660</v>
      </c>
      <c r="B564" s="21" t="s">
        <v>161</v>
      </c>
      <c r="C564" s="28">
        <f t="array" ref="C564">D564+E564+F564+G564</f>
        <v>0</v>
      </c>
      <c r="D564" s="28">
        <f t="array" ref="D564">D$504*$L564</f>
        <v>0</v>
      </c>
      <c r="E564" s="28">
        <f t="array" ref="E564">E$504*$L564</f>
        <v>0</v>
      </c>
      <c r="F564" s="28">
        <f t="array" ref="F564">F$504*$L564</f>
        <v>0</v>
      </c>
      <c r="G564" s="28">
        <f t="array" ref="G564">G$504*$L564</f>
        <v>0</v>
      </c>
      <c r="H564" s="30">
        <f t="array" ref="H564">E564+D564</f>
        <v>0</v>
      </c>
      <c r="I564" s="30">
        <f t="array" ref="I564">G564+F564</f>
        <v>0</v>
      </c>
      <c r="J564" s="30">
        <f t="array" ref="J564">D564+F564</f>
        <v>0</v>
      </c>
      <c r="K564" s="30">
        <f t="array" ref="K564">E564+G564</f>
        <v>0</v>
      </c>
      <c r="L564" s="12"/>
    </row>
    <row r="565" spans="1:12" ht="20.100000000000001" customHeight="1">
      <c r="A565" s="20" t="s">
        <v>661</v>
      </c>
      <c r="B565" s="21" t="s">
        <v>163</v>
      </c>
      <c r="C565" s="28">
        <f t="array" ref="C565">D565+E565+F565+G565</f>
        <v>0</v>
      </c>
      <c r="D565" s="28">
        <f t="array" ref="D565">D$504*$L565</f>
        <v>0</v>
      </c>
      <c r="E565" s="28">
        <f t="array" ref="E565">E$504*$L565</f>
        <v>0</v>
      </c>
      <c r="F565" s="28">
        <f t="array" ref="F565">F$504*$L565</f>
        <v>0</v>
      </c>
      <c r="G565" s="28">
        <f t="array" ref="G565">G$504*$L565</f>
        <v>0</v>
      </c>
      <c r="H565" s="30">
        <f t="array" ref="H565">E565+D565</f>
        <v>0</v>
      </c>
      <c r="I565" s="30">
        <f t="array" ref="I565">G565+F565</f>
        <v>0</v>
      </c>
      <c r="J565" s="30">
        <f t="array" ref="J565">D565+F565</f>
        <v>0</v>
      </c>
      <c r="K565" s="30">
        <f t="array" ref="K565">E565+G565</f>
        <v>0</v>
      </c>
      <c r="L565" s="12"/>
    </row>
    <row r="566" spans="1:12" ht="20.100000000000001" customHeight="1">
      <c r="A566" s="20" t="s">
        <v>662</v>
      </c>
      <c r="B566" s="21" t="s">
        <v>165</v>
      </c>
      <c r="C566" s="28">
        <f t="array" ref="C566">D566+E566+F566+G566</f>
        <v>0</v>
      </c>
      <c r="D566" s="28">
        <f t="array" ref="D566">D$504*$L566</f>
        <v>0</v>
      </c>
      <c r="E566" s="28">
        <f t="array" ref="E566">E$504*$L566</f>
        <v>0</v>
      </c>
      <c r="F566" s="28">
        <f t="array" ref="F566">F$504*$L566</f>
        <v>0</v>
      </c>
      <c r="G566" s="28">
        <f t="array" ref="G566">G$504*$L566</f>
        <v>0</v>
      </c>
      <c r="H566" s="30">
        <f t="array" ref="H566">E566+D566</f>
        <v>0</v>
      </c>
      <c r="I566" s="30">
        <f t="array" ref="I566">G566+F566</f>
        <v>0</v>
      </c>
      <c r="J566" s="30">
        <f t="array" ref="J566">D566+F566</f>
        <v>0</v>
      </c>
      <c r="K566" s="30">
        <f t="array" ref="K566">E566+G566</f>
        <v>0</v>
      </c>
      <c r="L566" s="12"/>
    </row>
    <row r="567" spans="1:12" ht="20.100000000000001" customHeight="1">
      <c r="A567" s="20" t="s">
        <v>663</v>
      </c>
      <c r="B567" s="21" t="s">
        <v>167</v>
      </c>
      <c r="C567" s="28">
        <f t="array" ref="C567">D567+E567+F567+G567</f>
        <v>0</v>
      </c>
      <c r="D567" s="28">
        <f t="array" ref="D567">D$504*$L567</f>
        <v>0</v>
      </c>
      <c r="E567" s="28">
        <f t="array" ref="E567">E$504*$L567</f>
        <v>0</v>
      </c>
      <c r="F567" s="28">
        <f t="array" ref="F567">F$504*$L567</f>
        <v>0</v>
      </c>
      <c r="G567" s="28">
        <f t="array" ref="G567">G$504*$L567</f>
        <v>0</v>
      </c>
      <c r="H567" s="30">
        <f t="array" ref="H567">E567+D567</f>
        <v>0</v>
      </c>
      <c r="I567" s="30">
        <f t="array" ref="I567">G567+F567</f>
        <v>0</v>
      </c>
      <c r="J567" s="30">
        <f t="array" ref="J567">D567+F567</f>
        <v>0</v>
      </c>
      <c r="K567" s="30">
        <f t="array" ref="K567">E567+G567</f>
        <v>0</v>
      </c>
      <c r="L567" s="12"/>
    </row>
    <row r="568" spans="1:12" ht="20.100000000000001" customHeight="1">
      <c r="A568" s="20" t="s">
        <v>664</v>
      </c>
      <c r="B568" s="21" t="s">
        <v>169</v>
      </c>
      <c r="C568" s="28">
        <f t="array" ref="C568">D568+E568+F568+G568</f>
        <v>0</v>
      </c>
      <c r="D568" s="28">
        <f t="array" ref="D568">D$504*$L568</f>
        <v>0</v>
      </c>
      <c r="E568" s="28">
        <f t="array" ref="E568">E$504*$L568</f>
        <v>0</v>
      </c>
      <c r="F568" s="28">
        <f t="array" ref="F568">F$504*$L568</f>
        <v>0</v>
      </c>
      <c r="G568" s="28">
        <f t="array" ref="G568">G$504*$L568</f>
        <v>0</v>
      </c>
      <c r="H568" s="30">
        <f t="array" ref="H568">E568+D568</f>
        <v>0</v>
      </c>
      <c r="I568" s="30">
        <f t="array" ref="I568">G568+F568</f>
        <v>0</v>
      </c>
      <c r="J568" s="30">
        <f t="array" ref="J568">D568+F568</f>
        <v>0</v>
      </c>
      <c r="K568" s="30">
        <f t="array" ref="K568">E568+G568</f>
        <v>0</v>
      </c>
      <c r="L568" s="12"/>
    </row>
    <row r="569" spans="1:12" ht="20.100000000000001" customHeight="1">
      <c r="A569" s="20" t="s">
        <v>665</v>
      </c>
      <c r="B569" s="21" t="s">
        <v>171</v>
      </c>
      <c r="C569" s="28">
        <f t="array" ref="C569">D569+E569+F569+G569</f>
        <v>0</v>
      </c>
      <c r="D569" s="28">
        <f t="array" ref="D569">D$504*$L569</f>
        <v>0</v>
      </c>
      <c r="E569" s="28">
        <f t="array" ref="E569">E$504*$L569</f>
        <v>0</v>
      </c>
      <c r="F569" s="28">
        <f t="array" ref="F569">F$504*$L569</f>
        <v>0</v>
      </c>
      <c r="G569" s="28">
        <f t="array" ref="G569">G$504*$L569</f>
        <v>0</v>
      </c>
      <c r="H569" s="30">
        <f t="array" ref="H569">E569+D569</f>
        <v>0</v>
      </c>
      <c r="I569" s="30">
        <f t="array" ref="I569">G569+F569</f>
        <v>0</v>
      </c>
      <c r="J569" s="30">
        <f t="array" ref="J569">D569+F569</f>
        <v>0</v>
      </c>
      <c r="K569" s="30">
        <f t="array" ref="K569">E569+G569</f>
        <v>0</v>
      </c>
      <c r="L569" s="12"/>
    </row>
    <row r="570" spans="1:12" ht="20.100000000000001" customHeight="1">
      <c r="A570" s="20" t="s">
        <v>666</v>
      </c>
      <c r="B570" s="21" t="s">
        <v>173</v>
      </c>
      <c r="C570" s="28">
        <f t="array" ref="C570">D570+E570+F570+G570</f>
        <v>0</v>
      </c>
      <c r="D570" s="28">
        <f t="array" ref="D570">D$504*$L570</f>
        <v>0</v>
      </c>
      <c r="E570" s="28">
        <f t="array" ref="E570">E$504*$L570</f>
        <v>0</v>
      </c>
      <c r="F570" s="28">
        <f t="array" ref="F570">F$504*$L570</f>
        <v>0</v>
      </c>
      <c r="G570" s="28">
        <f t="array" ref="G570">G$504*$L570</f>
        <v>0</v>
      </c>
      <c r="H570" s="30">
        <f t="array" ref="H570">E570+D570</f>
        <v>0</v>
      </c>
      <c r="I570" s="30">
        <f t="array" ref="I570">G570+F570</f>
        <v>0</v>
      </c>
      <c r="J570" s="30">
        <f t="array" ref="J570">D570+F570</f>
        <v>0</v>
      </c>
      <c r="K570" s="30">
        <f t="array" ref="K570">E570+G570</f>
        <v>0</v>
      </c>
      <c r="L570" s="12"/>
    </row>
    <row r="571" spans="1:12" ht="20.100000000000001" customHeight="1">
      <c r="A571" s="20" t="s">
        <v>667</v>
      </c>
      <c r="B571" s="21" t="s">
        <v>175</v>
      </c>
      <c r="C571" s="28">
        <f t="array" ref="C571">D571+E571+F571+G571</f>
        <v>0</v>
      </c>
      <c r="D571" s="28">
        <f t="array" ref="D571">D$504*$L571</f>
        <v>0</v>
      </c>
      <c r="E571" s="28">
        <f t="array" ref="E571">E$504*$L571</f>
        <v>0</v>
      </c>
      <c r="F571" s="28">
        <f t="array" ref="F571">F$504*$L571</f>
        <v>0</v>
      </c>
      <c r="G571" s="28">
        <f t="array" ref="G571">G$504*$L571</f>
        <v>0</v>
      </c>
      <c r="H571" s="30">
        <f t="array" ref="H571">E571+D571</f>
        <v>0</v>
      </c>
      <c r="I571" s="30">
        <f t="array" ref="I571">G571+F571</f>
        <v>0</v>
      </c>
      <c r="J571" s="30">
        <f t="array" ref="J571">D571+F571</f>
        <v>0</v>
      </c>
      <c r="K571" s="30">
        <f t="array" ref="K571">E571+G571</f>
        <v>0</v>
      </c>
      <c r="L571" s="12"/>
    </row>
    <row r="572" spans="1:12" ht="20.100000000000001" customHeight="1">
      <c r="A572" s="20" t="s">
        <v>668</v>
      </c>
      <c r="B572" s="21" t="s">
        <v>177</v>
      </c>
      <c r="C572" s="28">
        <f t="array" ref="C572">D572+E572+F572+G572</f>
        <v>0</v>
      </c>
      <c r="D572" s="28">
        <f t="array" ref="D572">D$504*$L572</f>
        <v>0</v>
      </c>
      <c r="E572" s="28">
        <f t="array" ref="E572">E$504*$L572</f>
        <v>0</v>
      </c>
      <c r="F572" s="28">
        <f t="array" ref="F572">F$504*$L572</f>
        <v>0</v>
      </c>
      <c r="G572" s="28">
        <f t="array" ref="G572">G$504*$L572</f>
        <v>0</v>
      </c>
      <c r="H572" s="30">
        <f t="array" ref="H572">E572+D572</f>
        <v>0</v>
      </c>
      <c r="I572" s="30">
        <f t="array" ref="I572">G572+F572</f>
        <v>0</v>
      </c>
      <c r="J572" s="30">
        <f t="array" ref="J572">D572+F572</f>
        <v>0</v>
      </c>
      <c r="K572" s="30">
        <f t="array" ref="K572">E572+G572</f>
        <v>0</v>
      </c>
      <c r="L572" s="12"/>
    </row>
    <row r="573" spans="1:12" ht="20.100000000000001" customHeight="1">
      <c r="A573" s="20" t="s">
        <v>669</v>
      </c>
      <c r="B573" s="21" t="s">
        <v>179</v>
      </c>
      <c r="C573" s="28">
        <f t="array" ref="C573">D573+E573+F573+G573</f>
        <v>0</v>
      </c>
      <c r="D573" s="28">
        <f t="array" ref="D573">D$504*$L573</f>
        <v>0</v>
      </c>
      <c r="E573" s="28">
        <f t="array" ref="E573">E$504*$L573</f>
        <v>0</v>
      </c>
      <c r="F573" s="28">
        <f t="array" ref="F573">F$504*$L573</f>
        <v>0</v>
      </c>
      <c r="G573" s="28">
        <f t="array" ref="G573">G$504*$L573</f>
        <v>0</v>
      </c>
      <c r="H573" s="30">
        <f t="array" ref="H573">E573+D573</f>
        <v>0</v>
      </c>
      <c r="I573" s="30">
        <f t="array" ref="I573">G573+F573</f>
        <v>0</v>
      </c>
      <c r="J573" s="30">
        <f t="array" ref="J573">D573+F573</f>
        <v>0</v>
      </c>
      <c r="K573" s="30">
        <f t="array" ref="K573">E573+G573</f>
        <v>0</v>
      </c>
      <c r="L573" s="12"/>
    </row>
    <row r="574" spans="1:12" ht="20.100000000000001" customHeight="1">
      <c r="A574" s="20" t="s">
        <v>670</v>
      </c>
      <c r="B574" s="21" t="s">
        <v>181</v>
      </c>
      <c r="C574" s="28">
        <f t="array" ref="C574">D574+E574+F574+G574</f>
        <v>0</v>
      </c>
      <c r="D574" s="28">
        <f t="array" ref="D574">D$504*$L574</f>
        <v>0</v>
      </c>
      <c r="E574" s="28">
        <f t="array" ref="E574">E$504*$L574</f>
        <v>0</v>
      </c>
      <c r="F574" s="28">
        <f t="array" ref="F574">F$504*$L574</f>
        <v>0</v>
      </c>
      <c r="G574" s="28">
        <f t="array" ref="G574">G$504*$L574</f>
        <v>0</v>
      </c>
      <c r="H574" s="30">
        <f t="array" ref="H574">E574+D574</f>
        <v>0</v>
      </c>
      <c r="I574" s="30">
        <f t="array" ref="I574">G574+F574</f>
        <v>0</v>
      </c>
      <c r="J574" s="30">
        <f t="array" ref="J574">D574+F574</f>
        <v>0</v>
      </c>
      <c r="K574" s="30">
        <f t="array" ref="K574">E574+G574</f>
        <v>0</v>
      </c>
      <c r="L574" s="12"/>
    </row>
    <row r="575" spans="1:12" ht="20.100000000000001" customHeight="1">
      <c r="A575" s="20" t="s">
        <v>671</v>
      </c>
      <c r="B575" s="21" t="s">
        <v>183</v>
      </c>
      <c r="C575" s="28">
        <f t="array" ref="C575">D575+E575+F575+G575</f>
        <v>0</v>
      </c>
      <c r="D575" s="28">
        <f t="array" ref="D575">D$504*$L575</f>
        <v>0</v>
      </c>
      <c r="E575" s="28">
        <f t="array" ref="E575">E$504*$L575</f>
        <v>0</v>
      </c>
      <c r="F575" s="28">
        <f t="array" ref="F575">F$504*$L575</f>
        <v>0</v>
      </c>
      <c r="G575" s="28">
        <f t="array" ref="G575">G$504*$L575</f>
        <v>0</v>
      </c>
      <c r="H575" s="30">
        <f t="array" ref="H575">E575+D575</f>
        <v>0</v>
      </c>
      <c r="I575" s="30">
        <f t="array" ref="I575">G575+F575</f>
        <v>0</v>
      </c>
      <c r="J575" s="30">
        <f t="array" ref="J575">D575+F575</f>
        <v>0</v>
      </c>
      <c r="K575" s="30">
        <f t="array" ref="K575">E575+G575</f>
        <v>0</v>
      </c>
      <c r="L575" s="12"/>
    </row>
    <row r="576" spans="1:12" ht="20.100000000000001" customHeight="1">
      <c r="A576" s="20" t="s">
        <v>672</v>
      </c>
      <c r="B576" s="21" t="s">
        <v>185</v>
      </c>
      <c r="C576" s="28">
        <f t="array" ref="C576">D576+E576+F576+G576</f>
        <v>0</v>
      </c>
      <c r="D576" s="28">
        <f t="array" ref="D576">D$504*$L576</f>
        <v>0</v>
      </c>
      <c r="E576" s="28">
        <f t="array" ref="E576">E$504*$L576</f>
        <v>0</v>
      </c>
      <c r="F576" s="28">
        <f t="array" ref="F576">F$504*$L576</f>
        <v>0</v>
      </c>
      <c r="G576" s="28">
        <f t="array" ref="G576">G$504*$L576</f>
        <v>0</v>
      </c>
      <c r="H576" s="30">
        <f t="array" ref="H576">E576+D576</f>
        <v>0</v>
      </c>
      <c r="I576" s="30">
        <f t="array" ref="I576">G576+F576</f>
        <v>0</v>
      </c>
      <c r="J576" s="30">
        <f t="array" ref="J576">D576+F576</f>
        <v>0</v>
      </c>
      <c r="K576" s="30">
        <f t="array" ref="K576">E576+G576</f>
        <v>0</v>
      </c>
      <c r="L576" s="12"/>
    </row>
    <row r="577" spans="1:12" ht="20.100000000000001" customHeight="1">
      <c r="A577" s="20" t="s">
        <v>673</v>
      </c>
      <c r="B577" s="21" t="s">
        <v>187</v>
      </c>
      <c r="C577" s="28">
        <f t="array" ref="C577">D577+E577+F577+G577</f>
        <v>0</v>
      </c>
      <c r="D577" s="28">
        <f t="array" ref="D577">D$504*$L577</f>
        <v>0</v>
      </c>
      <c r="E577" s="28">
        <f t="array" ref="E577">E$504*$L577</f>
        <v>0</v>
      </c>
      <c r="F577" s="28">
        <f t="array" ref="F577">F$504*$L577</f>
        <v>0</v>
      </c>
      <c r="G577" s="28">
        <f t="array" ref="G577">G$504*$L577</f>
        <v>0</v>
      </c>
      <c r="H577" s="30">
        <f t="array" ref="H577">E577+D577</f>
        <v>0</v>
      </c>
      <c r="I577" s="30">
        <f t="array" ref="I577">G577+F577</f>
        <v>0</v>
      </c>
      <c r="J577" s="30">
        <f t="array" ref="J577">D577+F577</f>
        <v>0</v>
      </c>
      <c r="K577" s="30">
        <f t="array" ref="K577">E577+G577</f>
        <v>0</v>
      </c>
      <c r="L577" s="12"/>
    </row>
    <row r="578" spans="1:12" ht="20.100000000000001" customHeight="1">
      <c r="A578" s="20" t="s">
        <v>674</v>
      </c>
      <c r="B578" s="21" t="s">
        <v>189</v>
      </c>
      <c r="C578" s="28">
        <f t="array" ref="C578">D578+E578+F578+G578</f>
        <v>0</v>
      </c>
      <c r="D578" s="28">
        <f t="array" ref="D578">D$504*$L578</f>
        <v>0</v>
      </c>
      <c r="E578" s="28">
        <f t="array" ref="E578">E$504*$L578</f>
        <v>0</v>
      </c>
      <c r="F578" s="28">
        <f t="array" ref="F578">F$504*$L578</f>
        <v>0</v>
      </c>
      <c r="G578" s="28">
        <f t="array" ref="G578">G$504*$L578</f>
        <v>0</v>
      </c>
      <c r="H578" s="30">
        <f t="array" ref="H578">E578+D578</f>
        <v>0</v>
      </c>
      <c r="I578" s="30">
        <f t="array" ref="I578">G578+F578</f>
        <v>0</v>
      </c>
      <c r="J578" s="30">
        <f t="array" ref="J578">D578+F578</f>
        <v>0</v>
      </c>
      <c r="K578" s="30">
        <f t="array" ref="K578">E578+G578</f>
        <v>0</v>
      </c>
      <c r="L578" s="12"/>
    </row>
    <row r="579" spans="1:12" ht="20.100000000000001" customHeight="1">
      <c r="A579" s="20" t="s">
        <v>675</v>
      </c>
      <c r="B579" s="21" t="s">
        <v>191</v>
      </c>
      <c r="C579" s="28">
        <f t="array" ref="C579">D579+E579+F579+G579</f>
        <v>0</v>
      </c>
      <c r="D579" s="28">
        <f t="array" ref="D579">D$504*$L579</f>
        <v>0</v>
      </c>
      <c r="E579" s="28">
        <f t="array" ref="E579">E$504*$L579</f>
        <v>0</v>
      </c>
      <c r="F579" s="28">
        <f t="array" ref="F579">F$504*$L579</f>
        <v>0</v>
      </c>
      <c r="G579" s="28">
        <f t="array" ref="G579">G$504*$L579</f>
        <v>0</v>
      </c>
      <c r="H579" s="30">
        <f t="array" ref="H579">E579+D579</f>
        <v>0</v>
      </c>
      <c r="I579" s="30">
        <f t="array" ref="I579">G579+F579</f>
        <v>0</v>
      </c>
      <c r="J579" s="30">
        <f t="array" ref="J579">D579+F579</f>
        <v>0</v>
      </c>
      <c r="K579" s="30">
        <f t="array" ref="K579">E579+G579</f>
        <v>0</v>
      </c>
      <c r="L579" s="12"/>
    </row>
    <row r="580" spans="1:12" ht="20.100000000000001" customHeight="1">
      <c r="A580" s="20" t="s">
        <v>676</v>
      </c>
      <c r="B580" s="21" t="s">
        <v>193</v>
      </c>
      <c r="C580" s="28">
        <f t="array" ref="C580">D580+E580+F580+G580</f>
        <v>0</v>
      </c>
      <c r="D580" s="28">
        <f t="array" ref="D580">D$504*$L580</f>
        <v>0</v>
      </c>
      <c r="E580" s="28">
        <f t="array" ref="E580">E$504*$L580</f>
        <v>0</v>
      </c>
      <c r="F580" s="28">
        <f t="array" ref="F580">F$504*$L580</f>
        <v>0</v>
      </c>
      <c r="G580" s="28">
        <f t="array" ref="G580">G$504*$L580</f>
        <v>0</v>
      </c>
      <c r="H580" s="30">
        <f t="array" ref="H580">E580+D580</f>
        <v>0</v>
      </c>
      <c r="I580" s="30">
        <f t="array" ref="I580">G580+F580</f>
        <v>0</v>
      </c>
      <c r="J580" s="30">
        <f t="array" ref="J580">D580+F580</f>
        <v>0</v>
      </c>
      <c r="K580" s="30">
        <f t="array" ref="K580">E580+G580</f>
        <v>0</v>
      </c>
      <c r="L580" s="12"/>
    </row>
    <row r="581" spans="1:12" ht="20.100000000000001" customHeight="1">
      <c r="A581" s="20" t="s">
        <v>677</v>
      </c>
      <c r="B581" s="21" t="s">
        <v>195</v>
      </c>
      <c r="C581" s="28">
        <f t="array" ref="C581">D581+E581+F581+G581</f>
        <v>0</v>
      </c>
      <c r="D581" s="28">
        <f t="array" ref="D581">D$504*$L581</f>
        <v>0</v>
      </c>
      <c r="E581" s="28">
        <f t="array" ref="E581">E$504*$L581</f>
        <v>0</v>
      </c>
      <c r="F581" s="28">
        <f t="array" ref="F581">F$504*$L581</f>
        <v>0</v>
      </c>
      <c r="G581" s="28">
        <f t="array" ref="G581">G$504*$L581</f>
        <v>0</v>
      </c>
      <c r="H581" s="30">
        <f t="array" ref="H581">E581+D581</f>
        <v>0</v>
      </c>
      <c r="I581" s="30">
        <f t="array" ref="I581">G581+F581</f>
        <v>0</v>
      </c>
      <c r="J581" s="30">
        <f t="array" ref="J581">D581+F581</f>
        <v>0</v>
      </c>
      <c r="K581" s="30">
        <f t="array" ref="K581">E581+G581</f>
        <v>0</v>
      </c>
      <c r="L581" s="12"/>
    </row>
    <row r="582" spans="1:12" ht="20.100000000000001" customHeight="1">
      <c r="A582" s="20" t="s">
        <v>678</v>
      </c>
      <c r="B582" s="21" t="s">
        <v>197</v>
      </c>
      <c r="C582" s="28">
        <f t="array" ref="C582">D582+E582+F582+G582</f>
        <v>0</v>
      </c>
      <c r="D582" s="28">
        <f t="array" ref="D582">D$504*$L582</f>
        <v>0</v>
      </c>
      <c r="E582" s="28">
        <f t="array" ref="E582">E$504*$L582</f>
        <v>0</v>
      </c>
      <c r="F582" s="28">
        <f t="array" ref="F582">F$504*$L582</f>
        <v>0</v>
      </c>
      <c r="G582" s="28">
        <f t="array" ref="G582">G$504*$L582</f>
        <v>0</v>
      </c>
      <c r="H582" s="30">
        <f t="array" ref="H582">E582+D582</f>
        <v>0</v>
      </c>
      <c r="I582" s="30">
        <f t="array" ref="I582">G582+F582</f>
        <v>0</v>
      </c>
      <c r="J582" s="30">
        <f t="array" ref="J582">D582+F582</f>
        <v>0</v>
      </c>
      <c r="K582" s="30">
        <f t="array" ref="K582">E582+G582</f>
        <v>0</v>
      </c>
      <c r="L582" s="12"/>
    </row>
    <row r="583" spans="1:12" ht="20.100000000000001" customHeight="1">
      <c r="A583" s="20" t="s">
        <v>679</v>
      </c>
      <c r="B583" s="21" t="s">
        <v>199</v>
      </c>
      <c r="C583" s="28">
        <f t="array" ref="C583">D583+E583+F583+G583</f>
        <v>0</v>
      </c>
      <c r="D583" s="28">
        <f t="array" ref="D583">D$504*$L583</f>
        <v>0</v>
      </c>
      <c r="E583" s="28">
        <f t="array" ref="E583">E$504*$L583</f>
        <v>0</v>
      </c>
      <c r="F583" s="28">
        <f t="array" ref="F583">F$504*$L583</f>
        <v>0</v>
      </c>
      <c r="G583" s="28">
        <f t="array" ref="G583">G$504*$L583</f>
        <v>0</v>
      </c>
      <c r="H583" s="30">
        <f t="array" ref="H583">E583+D583</f>
        <v>0</v>
      </c>
      <c r="I583" s="30">
        <f t="array" ref="I583">G583+F583</f>
        <v>0</v>
      </c>
      <c r="J583" s="30">
        <f t="array" ref="J583">D583+F583</f>
        <v>0</v>
      </c>
      <c r="K583" s="30">
        <f t="array" ref="K583">E583+G583</f>
        <v>0</v>
      </c>
      <c r="L583" s="12"/>
    </row>
    <row r="584" spans="1:12" ht="20.100000000000001" customHeight="1">
      <c r="A584" s="20" t="s">
        <v>680</v>
      </c>
      <c r="B584" s="21" t="s">
        <v>201</v>
      </c>
      <c r="C584" s="28">
        <f t="array" ref="C584">D584+E584+F584+G584</f>
        <v>0</v>
      </c>
      <c r="D584" s="28">
        <f t="array" ref="D584">D$504*$L584</f>
        <v>0</v>
      </c>
      <c r="E584" s="28">
        <f t="array" ref="E584">E$504*$L584</f>
        <v>0</v>
      </c>
      <c r="F584" s="28">
        <f t="array" ref="F584">F$504*$L584</f>
        <v>0</v>
      </c>
      <c r="G584" s="28">
        <f t="array" ref="G584">G$504*$L584</f>
        <v>0</v>
      </c>
      <c r="H584" s="30">
        <f t="array" ref="H584">E584+D584</f>
        <v>0</v>
      </c>
      <c r="I584" s="30">
        <f t="array" ref="I584">G584+F584</f>
        <v>0</v>
      </c>
      <c r="J584" s="30">
        <f t="array" ref="J584">D584+F584</f>
        <v>0</v>
      </c>
      <c r="K584" s="30">
        <f t="array" ref="K584">E584+G584</f>
        <v>0</v>
      </c>
      <c r="L584" s="12"/>
    </row>
    <row r="585" spans="1:12" ht="20.100000000000001" customHeight="1">
      <c r="A585" s="20" t="s">
        <v>681</v>
      </c>
      <c r="B585" s="21" t="s">
        <v>203</v>
      </c>
      <c r="C585" s="28">
        <f t="array" ref="C585">D585+E585+F585+G585</f>
        <v>0</v>
      </c>
      <c r="D585" s="28">
        <f t="array" ref="D585">D$504*$L585</f>
        <v>0</v>
      </c>
      <c r="E585" s="28">
        <f t="array" ref="E585">E$504*$L585</f>
        <v>0</v>
      </c>
      <c r="F585" s="28">
        <f t="array" ref="F585">F$504*$L585</f>
        <v>0</v>
      </c>
      <c r="G585" s="28">
        <f t="array" ref="G585">G$504*$L585</f>
        <v>0</v>
      </c>
      <c r="H585" s="30">
        <f t="array" ref="H585">E585+D585</f>
        <v>0</v>
      </c>
      <c r="I585" s="30">
        <f t="array" ref="I585">G585+F585</f>
        <v>0</v>
      </c>
      <c r="J585" s="30">
        <f t="array" ref="J585">D585+F585</f>
        <v>0</v>
      </c>
      <c r="K585" s="30">
        <f t="array" ref="K585">E585+G585</f>
        <v>0</v>
      </c>
      <c r="L585" s="12"/>
    </row>
    <row r="586" spans="1:12" ht="20.100000000000001" customHeight="1">
      <c r="A586" s="20" t="s">
        <v>682</v>
      </c>
      <c r="B586" s="21" t="s">
        <v>205</v>
      </c>
      <c r="C586" s="28">
        <f t="array" ref="C586">D586+E586+F586+G586</f>
        <v>0</v>
      </c>
      <c r="D586" s="28">
        <f t="array" ref="D586">D$504*$L586</f>
        <v>0</v>
      </c>
      <c r="E586" s="28">
        <f t="array" ref="E586">E$504*$L586</f>
        <v>0</v>
      </c>
      <c r="F586" s="28">
        <f t="array" ref="F586">F$504*$L586</f>
        <v>0</v>
      </c>
      <c r="G586" s="28">
        <f t="array" ref="G586">G$504*$L586</f>
        <v>0</v>
      </c>
      <c r="H586" s="30">
        <f t="array" ref="H586">E586+D586</f>
        <v>0</v>
      </c>
      <c r="I586" s="30">
        <f t="array" ref="I586">G586+F586</f>
        <v>0</v>
      </c>
      <c r="J586" s="30">
        <f t="array" ref="J586">D586+F586</f>
        <v>0</v>
      </c>
      <c r="K586" s="30">
        <f t="array" ref="K586">E586+G586</f>
        <v>0</v>
      </c>
      <c r="L586" s="12"/>
    </row>
    <row r="587" spans="1:12" ht="20.100000000000001" customHeight="1">
      <c r="A587" s="20" t="s">
        <v>683</v>
      </c>
      <c r="B587" s="21" t="s">
        <v>207</v>
      </c>
      <c r="C587" s="28">
        <f t="array" ref="C587">D587+E587+F587+G587</f>
        <v>0</v>
      </c>
      <c r="D587" s="28">
        <f t="array" ref="D587">D$504*$L587</f>
        <v>0</v>
      </c>
      <c r="E587" s="28">
        <f t="array" ref="E587">E$504*$L587</f>
        <v>0</v>
      </c>
      <c r="F587" s="28">
        <f t="array" ref="F587">F$504*$L587</f>
        <v>0</v>
      </c>
      <c r="G587" s="28">
        <f t="array" ref="G587">G$504*$L587</f>
        <v>0</v>
      </c>
      <c r="H587" s="30">
        <f t="array" ref="H587">E587+D587</f>
        <v>0</v>
      </c>
      <c r="I587" s="30">
        <f t="array" ref="I587">G587+F587</f>
        <v>0</v>
      </c>
      <c r="J587" s="30">
        <f t="array" ref="J587">D587+F587</f>
        <v>0</v>
      </c>
      <c r="K587" s="30">
        <f t="array" ref="K587">E587+G587</f>
        <v>0</v>
      </c>
      <c r="L587" s="12"/>
    </row>
    <row r="588" spans="1:12" ht="20.100000000000001" customHeight="1">
      <c r="A588" s="20" t="s">
        <v>684</v>
      </c>
      <c r="B588" s="21" t="s">
        <v>209</v>
      </c>
      <c r="C588" s="28">
        <f t="array" ref="C588">D588+E588+F588+G588</f>
        <v>0</v>
      </c>
      <c r="D588" s="28">
        <f t="array" ref="D588">D$504*$L588</f>
        <v>0</v>
      </c>
      <c r="E588" s="28">
        <f t="array" ref="E588">E$504*$L588</f>
        <v>0</v>
      </c>
      <c r="F588" s="28">
        <f t="array" ref="F588">F$504*$L588</f>
        <v>0</v>
      </c>
      <c r="G588" s="28">
        <f t="array" ref="G588">G$504*$L588</f>
        <v>0</v>
      </c>
      <c r="H588" s="30">
        <f t="array" ref="H588">E588+D588</f>
        <v>0</v>
      </c>
      <c r="I588" s="30">
        <f t="array" ref="I588">G588+F588</f>
        <v>0</v>
      </c>
      <c r="J588" s="30">
        <f t="array" ref="J588">D588+F588</f>
        <v>0</v>
      </c>
      <c r="K588" s="30">
        <f t="array" ref="K588">E588+G588</f>
        <v>0</v>
      </c>
      <c r="L588" s="12"/>
    </row>
    <row r="589" spans="1:12" ht="20.100000000000001" customHeight="1">
      <c r="A589" s="20" t="s">
        <v>685</v>
      </c>
      <c r="B589" s="21" t="s">
        <v>211</v>
      </c>
      <c r="C589" s="28">
        <f t="array" ref="C589">D589+E589+F589+G589</f>
        <v>0</v>
      </c>
      <c r="D589" s="28">
        <f t="array" ref="D589">D$504*$L589</f>
        <v>0</v>
      </c>
      <c r="E589" s="28">
        <f t="array" ref="E589">E$504*$L589</f>
        <v>0</v>
      </c>
      <c r="F589" s="28">
        <f t="array" ref="F589">F$504*$L589</f>
        <v>0</v>
      </c>
      <c r="G589" s="28">
        <f t="array" ref="G589">G$504*$L589</f>
        <v>0</v>
      </c>
      <c r="H589" s="30">
        <f t="array" ref="H589">E589+D589</f>
        <v>0</v>
      </c>
      <c r="I589" s="30">
        <f t="array" ref="I589">G589+F589</f>
        <v>0</v>
      </c>
      <c r="J589" s="30">
        <f t="array" ref="J589">D589+F589</f>
        <v>0</v>
      </c>
      <c r="K589" s="30">
        <f t="array" ref="K589">E589+G589</f>
        <v>0</v>
      </c>
      <c r="L589" s="12"/>
    </row>
    <row r="590" spans="1:12" ht="20.100000000000001" customHeight="1">
      <c r="A590" s="20" t="s">
        <v>686</v>
      </c>
      <c r="B590" s="21" t="s">
        <v>213</v>
      </c>
      <c r="C590" s="28">
        <f t="array" ref="C590">D590+E590+F590+G590</f>
        <v>0</v>
      </c>
      <c r="D590" s="28">
        <f t="array" ref="D590">D$504*$L590</f>
        <v>0</v>
      </c>
      <c r="E590" s="28">
        <f t="array" ref="E590">E$504*$L590</f>
        <v>0</v>
      </c>
      <c r="F590" s="28">
        <f t="array" ref="F590">F$504*$L590</f>
        <v>0</v>
      </c>
      <c r="G590" s="28">
        <f t="array" ref="G590">G$504*$L590</f>
        <v>0</v>
      </c>
      <c r="H590" s="30">
        <f t="array" ref="H590">E590+D590</f>
        <v>0</v>
      </c>
      <c r="I590" s="30">
        <f t="array" ref="I590">G590+F590</f>
        <v>0</v>
      </c>
      <c r="J590" s="30">
        <f t="array" ref="J590">D590+F590</f>
        <v>0</v>
      </c>
      <c r="K590" s="30">
        <f t="array" ref="K590">E590+G590</f>
        <v>0</v>
      </c>
      <c r="L590" s="12"/>
    </row>
    <row r="591" spans="1:12" ht="20.100000000000001" customHeight="1">
      <c r="A591" s="20" t="s">
        <v>687</v>
      </c>
      <c r="B591" s="21" t="s">
        <v>215</v>
      </c>
      <c r="C591" s="28">
        <f t="array" ref="C591">D591+E591+F591+G591</f>
        <v>0</v>
      </c>
      <c r="D591" s="28">
        <f t="array" ref="D591">D$504*$L591</f>
        <v>0</v>
      </c>
      <c r="E591" s="28">
        <f t="array" ref="E591">E$504*$L591</f>
        <v>0</v>
      </c>
      <c r="F591" s="28">
        <f t="array" ref="F591">F$504*$L591</f>
        <v>0</v>
      </c>
      <c r="G591" s="28">
        <f t="array" ref="G591">G$504*$L591</f>
        <v>0</v>
      </c>
      <c r="H591" s="30">
        <f t="array" ref="H591">E591+D591</f>
        <v>0</v>
      </c>
      <c r="I591" s="30">
        <f t="array" ref="I591">G591+F591</f>
        <v>0</v>
      </c>
      <c r="J591" s="30">
        <f t="array" ref="J591">D591+F591</f>
        <v>0</v>
      </c>
      <c r="K591" s="30">
        <f t="array" ref="K591">E591+G591</f>
        <v>0</v>
      </c>
      <c r="L591" s="12"/>
    </row>
    <row r="592" spans="1:12" ht="20.100000000000001" customHeight="1">
      <c r="A592" s="20" t="s">
        <v>688</v>
      </c>
      <c r="B592" s="21" t="s">
        <v>217</v>
      </c>
      <c r="C592" s="28">
        <f t="array" ref="C592">D592+E592+F592+G592</f>
        <v>0</v>
      </c>
      <c r="D592" s="28">
        <f t="array" ref="D592">D$504*$L592</f>
        <v>0</v>
      </c>
      <c r="E592" s="28">
        <f t="array" ref="E592">E$504*$L592</f>
        <v>0</v>
      </c>
      <c r="F592" s="28">
        <f t="array" ref="F592">F$504*$L592</f>
        <v>0</v>
      </c>
      <c r="G592" s="28">
        <f t="array" ref="G592">G$504*$L592</f>
        <v>0</v>
      </c>
      <c r="H592" s="30">
        <f t="array" ref="H592">E592+D592</f>
        <v>0</v>
      </c>
      <c r="I592" s="30">
        <f t="array" ref="I592">G592+F592</f>
        <v>0</v>
      </c>
      <c r="J592" s="30">
        <f t="array" ref="J592">D592+F592</f>
        <v>0</v>
      </c>
      <c r="K592" s="30">
        <f t="array" ref="K592">E592+G592</f>
        <v>0</v>
      </c>
      <c r="L592" s="12"/>
    </row>
    <row r="593" spans="1:12" ht="20.100000000000001" customHeight="1">
      <c r="A593" s="20" t="s">
        <v>689</v>
      </c>
      <c r="B593" s="21" t="s">
        <v>219</v>
      </c>
      <c r="C593" s="28">
        <f t="array" ref="C593">D593+E593+F593+G593</f>
        <v>0</v>
      </c>
      <c r="D593" s="28">
        <f t="array" ref="D593">D$504*$L593</f>
        <v>0</v>
      </c>
      <c r="E593" s="28">
        <f t="array" ref="E593">E$504*$L593</f>
        <v>0</v>
      </c>
      <c r="F593" s="28">
        <f t="array" ref="F593">F$504*$L593</f>
        <v>0</v>
      </c>
      <c r="G593" s="28">
        <f t="array" ref="G593">G$504*$L593</f>
        <v>0</v>
      </c>
      <c r="H593" s="30">
        <f t="array" ref="H593">E593+D593</f>
        <v>0</v>
      </c>
      <c r="I593" s="30">
        <f t="array" ref="I593">G593+F593</f>
        <v>0</v>
      </c>
      <c r="J593" s="30">
        <f t="array" ref="J593">D593+F593</f>
        <v>0</v>
      </c>
      <c r="K593" s="30">
        <f t="array" ref="K593">E593+G593</f>
        <v>0</v>
      </c>
      <c r="L593" s="12"/>
    </row>
    <row r="594" spans="1:12" ht="20.100000000000001" customHeight="1">
      <c r="A594" s="20" t="s">
        <v>690</v>
      </c>
      <c r="B594" s="21" t="s">
        <v>221</v>
      </c>
      <c r="C594" s="28">
        <f t="array" ref="C594">D594+E594+F594+G594</f>
        <v>0</v>
      </c>
      <c r="D594" s="28">
        <f t="array" ref="D594">D$504*$L594</f>
        <v>0</v>
      </c>
      <c r="E594" s="28">
        <f t="array" ref="E594">E$504*$L594</f>
        <v>0</v>
      </c>
      <c r="F594" s="28">
        <f t="array" ref="F594">F$504*$L594</f>
        <v>0</v>
      </c>
      <c r="G594" s="28">
        <f t="array" ref="G594">G$504*$L594</f>
        <v>0</v>
      </c>
      <c r="H594" s="30">
        <f t="array" ref="H594">E594+D594</f>
        <v>0</v>
      </c>
      <c r="I594" s="30">
        <f t="array" ref="I594">G594+F594</f>
        <v>0</v>
      </c>
      <c r="J594" s="30">
        <f t="array" ref="J594">D594+F594</f>
        <v>0</v>
      </c>
      <c r="K594" s="30">
        <f t="array" ref="K594">E594+G594</f>
        <v>0</v>
      </c>
      <c r="L594" s="12"/>
    </row>
    <row r="595" spans="1:12" ht="20.100000000000001" customHeight="1">
      <c r="A595" s="20" t="s">
        <v>691</v>
      </c>
      <c r="B595" s="21" t="s">
        <v>223</v>
      </c>
      <c r="C595" s="28">
        <f t="array" ref="C595">D595+E595+F595+G595</f>
        <v>0</v>
      </c>
      <c r="D595" s="28">
        <f t="array" ref="D595">D$504*$L595</f>
        <v>0</v>
      </c>
      <c r="E595" s="28">
        <f t="array" ref="E595">E$504*$L595</f>
        <v>0</v>
      </c>
      <c r="F595" s="28">
        <f t="array" ref="F595">F$504*$L595</f>
        <v>0</v>
      </c>
      <c r="G595" s="28">
        <f t="array" ref="G595">G$504*$L595</f>
        <v>0</v>
      </c>
      <c r="H595" s="30">
        <f t="array" ref="H595">E595+D595</f>
        <v>0</v>
      </c>
      <c r="I595" s="30">
        <f t="array" ref="I595">G595+F595</f>
        <v>0</v>
      </c>
      <c r="J595" s="30">
        <f t="array" ref="J595">D595+F595</f>
        <v>0</v>
      </c>
      <c r="K595" s="30">
        <f t="array" ref="K595">E595+G595</f>
        <v>0</v>
      </c>
      <c r="L595" s="12"/>
    </row>
    <row r="596" spans="1:12" ht="20.100000000000001" customHeight="1">
      <c r="A596" s="20" t="s">
        <v>692</v>
      </c>
      <c r="B596" s="21" t="s">
        <v>225</v>
      </c>
      <c r="C596" s="28">
        <f t="array" ref="C596">D596+E596+F596+G596</f>
        <v>0</v>
      </c>
      <c r="D596" s="28">
        <f t="array" ref="D596">D$504*$L596</f>
        <v>0</v>
      </c>
      <c r="E596" s="28">
        <f t="array" ref="E596">E$504*$L596</f>
        <v>0</v>
      </c>
      <c r="F596" s="28">
        <f t="array" ref="F596">F$504*$L596</f>
        <v>0</v>
      </c>
      <c r="G596" s="28">
        <f t="array" ref="G596">G$504*$L596</f>
        <v>0</v>
      </c>
      <c r="H596" s="30">
        <f t="array" ref="H596">E596+D596</f>
        <v>0</v>
      </c>
      <c r="I596" s="30">
        <f t="array" ref="I596">G596+F596</f>
        <v>0</v>
      </c>
      <c r="J596" s="30">
        <f t="array" ref="J596">D596+F596</f>
        <v>0</v>
      </c>
      <c r="K596" s="30">
        <f t="array" ref="K596">E596+G596</f>
        <v>0</v>
      </c>
      <c r="L596" s="12"/>
    </row>
    <row r="597" spans="1:12" ht="20.100000000000001" customHeight="1">
      <c r="A597" s="20" t="s">
        <v>693</v>
      </c>
      <c r="B597" s="21" t="s">
        <v>227</v>
      </c>
      <c r="C597" s="28">
        <f t="array" ref="C597">D597+E597+F597+G597</f>
        <v>0</v>
      </c>
      <c r="D597" s="28">
        <f t="array" ref="D597">D$504*$L597</f>
        <v>0</v>
      </c>
      <c r="E597" s="28">
        <f t="array" ref="E597">E$504*$L597</f>
        <v>0</v>
      </c>
      <c r="F597" s="28">
        <f t="array" ref="F597">F$504*$L597</f>
        <v>0</v>
      </c>
      <c r="G597" s="28">
        <f t="array" ref="G597">G$504*$L597</f>
        <v>0</v>
      </c>
      <c r="H597" s="30">
        <f t="array" ref="H597">E597+D597</f>
        <v>0</v>
      </c>
      <c r="I597" s="30">
        <f t="array" ref="I597">G597+F597</f>
        <v>0</v>
      </c>
      <c r="J597" s="30">
        <f t="array" ref="J597">D597+F597</f>
        <v>0</v>
      </c>
      <c r="K597" s="30">
        <f t="array" ref="K597">E597+G597</f>
        <v>0</v>
      </c>
      <c r="L597" s="12"/>
    </row>
    <row r="598" spans="1:12" ht="20.100000000000001" customHeight="1">
      <c r="A598" s="20" t="s">
        <v>694</v>
      </c>
      <c r="B598" s="21" t="s">
        <v>229</v>
      </c>
      <c r="C598" s="28">
        <f t="array" ref="C598">D598+E598+F598+G598</f>
        <v>0</v>
      </c>
      <c r="D598" s="28">
        <f t="array" ref="D598">D$504*$L598</f>
        <v>0</v>
      </c>
      <c r="E598" s="28">
        <f t="array" ref="E598">E$504*$L598</f>
        <v>0</v>
      </c>
      <c r="F598" s="28">
        <f t="array" ref="F598">F$504*$L598</f>
        <v>0</v>
      </c>
      <c r="G598" s="28">
        <f t="array" ref="G598">G$504*$L598</f>
        <v>0</v>
      </c>
      <c r="H598" s="30">
        <f t="array" ref="H598">E598+D598</f>
        <v>0</v>
      </c>
      <c r="I598" s="30">
        <f t="array" ref="I598">G598+F598</f>
        <v>0</v>
      </c>
      <c r="J598" s="30">
        <f t="array" ref="J598">D598+F598</f>
        <v>0</v>
      </c>
      <c r="K598" s="30">
        <f t="array" ref="K598">E598+G598</f>
        <v>0</v>
      </c>
      <c r="L598" s="12"/>
    </row>
    <row r="599" spans="1:12" ht="20.100000000000001" customHeight="1">
      <c r="A599" s="20" t="s">
        <v>695</v>
      </c>
      <c r="B599" s="21" t="s">
        <v>231</v>
      </c>
      <c r="C599" s="28">
        <f t="array" ref="C599">D599+E599+F599+G599</f>
        <v>0</v>
      </c>
      <c r="D599" s="28">
        <f t="array" ref="D599">D$504*$L599</f>
        <v>0</v>
      </c>
      <c r="E599" s="28">
        <f t="array" ref="E599">E$504*$L599</f>
        <v>0</v>
      </c>
      <c r="F599" s="28">
        <f t="array" ref="F599">F$504*$L599</f>
        <v>0</v>
      </c>
      <c r="G599" s="28">
        <f t="array" ref="G599">G$504*$L599</f>
        <v>0</v>
      </c>
      <c r="H599" s="30">
        <f t="array" ref="H599">E599+D599</f>
        <v>0</v>
      </c>
      <c r="I599" s="30">
        <f t="array" ref="I599">G599+F599</f>
        <v>0</v>
      </c>
      <c r="J599" s="30">
        <f t="array" ref="J599">D599+F599</f>
        <v>0</v>
      </c>
      <c r="K599" s="30">
        <f t="array" ref="K599">E599+G599</f>
        <v>0</v>
      </c>
      <c r="L599" s="12"/>
    </row>
    <row r="600" spans="1:12" ht="20.100000000000001" customHeight="1">
      <c r="A600" s="20" t="s">
        <v>696</v>
      </c>
      <c r="B600" s="21" t="s">
        <v>233</v>
      </c>
      <c r="C600" s="28">
        <f t="array" ref="C600">D600+E600+F600+G600</f>
        <v>0</v>
      </c>
      <c r="D600" s="28">
        <f t="array" ref="D600">D$504*$L600</f>
        <v>0</v>
      </c>
      <c r="E600" s="28">
        <f t="array" ref="E600">E$504*$L600</f>
        <v>0</v>
      </c>
      <c r="F600" s="28">
        <f t="array" ref="F600">F$504*$L600</f>
        <v>0</v>
      </c>
      <c r="G600" s="28">
        <f t="array" ref="G600">G$504*$L600</f>
        <v>0</v>
      </c>
      <c r="H600" s="30">
        <f t="array" ref="H600">E600+D600</f>
        <v>0</v>
      </c>
      <c r="I600" s="30">
        <f t="array" ref="I600">G600+F600</f>
        <v>0</v>
      </c>
      <c r="J600" s="30">
        <f t="array" ref="J600">D600+F600</f>
        <v>0</v>
      </c>
      <c r="K600" s="30">
        <f t="array" ref="K600">E600+G600</f>
        <v>0</v>
      </c>
      <c r="L600" s="12"/>
    </row>
    <row r="601" spans="1:12" ht="20.100000000000001" customHeight="1">
      <c r="A601" s="20" t="s">
        <v>697</v>
      </c>
      <c r="B601" s="21" t="s">
        <v>235</v>
      </c>
      <c r="C601" s="28">
        <f t="array" ref="C601">D601+E601+F601+G601</f>
        <v>0</v>
      </c>
      <c r="D601" s="28">
        <f t="array" ref="D601">D$504*$L601</f>
        <v>0</v>
      </c>
      <c r="E601" s="28">
        <f t="array" ref="E601">E$504*$L601</f>
        <v>0</v>
      </c>
      <c r="F601" s="28">
        <f t="array" ref="F601">F$504*$L601</f>
        <v>0</v>
      </c>
      <c r="G601" s="28">
        <f t="array" ref="G601">G$504*$L601</f>
        <v>0</v>
      </c>
      <c r="H601" s="30">
        <f t="array" ref="H601">E601+D601</f>
        <v>0</v>
      </c>
      <c r="I601" s="30">
        <f t="array" ref="I601">G601+F601</f>
        <v>0</v>
      </c>
      <c r="J601" s="30">
        <f t="array" ref="J601">D601+F601</f>
        <v>0</v>
      </c>
      <c r="K601" s="30">
        <f t="array" ref="K601">E601+G601</f>
        <v>0</v>
      </c>
      <c r="L601" s="12"/>
    </row>
    <row r="602" spans="1:12" ht="20.100000000000001" customHeight="1">
      <c r="A602" s="20" t="s">
        <v>698</v>
      </c>
      <c r="B602" s="21" t="s">
        <v>237</v>
      </c>
      <c r="C602" s="28">
        <f t="array" ref="C602">D602+E602+F602+G602</f>
        <v>0</v>
      </c>
      <c r="D602" s="28">
        <f t="array" ref="D602">D$504*$L602</f>
        <v>0</v>
      </c>
      <c r="E602" s="28">
        <f t="array" ref="E602">E$504*$L602</f>
        <v>0</v>
      </c>
      <c r="F602" s="28">
        <f t="array" ref="F602">F$504*$L602</f>
        <v>0</v>
      </c>
      <c r="G602" s="28">
        <f t="array" ref="G602">G$504*$L602</f>
        <v>0</v>
      </c>
      <c r="H602" s="30">
        <f t="array" ref="H602">E602+D602</f>
        <v>0</v>
      </c>
      <c r="I602" s="30">
        <f t="array" ref="I602">G602+F602</f>
        <v>0</v>
      </c>
      <c r="J602" s="30">
        <f t="array" ref="J602">D602+F602</f>
        <v>0</v>
      </c>
      <c r="K602" s="30">
        <f t="array" ref="K602">E602+G602</f>
        <v>0</v>
      </c>
      <c r="L602" s="12"/>
    </row>
    <row r="603" spans="1:12" ht="20.100000000000001" customHeight="1">
      <c r="A603" s="20" t="s">
        <v>699</v>
      </c>
      <c r="B603" s="21" t="s">
        <v>239</v>
      </c>
      <c r="C603" s="28">
        <f t="array" ref="C603">D603+E603+F603+G603</f>
        <v>0</v>
      </c>
      <c r="D603" s="28">
        <f t="array" ref="D603">D$504*$L603</f>
        <v>0</v>
      </c>
      <c r="E603" s="28">
        <f t="array" ref="E603">E$504*$L603</f>
        <v>0</v>
      </c>
      <c r="F603" s="28">
        <f t="array" ref="F603">F$504*$L603</f>
        <v>0</v>
      </c>
      <c r="G603" s="28">
        <f t="array" ref="G603">G$504*$L603</f>
        <v>0</v>
      </c>
      <c r="H603" s="30">
        <f t="array" ref="H603">E603+D603</f>
        <v>0</v>
      </c>
      <c r="I603" s="30">
        <f t="array" ref="I603">G603+F603</f>
        <v>0</v>
      </c>
      <c r="J603" s="30">
        <f t="array" ref="J603">D603+F603</f>
        <v>0</v>
      </c>
      <c r="K603" s="30">
        <f t="array" ref="K603">E603+G603</f>
        <v>0</v>
      </c>
      <c r="L603" s="12"/>
    </row>
    <row r="604" spans="1:12" ht="20.100000000000001" customHeight="1">
      <c r="A604" s="20" t="s">
        <v>700</v>
      </c>
      <c r="B604" s="21" t="s">
        <v>241</v>
      </c>
      <c r="C604" s="28">
        <f t="array" ref="C604">D604+E604+F604+G604</f>
        <v>0</v>
      </c>
      <c r="D604" s="28">
        <f t="array" ref="D604">D$504*$L604</f>
        <v>0</v>
      </c>
      <c r="E604" s="28">
        <f t="array" ref="E604">E$504*$L604</f>
        <v>0</v>
      </c>
      <c r="F604" s="28">
        <f t="array" ref="F604">F$504*$L604</f>
        <v>0</v>
      </c>
      <c r="G604" s="28">
        <f t="array" ref="G604">G$504*$L604</f>
        <v>0</v>
      </c>
      <c r="H604" s="30">
        <f t="array" ref="H604">E604+D604</f>
        <v>0</v>
      </c>
      <c r="I604" s="30">
        <f t="array" ref="I604">G604+F604</f>
        <v>0</v>
      </c>
      <c r="J604" s="30">
        <f t="array" ref="J604">D604+F604</f>
        <v>0</v>
      </c>
      <c r="K604" s="30">
        <f t="array" ref="K604">E604+G604</f>
        <v>0</v>
      </c>
      <c r="L604" s="12"/>
    </row>
    <row r="605" spans="1:12" ht="20.100000000000001" customHeight="1">
      <c r="A605" s="20" t="s">
        <v>701</v>
      </c>
      <c r="B605" s="21" t="s">
        <v>243</v>
      </c>
      <c r="C605" s="28">
        <f t="array" ref="C605">D605+E605+F605+G605</f>
        <v>0</v>
      </c>
      <c r="D605" s="28">
        <f t="array" ref="D605">D$504*$L605</f>
        <v>0</v>
      </c>
      <c r="E605" s="28">
        <f t="array" ref="E605">E$504*$L605</f>
        <v>0</v>
      </c>
      <c r="F605" s="28">
        <f t="array" ref="F605">F$504*$L605</f>
        <v>0</v>
      </c>
      <c r="G605" s="28">
        <f t="array" ref="G605">G$504*$L605</f>
        <v>0</v>
      </c>
      <c r="H605" s="30">
        <f t="array" ref="H605">E605+D605</f>
        <v>0</v>
      </c>
      <c r="I605" s="30">
        <f t="array" ref="I605">G605+F605</f>
        <v>0</v>
      </c>
      <c r="J605" s="30">
        <f t="array" ref="J605">D605+F605</f>
        <v>0</v>
      </c>
      <c r="K605" s="30">
        <f t="array" ref="K605">E605+G605</f>
        <v>0</v>
      </c>
      <c r="L605" s="12"/>
    </row>
    <row r="606" spans="1:12" ht="20.100000000000001" customHeight="1">
      <c r="A606" s="20" t="s">
        <v>702</v>
      </c>
      <c r="B606" s="21" t="s">
        <v>245</v>
      </c>
      <c r="C606" s="28">
        <f t="array" ref="C606">D606+E606+F606+G606</f>
        <v>0</v>
      </c>
      <c r="D606" s="28">
        <f t="array" ref="D606">D$504*$L606</f>
        <v>0</v>
      </c>
      <c r="E606" s="28">
        <f t="array" ref="E606">E$504*$L606</f>
        <v>0</v>
      </c>
      <c r="F606" s="28">
        <f t="array" ref="F606">F$504*$L606</f>
        <v>0</v>
      </c>
      <c r="G606" s="28">
        <f t="array" ref="G606">G$504*$L606</f>
        <v>0</v>
      </c>
      <c r="H606" s="30">
        <f t="array" ref="H606">E606+D606</f>
        <v>0</v>
      </c>
      <c r="I606" s="30">
        <f t="array" ref="I606">G606+F606</f>
        <v>0</v>
      </c>
      <c r="J606" s="30">
        <f t="array" ref="J606">D606+F606</f>
        <v>0</v>
      </c>
      <c r="K606" s="30">
        <f t="array" ref="K606">E606+G606</f>
        <v>0</v>
      </c>
      <c r="L606" s="12"/>
    </row>
    <row r="607" spans="1:12" ht="20.100000000000001" customHeight="1">
      <c r="A607" s="20" t="s">
        <v>703</v>
      </c>
      <c r="B607" s="21" t="s">
        <v>247</v>
      </c>
      <c r="C607" s="28">
        <f t="array" ref="C607">D607+E607+F607+G607</f>
        <v>0</v>
      </c>
      <c r="D607" s="28">
        <f t="array" ref="D607">D$504*$L607</f>
        <v>0</v>
      </c>
      <c r="E607" s="28">
        <f t="array" ref="E607">E$504*$L607</f>
        <v>0</v>
      </c>
      <c r="F607" s="28">
        <f t="array" ref="F607">F$504*$L607</f>
        <v>0</v>
      </c>
      <c r="G607" s="28">
        <f t="array" ref="G607">G$504*$L607</f>
        <v>0</v>
      </c>
      <c r="H607" s="30">
        <f t="array" ref="H607">E607+D607</f>
        <v>0</v>
      </c>
      <c r="I607" s="30">
        <f t="array" ref="I607">G607+F607</f>
        <v>0</v>
      </c>
      <c r="J607" s="30">
        <f t="array" ref="J607">D607+F607</f>
        <v>0</v>
      </c>
      <c r="K607" s="30">
        <f t="array" ref="K607">E607+G607</f>
        <v>0</v>
      </c>
      <c r="L607" s="12"/>
    </row>
    <row r="608" spans="1:12" ht="20.100000000000001" customHeight="1">
      <c r="A608" s="20" t="s">
        <v>704</v>
      </c>
      <c r="B608" s="21" t="s">
        <v>249</v>
      </c>
      <c r="C608" s="26">
        <f t="array" ref="C608">SUM(C508:C607)</f>
        <v>464695.20000000007</v>
      </c>
      <c r="D608" s="26">
        <f t="array" ref="D608">SUM(D508:D607)</f>
        <v>61869.2</v>
      </c>
      <c r="E608" s="26">
        <f t="array" ref="E608">SUM(E508:E607)</f>
        <v>73630.600000000035</v>
      </c>
      <c r="F608" s="28">
        <f t="array" ref="F608">SUM(F508:F607)</f>
        <v>129900.5</v>
      </c>
      <c r="G608" s="28">
        <f t="array" ref="G608">SUM(G508:G607)</f>
        <v>199294.90000000005</v>
      </c>
      <c r="H608" s="12">
        <f t="array" ref="H608">SUM(H508:H607)</f>
        <v>135499.80000000008</v>
      </c>
      <c r="I608" s="30">
        <f t="array" ref="I608">SUM(I508:I607)</f>
        <v>329195.40000000008</v>
      </c>
      <c r="J608" s="12">
        <f t="array" ref="J608">SUM(J508:J607)</f>
        <v>191769.7</v>
      </c>
      <c r="K608" s="12">
        <f t="array" ref="K608">SUM(K508:K607)</f>
        <v>272925.49999999994</v>
      </c>
      <c r="L608" s="12">
        <f t="array" ref="L608">SUM(L508:L607)</f>
        <v>1</v>
      </c>
    </row>
    <row r="609" spans="1:12" ht="20.100000000000001" customHeight="1">
      <c r="A609" s="10"/>
      <c r="B609" s="11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spans="1:12" ht="92.1" customHeight="1">
      <c r="A610" s="20" t="s">
        <v>705</v>
      </c>
      <c r="B610" s="21" t="s">
        <v>39</v>
      </c>
      <c r="C610" s="26" t="str">
        <f t="array" ref="C610">IF(C611="","?",C611)&amp;IF(C612="","","; downloaded "&amp;C612)&amp;IF(C613="","","; "&amp;C613)</f>
        <v>Eurostat migr_emi4ctb 2015-2024; downloaded 14.05.2026; Eurostat migr_emi4ctb 2015-2024. Sex-Anteile aus 2024 (Emi FOR 60,5% M / NAT 54,3% M).</v>
      </c>
      <c r="D610" s="25"/>
      <c r="E610" s="25"/>
      <c r="F610" s="25"/>
      <c r="G610" s="25"/>
      <c r="H610" s="25"/>
      <c r="I610" s="25"/>
      <c r="J610" s="25"/>
      <c r="K610" s="25"/>
      <c r="L610" s="25"/>
    </row>
    <row r="611" spans="1:12" ht="32.1" customHeight="1">
      <c r="A611" s="10"/>
      <c r="B611" s="21" t="s">
        <v>41</v>
      </c>
      <c r="C611" s="22" t="s">
        <v>706</v>
      </c>
      <c r="D611" s="12"/>
      <c r="E611" s="12"/>
      <c r="F611" s="12"/>
      <c r="G611" s="12"/>
      <c r="H611" s="12"/>
      <c r="I611" s="12"/>
      <c r="J611" s="12"/>
      <c r="K611" s="12"/>
      <c r="L611" s="12"/>
    </row>
    <row r="612" spans="1:12" ht="20.100000000000001" customHeight="1">
      <c r="A612" s="10"/>
      <c r="B612" s="21" t="s">
        <v>43</v>
      </c>
      <c r="C612" s="27" t="s">
        <v>44</v>
      </c>
      <c r="D612" s="12"/>
      <c r="E612" s="12"/>
      <c r="F612" s="12"/>
      <c r="G612" s="12"/>
      <c r="H612" s="12"/>
      <c r="I612" s="12"/>
      <c r="J612" s="12"/>
      <c r="K612" s="12"/>
      <c r="L612" s="12"/>
    </row>
    <row r="613" spans="1:12" ht="68.099999999999994" customHeight="1">
      <c r="A613" s="10"/>
      <c r="B613" s="21" t="s">
        <v>45</v>
      </c>
      <c r="C613" s="22" t="s">
        <v>707</v>
      </c>
      <c r="D613" s="12"/>
      <c r="E613" s="12"/>
      <c r="F613" s="12"/>
      <c r="G613" s="12"/>
      <c r="H613" s="12"/>
      <c r="I613" s="12"/>
      <c r="J613" s="12"/>
      <c r="K613" s="12"/>
      <c r="L613" s="12"/>
    </row>
    <row r="614" spans="1:12" ht="20.100000000000001" customHeight="1">
      <c r="A614" s="10"/>
      <c r="B614" s="11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spans="1:12" ht="20.100000000000001" customHeight="1">
      <c r="A615" s="10"/>
      <c r="B615" s="21" t="s">
        <v>708</v>
      </c>
      <c r="C615" s="31">
        <f t="array" ref="C615">C608/C$118</f>
        <v>5.5600752655552647E-3</v>
      </c>
      <c r="D615" s="31">
        <f t="array" ref="D615">D608/D$118</f>
        <v>2.098426532838663E-3</v>
      </c>
      <c r="E615" s="31">
        <f t="array" ref="E615">E608/E$118</f>
        <v>2.6116660821827132E-3</v>
      </c>
      <c r="F615" s="31">
        <f t="array" ref="F615">F608/F$118</f>
        <v>1.0138798762243977E-2</v>
      </c>
      <c r="G615" s="31">
        <f t="array" ref="G615">G608/G$118</f>
        <v>1.52268949450305E-2</v>
      </c>
      <c r="H615" s="31">
        <f t="array" ref="H615">H608/H$118</f>
        <v>2.3493038144289302E-3</v>
      </c>
      <c r="I615" s="31">
        <f t="array" ref="I615">I608/I$118</f>
        <v>1.2709969349704562E-2</v>
      </c>
      <c r="J615" s="31">
        <f t="array" ref="J615">J608/J$118</f>
        <v>4.5340092959039258E-3</v>
      </c>
      <c r="K615" s="31">
        <f t="array" ref="K615">K608/K$118</f>
        <v>6.6113576970148876E-3</v>
      </c>
      <c r="L615" s="12"/>
    </row>
    <row r="616" spans="1:12" ht="20.100000000000001" customHeight="1">
      <c r="A616" s="10"/>
      <c r="B616" s="11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1:12" ht="26.85" customHeight="1">
      <c r="A617" s="16"/>
      <c r="B617" s="17" t="s">
        <v>709</v>
      </c>
      <c r="C617" s="18"/>
      <c r="D617" s="19"/>
      <c r="E617" s="19"/>
      <c r="F617" s="19"/>
      <c r="G617" s="19"/>
      <c r="H617" s="19"/>
      <c r="I617" s="19"/>
      <c r="J617" s="19"/>
      <c r="K617" s="19"/>
      <c r="L617" s="19"/>
    </row>
    <row r="618" spans="1:12" ht="92.1" customHeight="1">
      <c r="A618" s="10"/>
      <c r="B618" s="11"/>
      <c r="C618" s="25"/>
      <c r="D618" s="35" t="s">
        <v>372</v>
      </c>
      <c r="E618" s="35" t="s">
        <v>372</v>
      </c>
      <c r="F618" s="35" t="s">
        <v>372</v>
      </c>
      <c r="G618" s="35" t="s">
        <v>372</v>
      </c>
      <c r="H618" s="34"/>
      <c r="I618" s="34"/>
      <c r="J618" s="34"/>
      <c r="K618" s="34"/>
      <c r="L618" s="36"/>
    </row>
    <row r="619" spans="1:12" ht="20.100000000000001" customHeight="1">
      <c r="A619" s="20" t="s">
        <v>710</v>
      </c>
      <c r="B619" s="21" t="s">
        <v>709</v>
      </c>
      <c r="C619" s="37">
        <v>80.83</v>
      </c>
      <c r="D619" s="38">
        <v>83.19</v>
      </c>
      <c r="E619" s="38">
        <v>78.47</v>
      </c>
      <c r="F619" s="38">
        <v>83.19</v>
      </c>
      <c r="G619" s="38">
        <v>78.47</v>
      </c>
      <c r="H619" s="37">
        <f t="array" ref="H619">IF($H$118=0,0,($D619*$D$118+$E619*$E$118)/$H$118)</f>
        <v>80.882810753537115</v>
      </c>
      <c r="I619" s="37">
        <f t="array" ref="I619">IF($I$118=0,0,($F619*$F$118+$G619*$G$118)/$I$118)</f>
        <v>80.804839669526913</v>
      </c>
      <c r="J619" s="37">
        <f t="array" ref="J619">IF($J$118=0,0,($D619*$D$118+$F619*$F$118)/$J$118)</f>
        <v>83.19</v>
      </c>
      <c r="K619" s="37">
        <f t="array" ref="K619">IF($K$118=0,0,($E619*$E$118+$G619*$G$118)/$K$118)</f>
        <v>78.47</v>
      </c>
      <c r="L619" s="12"/>
    </row>
    <row r="620" spans="1:12" ht="20.100000000000001" customHeight="1">
      <c r="A620" s="10"/>
      <c r="B620" s="11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spans="1:12" ht="20.100000000000001" customHeight="1">
      <c r="A621" s="20" t="s">
        <v>711</v>
      </c>
      <c r="B621" s="21" t="s">
        <v>39</v>
      </c>
      <c r="C621" s="26" t="s">
        <v>712</v>
      </c>
      <c r="D621" s="25"/>
      <c r="E621" s="25"/>
      <c r="F621" s="25"/>
      <c r="G621" s="25"/>
      <c r="H621" s="25"/>
      <c r="I621" s="25"/>
      <c r="J621" s="25"/>
      <c r="K621" s="25"/>
      <c r="L621" s="25"/>
    </row>
    <row r="622" spans="1:12" ht="20.100000000000001" customHeight="1">
      <c r="A622" s="10"/>
      <c r="B622" s="21" t="s">
        <v>41</v>
      </c>
      <c r="C622" s="22" t="s">
        <v>713</v>
      </c>
      <c r="D622" s="12"/>
      <c r="E622" s="12"/>
      <c r="F622" s="12"/>
      <c r="G622" s="12"/>
      <c r="H622" s="12"/>
      <c r="I622" s="12"/>
      <c r="J622" s="12"/>
      <c r="K622" s="12"/>
      <c r="L622" s="12"/>
    </row>
    <row r="623" spans="1:12" ht="20.100000000000001" customHeight="1">
      <c r="A623" s="10"/>
      <c r="B623" s="21" t="s">
        <v>43</v>
      </c>
      <c r="C623" s="27" t="s">
        <v>44</v>
      </c>
      <c r="D623" s="12"/>
      <c r="E623" s="12"/>
      <c r="F623" s="12"/>
      <c r="G623" s="12"/>
      <c r="H623" s="12"/>
      <c r="I623" s="12"/>
      <c r="J623" s="12"/>
      <c r="K623" s="12"/>
      <c r="L623" s="12"/>
    </row>
    <row r="624" spans="1:12" ht="20.100000000000001" customHeight="1">
      <c r="A624" s="10"/>
      <c r="B624" s="21" t="s">
        <v>45</v>
      </c>
      <c r="C624" s="22" t="s">
        <v>714</v>
      </c>
      <c r="D624" s="12"/>
      <c r="E624" s="12"/>
      <c r="F624" s="12"/>
      <c r="G624" s="12"/>
      <c r="H624" s="12"/>
      <c r="I624" s="12"/>
      <c r="J624" s="12"/>
      <c r="K624" s="12"/>
      <c r="L624" s="12"/>
    </row>
    <row r="625" spans="1:12" ht="20.100000000000001" customHeight="1">
      <c r="A625" s="10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spans="1:12" ht="61.9" customHeight="1">
      <c r="A626" s="16"/>
      <c r="B626" s="17" t="s">
        <v>715</v>
      </c>
      <c r="C626" s="18"/>
      <c r="D626" s="19"/>
      <c r="E626" s="19"/>
      <c r="F626" s="19"/>
      <c r="G626" s="19"/>
      <c r="H626" s="19"/>
      <c r="I626" s="19"/>
      <c r="J626" s="19"/>
      <c r="K626" s="19"/>
      <c r="L626" s="19"/>
    </row>
    <row r="627" spans="1:12" ht="20.100000000000001" customHeight="1">
      <c r="A627" s="10"/>
      <c r="B627" s="39"/>
      <c r="C627" s="12"/>
      <c r="D627" s="12"/>
      <c r="E627" s="12"/>
      <c r="F627" s="12"/>
      <c r="G627" s="12"/>
      <c r="H627" s="12"/>
      <c r="I627" s="36"/>
      <c r="J627" s="12"/>
      <c r="K627" s="12"/>
      <c r="L627" s="12"/>
    </row>
    <row r="628" spans="1:12" ht="20.100000000000001" customHeight="1">
      <c r="A628" s="10"/>
      <c r="B628" s="40" t="s">
        <v>716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spans="1:12" ht="20.100000000000001" customHeight="1">
      <c r="A629" s="20" t="s">
        <v>717</v>
      </c>
      <c r="B629" s="21" t="s">
        <v>718</v>
      </c>
      <c r="C629" s="41" t="s">
        <v>719</v>
      </c>
      <c r="D629" s="12"/>
      <c r="E629" s="12"/>
      <c r="F629" s="24"/>
      <c r="G629" s="24"/>
      <c r="H629" s="12"/>
      <c r="I629" s="12">
        <f t="array" ref="I629">G629+F629</f>
        <v>0</v>
      </c>
      <c r="J629" s="12"/>
      <c r="K629" s="12"/>
      <c r="L629" s="12"/>
    </row>
    <row r="630" spans="1:12" ht="20.100000000000001" customHeight="1">
      <c r="A630" s="20" t="s">
        <v>720</v>
      </c>
      <c r="B630" s="21" t="s">
        <v>721</v>
      </c>
      <c r="C630" s="42" t="s">
        <v>722</v>
      </c>
      <c r="D630" s="12"/>
      <c r="E630" s="12"/>
      <c r="F630" s="24"/>
      <c r="G630" s="24"/>
      <c r="H630" s="12"/>
      <c r="I630" s="12">
        <f t="array" ref="I630">G630+F630</f>
        <v>0</v>
      </c>
      <c r="J630" s="12"/>
      <c r="K630" s="12"/>
      <c r="L630" s="12"/>
    </row>
    <row r="631" spans="1:12" ht="20.100000000000001" customHeight="1">
      <c r="A631" s="20" t="s">
        <v>723</v>
      </c>
      <c r="B631" s="21" t="s">
        <v>724</v>
      </c>
      <c r="C631" s="42" t="s">
        <v>725</v>
      </c>
      <c r="D631" s="12"/>
      <c r="E631" s="12"/>
      <c r="F631" s="24">
        <v>168000</v>
      </c>
      <c r="G631" s="24">
        <v>168000</v>
      </c>
      <c r="H631" s="12"/>
      <c r="I631" s="12">
        <f t="array" ref="I631">G631+F631</f>
        <v>336000</v>
      </c>
      <c r="J631" s="12"/>
      <c r="K631" s="12"/>
      <c r="L631" s="12"/>
    </row>
    <row r="632" spans="1:12" ht="20.100000000000001" customHeight="1">
      <c r="A632" s="20" t="s">
        <v>726</v>
      </c>
      <c r="B632" s="21" t="s">
        <v>727</v>
      </c>
      <c r="C632" s="42" t="s">
        <v>728</v>
      </c>
      <c r="D632" s="12"/>
      <c r="E632" s="12"/>
      <c r="F632" s="24"/>
      <c r="G632" s="24"/>
      <c r="H632" s="12"/>
      <c r="I632" s="12">
        <f t="array" ref="I632">G632+F632</f>
        <v>0</v>
      </c>
      <c r="J632" s="12"/>
      <c r="K632" s="12"/>
      <c r="L632" s="12"/>
    </row>
    <row r="633" spans="1:12" ht="20.100000000000001" customHeight="1">
      <c r="A633" s="20" t="s">
        <v>729</v>
      </c>
      <c r="B633" s="21" t="s">
        <v>730</v>
      </c>
      <c r="C633" s="42" t="s">
        <v>731</v>
      </c>
      <c r="D633" s="12"/>
      <c r="E633" s="12"/>
      <c r="F633" s="24">
        <v>277000</v>
      </c>
      <c r="G633" s="24">
        <v>277000</v>
      </c>
      <c r="H633" s="12"/>
      <c r="I633" s="12">
        <f t="array" ref="I633">G633+F633</f>
        <v>554000</v>
      </c>
      <c r="J633" s="12"/>
      <c r="K633" s="12"/>
      <c r="L633" s="12"/>
    </row>
    <row r="634" spans="1:12" ht="20.100000000000001" customHeight="1">
      <c r="A634" s="20" t="s">
        <v>732</v>
      </c>
      <c r="B634" s="21" t="s">
        <v>733</v>
      </c>
      <c r="C634" s="42" t="s">
        <v>734</v>
      </c>
      <c r="D634" s="12"/>
      <c r="E634" s="12"/>
      <c r="F634" s="24"/>
      <c r="G634" s="24"/>
      <c r="H634" s="12"/>
      <c r="I634" s="12">
        <f t="array" ref="I634">G634+F634</f>
        <v>0</v>
      </c>
      <c r="J634" s="12"/>
      <c r="K634" s="12"/>
      <c r="L634" s="12"/>
    </row>
    <row r="635" spans="1:12" ht="20.100000000000001" customHeight="1">
      <c r="A635" s="20" t="s">
        <v>735</v>
      </c>
      <c r="B635" s="21" t="s">
        <v>736</v>
      </c>
      <c r="C635" s="42" t="s">
        <v>737</v>
      </c>
      <c r="D635" s="12"/>
      <c r="E635" s="12"/>
      <c r="F635" s="24">
        <v>191000</v>
      </c>
      <c r="G635" s="24">
        <v>191000</v>
      </c>
      <c r="H635" s="12"/>
      <c r="I635" s="12">
        <f t="array" ref="I635">G635+F635</f>
        <v>382000</v>
      </c>
      <c r="J635" s="12"/>
      <c r="K635" s="12"/>
      <c r="L635" s="12"/>
    </row>
    <row r="636" spans="1:12" ht="20.100000000000001" customHeight="1">
      <c r="A636" s="20" t="s">
        <v>738</v>
      </c>
      <c r="B636" s="21" t="s">
        <v>739</v>
      </c>
      <c r="C636" s="42" t="s">
        <v>740</v>
      </c>
      <c r="D636" s="12"/>
      <c r="E636" s="12"/>
      <c r="F636" s="24"/>
      <c r="G636" s="24"/>
      <c r="H636" s="12"/>
      <c r="I636" s="12">
        <f t="array" ref="I636">G636+F636</f>
        <v>0</v>
      </c>
      <c r="J636" s="12"/>
      <c r="K636" s="12"/>
      <c r="L636" s="12"/>
    </row>
    <row r="637" spans="1:12" ht="20.100000000000001" customHeight="1">
      <c r="A637" s="20" t="s">
        <v>741</v>
      </c>
      <c r="B637" s="21" t="s">
        <v>742</v>
      </c>
      <c r="C637" s="42" t="s">
        <v>743</v>
      </c>
      <c r="D637" s="12"/>
      <c r="E637" s="12"/>
      <c r="F637" s="24">
        <v>49000</v>
      </c>
      <c r="G637" s="24">
        <v>49000</v>
      </c>
      <c r="H637" s="12"/>
      <c r="I637" s="12">
        <f t="array" ref="I637">G637+F637</f>
        <v>98000</v>
      </c>
      <c r="J637" s="12"/>
      <c r="K637" s="12"/>
      <c r="L637" s="12"/>
    </row>
    <row r="638" spans="1:12" ht="20.100000000000001" customHeight="1">
      <c r="A638" s="20" t="s">
        <v>744</v>
      </c>
      <c r="B638" s="21" t="s">
        <v>745</v>
      </c>
      <c r="C638" s="42" t="s">
        <v>746</v>
      </c>
      <c r="D638" s="12"/>
      <c r="E638" s="12"/>
      <c r="F638" s="24">
        <v>107500</v>
      </c>
      <c r="G638" s="24">
        <v>107500</v>
      </c>
      <c r="H638" s="12"/>
      <c r="I638" s="12">
        <f t="array" ref="I638">G638+F638</f>
        <v>215000</v>
      </c>
      <c r="J638" s="12"/>
      <c r="K638" s="12"/>
      <c r="L638" s="12"/>
    </row>
    <row r="639" spans="1:12" ht="20.100000000000001" customHeight="1">
      <c r="A639" s="20" t="s">
        <v>747</v>
      </c>
      <c r="B639" s="21" t="s">
        <v>748</v>
      </c>
      <c r="C639" s="42" t="s">
        <v>30</v>
      </c>
      <c r="D639" s="12"/>
      <c r="E639" s="12"/>
      <c r="F639" s="24"/>
      <c r="G639" s="24"/>
      <c r="H639" s="12"/>
      <c r="I639" s="12">
        <f t="array" ref="I639">G639+F639</f>
        <v>0</v>
      </c>
      <c r="J639" s="12"/>
      <c r="K639" s="12"/>
      <c r="L639" s="12"/>
    </row>
    <row r="640" spans="1:12" ht="20.100000000000001" customHeight="1">
      <c r="A640" s="20" t="s">
        <v>749</v>
      </c>
      <c r="B640" s="21" t="s">
        <v>750</v>
      </c>
      <c r="C640" s="42" t="s">
        <v>751</v>
      </c>
      <c r="D640" s="12"/>
      <c r="E640" s="12"/>
      <c r="F640" s="24"/>
      <c r="G640" s="24"/>
      <c r="H640" s="12"/>
      <c r="I640" s="12">
        <f t="array" ref="I640">G640+F640</f>
        <v>0</v>
      </c>
      <c r="J640" s="12"/>
      <c r="K640" s="12"/>
      <c r="L640" s="12"/>
    </row>
    <row r="641" spans="1:12" ht="20.100000000000001" customHeight="1">
      <c r="A641" s="20" t="s">
        <v>752</v>
      </c>
      <c r="B641" s="21" t="s">
        <v>753</v>
      </c>
      <c r="C641" s="42" t="s">
        <v>754</v>
      </c>
      <c r="D641" s="12"/>
      <c r="E641" s="12"/>
      <c r="F641" s="24"/>
      <c r="G641" s="24"/>
      <c r="H641" s="12"/>
      <c r="I641" s="12">
        <f t="array" ref="I641">G641+F641</f>
        <v>0</v>
      </c>
      <c r="J641" s="12"/>
      <c r="K641" s="12"/>
      <c r="L641" s="12"/>
    </row>
    <row r="642" spans="1:12" ht="20.100000000000001" customHeight="1">
      <c r="A642" s="20" t="s">
        <v>755</v>
      </c>
      <c r="B642" s="21" t="s">
        <v>756</v>
      </c>
      <c r="C642" s="42" t="s">
        <v>757</v>
      </c>
      <c r="D642" s="12"/>
      <c r="E642" s="12"/>
      <c r="F642" s="24">
        <v>118500</v>
      </c>
      <c r="G642" s="24">
        <v>118500</v>
      </c>
      <c r="H642" s="12"/>
      <c r="I642" s="12">
        <f t="array" ref="I642">G642+F642</f>
        <v>237000</v>
      </c>
      <c r="J642" s="12"/>
      <c r="K642" s="12"/>
      <c r="L642" s="12"/>
    </row>
    <row r="643" spans="1:12" ht="20.100000000000001" customHeight="1">
      <c r="A643" s="20" t="s">
        <v>758</v>
      </c>
      <c r="B643" s="21" t="s">
        <v>759</v>
      </c>
      <c r="C643" s="42" t="s">
        <v>760</v>
      </c>
      <c r="D643" s="12"/>
      <c r="E643" s="12"/>
      <c r="F643" s="24"/>
      <c r="G643" s="24"/>
      <c r="H643" s="12"/>
      <c r="I643" s="12">
        <f t="array" ref="I643">G643+F643</f>
        <v>0</v>
      </c>
      <c r="J643" s="12"/>
      <c r="K643" s="12"/>
      <c r="L643" s="12"/>
    </row>
    <row r="644" spans="1:12" ht="20.100000000000001" customHeight="1">
      <c r="A644" s="20" t="s">
        <v>761</v>
      </c>
      <c r="B644" s="21" t="s">
        <v>762</v>
      </c>
      <c r="C644" s="42" t="s">
        <v>763</v>
      </c>
      <c r="D644" s="12"/>
      <c r="E644" s="12"/>
      <c r="F644" s="24"/>
      <c r="G644" s="24"/>
      <c r="H644" s="12"/>
      <c r="I644" s="12">
        <f t="array" ref="I644">G644+F644</f>
        <v>0</v>
      </c>
      <c r="J644" s="12"/>
      <c r="K644" s="12"/>
      <c r="L644" s="12"/>
    </row>
    <row r="645" spans="1:12" ht="20.100000000000001" customHeight="1">
      <c r="A645" s="20" t="s">
        <v>764</v>
      </c>
      <c r="B645" s="21" t="s">
        <v>765</v>
      </c>
      <c r="C645" s="42" t="s">
        <v>766</v>
      </c>
      <c r="D645" s="12"/>
      <c r="E645" s="12"/>
      <c r="F645" s="24">
        <v>112000</v>
      </c>
      <c r="G645" s="24">
        <v>112000</v>
      </c>
      <c r="H645" s="12"/>
      <c r="I645" s="12">
        <f t="array" ref="I645">G645+F645</f>
        <v>224000</v>
      </c>
      <c r="J645" s="12"/>
      <c r="K645" s="12"/>
      <c r="L645" s="12"/>
    </row>
    <row r="646" spans="1:12" ht="32.1" customHeight="1">
      <c r="A646" s="20" t="s">
        <v>767</v>
      </c>
      <c r="B646" s="21" t="s">
        <v>768</v>
      </c>
      <c r="C646" s="42" t="s">
        <v>769</v>
      </c>
      <c r="D646" s="12"/>
      <c r="E646" s="12"/>
      <c r="F646" s="24"/>
      <c r="G646" s="24"/>
      <c r="H646" s="12"/>
      <c r="I646" s="12">
        <f t="array" ref="I646">G646+F646</f>
        <v>0</v>
      </c>
      <c r="J646" s="12"/>
      <c r="K646" s="12"/>
      <c r="L646" s="12"/>
    </row>
    <row r="647" spans="1:12" ht="20.100000000000001" customHeight="1">
      <c r="A647" s="20" t="s">
        <v>770</v>
      </c>
      <c r="B647" s="21" t="s">
        <v>771</v>
      </c>
      <c r="C647" s="42" t="s">
        <v>772</v>
      </c>
      <c r="D647" s="12"/>
      <c r="E647" s="12"/>
      <c r="F647" s="24"/>
      <c r="G647" s="24"/>
      <c r="H647" s="12"/>
      <c r="I647" s="12">
        <f t="array" ref="I647">G647+F647</f>
        <v>0</v>
      </c>
      <c r="J647" s="12"/>
      <c r="K647" s="12"/>
      <c r="L647" s="12"/>
    </row>
    <row r="648" spans="1:12" ht="20.100000000000001" customHeight="1">
      <c r="A648" s="20" t="s">
        <v>773</v>
      </c>
      <c r="B648" s="21" t="s">
        <v>774</v>
      </c>
      <c r="C648" s="42" t="s">
        <v>775</v>
      </c>
      <c r="D648" s="12"/>
      <c r="E648" s="12"/>
      <c r="F648" s="24"/>
      <c r="G648" s="24"/>
      <c r="H648" s="12"/>
      <c r="I648" s="12">
        <f t="array" ref="I648">G648+F648</f>
        <v>0</v>
      </c>
      <c r="J648" s="12"/>
      <c r="K648" s="12"/>
      <c r="L648" s="12"/>
    </row>
    <row r="649" spans="1:12" ht="20.100000000000001" customHeight="1">
      <c r="A649" s="20" t="s">
        <v>776</v>
      </c>
      <c r="B649" s="21" t="s">
        <v>777</v>
      </c>
      <c r="C649" s="42" t="s">
        <v>778</v>
      </c>
      <c r="D649" s="12"/>
      <c r="E649" s="12"/>
      <c r="F649" s="24">
        <v>217500</v>
      </c>
      <c r="G649" s="24">
        <v>217500</v>
      </c>
      <c r="H649" s="12"/>
      <c r="I649" s="12">
        <f t="array" ref="I649">G649+F649</f>
        <v>435000</v>
      </c>
      <c r="J649" s="12"/>
      <c r="K649" s="12"/>
      <c r="L649" s="12"/>
    </row>
    <row r="650" spans="1:12" ht="20.100000000000001" customHeight="1">
      <c r="A650" s="20" t="s">
        <v>779</v>
      </c>
      <c r="B650" s="21" t="s">
        <v>780</v>
      </c>
      <c r="C650" s="42" t="s">
        <v>781</v>
      </c>
      <c r="D650" s="12"/>
      <c r="E650" s="12"/>
      <c r="F650" s="24">
        <v>179500</v>
      </c>
      <c r="G650" s="24">
        <v>179500</v>
      </c>
      <c r="H650" s="12"/>
      <c r="I650" s="12">
        <f t="array" ref="I650">G650+F650</f>
        <v>359000</v>
      </c>
      <c r="J650" s="12"/>
      <c r="K650" s="12"/>
      <c r="L650" s="12"/>
    </row>
    <row r="651" spans="1:12" ht="20.100000000000001" customHeight="1">
      <c r="A651" s="20" t="s">
        <v>782</v>
      </c>
      <c r="B651" s="21" t="s">
        <v>783</v>
      </c>
      <c r="C651" s="42" t="s">
        <v>784</v>
      </c>
      <c r="D651" s="12"/>
      <c r="E651" s="12"/>
      <c r="F651" s="24">
        <v>127000</v>
      </c>
      <c r="G651" s="24">
        <v>127000</v>
      </c>
      <c r="H651" s="12"/>
      <c r="I651" s="12">
        <f t="array" ref="I651">G651+F651</f>
        <v>254000</v>
      </c>
      <c r="J651" s="12"/>
      <c r="K651" s="12"/>
      <c r="L651" s="12"/>
    </row>
    <row r="652" spans="1:12" ht="20.100000000000001" customHeight="1">
      <c r="A652" s="20" t="s">
        <v>785</v>
      </c>
      <c r="B652" s="21" t="s">
        <v>786</v>
      </c>
      <c r="C652" s="42" t="s">
        <v>787</v>
      </c>
      <c r="D652" s="12"/>
      <c r="E652" s="12"/>
      <c r="F652" s="24"/>
      <c r="G652" s="24"/>
      <c r="H652" s="12"/>
      <c r="I652" s="12">
        <f t="array" ref="I652">G652+F652</f>
        <v>0</v>
      </c>
      <c r="J652" s="12"/>
      <c r="K652" s="12"/>
      <c r="L652" s="12"/>
    </row>
    <row r="653" spans="1:12" ht="20.100000000000001" customHeight="1">
      <c r="A653" s="20" t="s">
        <v>788</v>
      </c>
      <c r="B653" s="21" t="s">
        <v>789</v>
      </c>
      <c r="C653" s="42" t="s">
        <v>790</v>
      </c>
      <c r="D653" s="12"/>
      <c r="E653" s="12"/>
      <c r="F653" s="24"/>
      <c r="G653" s="24"/>
      <c r="H653" s="12"/>
      <c r="I653" s="12">
        <f t="array" ref="I653">G653+F653</f>
        <v>0</v>
      </c>
      <c r="J653" s="12"/>
      <c r="K653" s="12"/>
      <c r="L653" s="12"/>
    </row>
    <row r="654" spans="1:12" ht="20.100000000000001" customHeight="1">
      <c r="A654" s="20" t="s">
        <v>791</v>
      </c>
      <c r="B654" s="21" t="s">
        <v>792</v>
      </c>
      <c r="C654" s="42" t="s">
        <v>793</v>
      </c>
      <c r="D654" s="12"/>
      <c r="E654" s="12"/>
      <c r="F654" s="24"/>
      <c r="G654" s="24"/>
      <c r="H654" s="12"/>
      <c r="I654" s="12">
        <f t="array" ref="I654">G654+F654</f>
        <v>0</v>
      </c>
      <c r="J654" s="12"/>
      <c r="K654" s="12"/>
      <c r="L654" s="12"/>
    </row>
    <row r="655" spans="1:12" ht="20.100000000000001" customHeight="1">
      <c r="A655" s="20" t="s">
        <v>794</v>
      </c>
      <c r="B655" s="21" t="s">
        <v>795</v>
      </c>
      <c r="C655" s="42" t="s">
        <v>796</v>
      </c>
      <c r="D655" s="12"/>
      <c r="E655" s="12"/>
      <c r="F655" s="24">
        <v>414000</v>
      </c>
      <c r="G655" s="24">
        <v>414000</v>
      </c>
      <c r="H655" s="12"/>
      <c r="I655" s="12">
        <f t="array" ref="I655">G655+F655</f>
        <v>828000</v>
      </c>
      <c r="J655" s="12"/>
      <c r="K655" s="12"/>
      <c r="L655" s="12"/>
    </row>
    <row r="656" spans="1:12" ht="20.100000000000001" customHeight="1">
      <c r="A656" s="20" t="s">
        <v>797</v>
      </c>
      <c r="B656" s="21" t="s">
        <v>798</v>
      </c>
      <c r="C656" s="42" t="s">
        <v>799</v>
      </c>
      <c r="D656" s="12"/>
      <c r="E656" s="12"/>
      <c r="F656" s="24"/>
      <c r="G656" s="24"/>
      <c r="H656" s="12"/>
      <c r="I656" s="12">
        <f t="array" ref="I656">G656+F656</f>
        <v>0</v>
      </c>
      <c r="J656" s="12"/>
      <c r="K656" s="12"/>
      <c r="L656" s="12"/>
    </row>
    <row r="657" spans="1:12" ht="20.100000000000001" customHeight="1">
      <c r="A657" s="20" t="s">
        <v>800</v>
      </c>
      <c r="B657" s="21" t="s">
        <v>801</v>
      </c>
      <c r="C657" s="42" t="s">
        <v>802</v>
      </c>
      <c r="D657" s="12"/>
      <c r="E657" s="12"/>
      <c r="F657" s="24"/>
      <c r="G657" s="24"/>
      <c r="H657" s="12"/>
      <c r="I657" s="12">
        <f t="array" ref="I657">G657+F657</f>
        <v>0</v>
      </c>
      <c r="J657" s="12"/>
      <c r="K657" s="12"/>
      <c r="L657" s="12"/>
    </row>
    <row r="658" spans="1:12" ht="20.100000000000001" customHeight="1">
      <c r="A658" s="20" t="s">
        <v>803</v>
      </c>
      <c r="B658" s="21" t="s">
        <v>804</v>
      </c>
      <c r="C658" s="42" t="s">
        <v>805</v>
      </c>
      <c r="D658" s="12"/>
      <c r="E658" s="12"/>
      <c r="F658" s="24"/>
      <c r="G658" s="24"/>
      <c r="H658" s="12"/>
      <c r="I658" s="12">
        <f t="array" ref="I658">G658+F658</f>
        <v>0</v>
      </c>
      <c r="J658" s="12"/>
      <c r="K658" s="12"/>
      <c r="L658" s="12"/>
    </row>
    <row r="659" spans="1:12" ht="20.100000000000001" customHeight="1">
      <c r="A659" s="20" t="s">
        <v>806</v>
      </c>
      <c r="B659" s="21" t="s">
        <v>807</v>
      </c>
      <c r="C659" s="42" t="s">
        <v>808</v>
      </c>
      <c r="D659" s="12"/>
      <c r="E659" s="12"/>
      <c r="F659" s="24"/>
      <c r="G659" s="24"/>
      <c r="H659" s="12"/>
      <c r="I659" s="12">
        <f t="array" ref="I659">G659+F659</f>
        <v>0</v>
      </c>
      <c r="J659" s="12"/>
      <c r="K659" s="12"/>
      <c r="L659" s="12"/>
    </row>
    <row r="660" spans="1:12" ht="20.100000000000001" customHeight="1">
      <c r="A660" s="20" t="s">
        <v>809</v>
      </c>
      <c r="B660" s="21" t="s">
        <v>810</v>
      </c>
      <c r="C660" s="42" t="s">
        <v>811</v>
      </c>
      <c r="D660" s="12"/>
      <c r="E660" s="12"/>
      <c r="F660" s="24"/>
      <c r="G660" s="24"/>
      <c r="H660" s="12"/>
      <c r="I660" s="12">
        <f t="array" ref="I660">G660+F660</f>
        <v>0</v>
      </c>
      <c r="J660" s="12"/>
      <c r="K660" s="12"/>
      <c r="L660" s="12"/>
    </row>
    <row r="661" spans="1:12" ht="20.100000000000001" customHeight="1">
      <c r="A661" s="20" t="s">
        <v>812</v>
      </c>
      <c r="B661" s="21" t="s">
        <v>813</v>
      </c>
      <c r="C661" s="42" t="s">
        <v>814</v>
      </c>
      <c r="D661" s="12"/>
      <c r="E661" s="12"/>
      <c r="F661" s="24"/>
      <c r="G661" s="24"/>
      <c r="H661" s="12"/>
      <c r="I661" s="12">
        <f t="array" ref="I661">G661+F661</f>
        <v>0</v>
      </c>
      <c r="J661" s="12"/>
      <c r="K661" s="12"/>
      <c r="L661" s="12"/>
    </row>
    <row r="662" spans="1:12" ht="20.100000000000001" customHeight="1">
      <c r="A662" s="20" t="s">
        <v>815</v>
      </c>
      <c r="B662" s="21" t="s">
        <v>816</v>
      </c>
      <c r="C662" s="42" t="s">
        <v>817</v>
      </c>
      <c r="D662" s="12"/>
      <c r="E662" s="12"/>
      <c r="F662" s="24">
        <v>91500</v>
      </c>
      <c r="G662" s="24">
        <v>91500</v>
      </c>
      <c r="H662" s="12"/>
      <c r="I662" s="12">
        <f t="array" ref="I662">G662+F662</f>
        <v>183000</v>
      </c>
      <c r="J662" s="12"/>
      <c r="K662" s="12"/>
      <c r="L662" s="12"/>
    </row>
    <row r="663" spans="1:12" ht="20.100000000000001" customHeight="1">
      <c r="A663" s="20" t="s">
        <v>818</v>
      </c>
      <c r="B663" s="21" t="s">
        <v>819</v>
      </c>
      <c r="C663" s="42" t="s">
        <v>820</v>
      </c>
      <c r="D663" s="12"/>
      <c r="E663" s="12"/>
      <c r="F663" s="24"/>
      <c r="G663" s="24"/>
      <c r="H663" s="12"/>
      <c r="I663" s="12">
        <f t="array" ref="I663">G663+F663</f>
        <v>0</v>
      </c>
      <c r="J663" s="12"/>
      <c r="K663" s="12"/>
      <c r="L663" s="12"/>
    </row>
    <row r="664" spans="1:12" ht="20.100000000000001" customHeight="1">
      <c r="A664" s="20" t="s">
        <v>821</v>
      </c>
      <c r="B664" s="21" t="s">
        <v>822</v>
      </c>
      <c r="C664" s="42" t="s">
        <v>823</v>
      </c>
      <c r="D664" s="12"/>
      <c r="E664" s="12"/>
      <c r="F664" s="24">
        <v>118500</v>
      </c>
      <c r="G664" s="24">
        <v>118500</v>
      </c>
      <c r="H664" s="12"/>
      <c r="I664" s="12">
        <f t="array" ref="I664">G664+F664</f>
        <v>237000</v>
      </c>
      <c r="J664" s="12"/>
      <c r="K664" s="12"/>
      <c r="L664" s="12"/>
    </row>
    <row r="665" spans="1:12" ht="20.100000000000001" customHeight="1">
      <c r="A665" s="20" t="s">
        <v>824</v>
      </c>
      <c r="B665" s="21" t="s">
        <v>825</v>
      </c>
      <c r="C665" s="42" t="s">
        <v>826</v>
      </c>
      <c r="D665" s="12"/>
      <c r="E665" s="12"/>
      <c r="F665" s="24"/>
      <c r="G665" s="24"/>
      <c r="H665" s="12"/>
      <c r="I665" s="12">
        <f t="array" ref="I665">G665+F665</f>
        <v>0</v>
      </c>
      <c r="J665" s="12"/>
      <c r="K665" s="12"/>
      <c r="L665" s="12"/>
    </row>
    <row r="666" spans="1:12" ht="20.100000000000001" customHeight="1">
      <c r="A666" s="20" t="s">
        <v>827</v>
      </c>
      <c r="B666" s="21" t="s">
        <v>828</v>
      </c>
      <c r="C666" s="42" t="s">
        <v>829</v>
      </c>
      <c r="D666" s="12"/>
      <c r="E666" s="12"/>
      <c r="F666" s="24">
        <v>103500</v>
      </c>
      <c r="G666" s="24">
        <v>103500</v>
      </c>
      <c r="H666" s="12"/>
      <c r="I666" s="12">
        <f t="array" ref="I666">G666+F666</f>
        <v>207000</v>
      </c>
      <c r="J666" s="12"/>
      <c r="K666" s="12"/>
      <c r="L666" s="12"/>
    </row>
    <row r="667" spans="1:12" ht="20.100000000000001" customHeight="1">
      <c r="A667" s="20" t="s">
        <v>830</v>
      </c>
      <c r="B667" s="21" t="s">
        <v>831</v>
      </c>
      <c r="C667" s="42" t="s">
        <v>832</v>
      </c>
      <c r="D667" s="12"/>
      <c r="E667" s="12"/>
      <c r="F667" s="24"/>
      <c r="G667" s="24"/>
      <c r="H667" s="12"/>
      <c r="I667" s="12">
        <f t="array" ref="I667">G667+F667</f>
        <v>0</v>
      </c>
      <c r="J667" s="12"/>
      <c r="K667" s="12"/>
      <c r="L667" s="12"/>
    </row>
    <row r="668" spans="1:12" ht="20.100000000000001" customHeight="1">
      <c r="A668" s="20" t="s">
        <v>833</v>
      </c>
      <c r="B668" s="21" t="s">
        <v>834</v>
      </c>
      <c r="C668" s="42" t="s">
        <v>835</v>
      </c>
      <c r="D668" s="12"/>
      <c r="E668" s="12"/>
      <c r="F668" s="24">
        <v>1122500</v>
      </c>
      <c r="G668" s="24">
        <v>1122500</v>
      </c>
      <c r="H668" s="12"/>
      <c r="I668" s="12">
        <f t="array" ref="I668">G668+F668</f>
        <v>2245000</v>
      </c>
      <c r="J668" s="12"/>
      <c r="K668" s="12"/>
      <c r="L668" s="12"/>
    </row>
    <row r="669" spans="1:12" ht="20.100000000000001" customHeight="1">
      <c r="A669" s="20" t="s">
        <v>836</v>
      </c>
      <c r="B669" s="21" t="s">
        <v>837</v>
      </c>
      <c r="C669" s="42" t="s">
        <v>838</v>
      </c>
      <c r="D669" s="12"/>
      <c r="E669" s="12"/>
      <c r="F669" s="24">
        <v>79000</v>
      </c>
      <c r="G669" s="24">
        <v>79000</v>
      </c>
      <c r="H669" s="12"/>
      <c r="I669" s="12">
        <f t="array" ref="I669">G669+F669</f>
        <v>158000</v>
      </c>
      <c r="J669" s="12"/>
      <c r="K669" s="12"/>
      <c r="L669" s="12"/>
    </row>
    <row r="670" spans="1:12" ht="20.100000000000001" customHeight="1">
      <c r="A670" s="20" t="s">
        <v>839</v>
      </c>
      <c r="B670" s="21" t="s">
        <v>840</v>
      </c>
      <c r="C670" s="42" t="s">
        <v>841</v>
      </c>
      <c r="D670" s="12"/>
      <c r="E670" s="12"/>
      <c r="F670" s="24">
        <v>557000</v>
      </c>
      <c r="G670" s="24">
        <v>557000</v>
      </c>
      <c r="H670" s="12"/>
      <c r="I670" s="12">
        <f t="array" ref="I670">G670+F670</f>
        <v>1114000</v>
      </c>
      <c r="J670" s="12"/>
      <c r="K670" s="12"/>
      <c r="L670" s="12"/>
    </row>
    <row r="671" spans="1:12" ht="20.100000000000001" customHeight="1">
      <c r="A671" s="20" t="s">
        <v>842</v>
      </c>
      <c r="B671" s="21" t="s">
        <v>843</v>
      </c>
      <c r="C671" s="42" t="s">
        <v>844</v>
      </c>
      <c r="D671" s="12"/>
      <c r="E671" s="12"/>
      <c r="F671" s="24">
        <v>183500</v>
      </c>
      <c r="G671" s="24">
        <v>183500</v>
      </c>
      <c r="H671" s="12"/>
      <c r="I671" s="12">
        <f t="array" ref="I671">G671+F671</f>
        <v>367000</v>
      </c>
      <c r="J671" s="12"/>
      <c r="K671" s="12"/>
      <c r="L671" s="12"/>
    </row>
    <row r="672" spans="1:12" ht="20.100000000000001" customHeight="1">
      <c r="A672" s="20" t="s">
        <v>845</v>
      </c>
      <c r="B672" s="21" t="s">
        <v>846</v>
      </c>
      <c r="C672" s="42" t="s">
        <v>847</v>
      </c>
      <c r="D672" s="12"/>
      <c r="E672" s="12"/>
      <c r="F672" s="24">
        <v>682500</v>
      </c>
      <c r="G672" s="24">
        <v>682500</v>
      </c>
      <c r="H672" s="12"/>
      <c r="I672" s="12">
        <f t="array" ref="I672">G672+F672</f>
        <v>1365000</v>
      </c>
      <c r="J672" s="12"/>
      <c r="K672" s="12"/>
      <c r="L672" s="12"/>
    </row>
    <row r="673" spans="1:12" ht="20.100000000000001" customHeight="1">
      <c r="A673" s="20" t="s">
        <v>848</v>
      </c>
      <c r="B673" s="21" t="s">
        <v>849</v>
      </c>
      <c r="C673" s="42" t="s">
        <v>850</v>
      </c>
      <c r="D673" s="12"/>
      <c r="E673" s="12"/>
      <c r="F673" s="24"/>
      <c r="G673" s="24"/>
      <c r="H673" s="12"/>
      <c r="I673" s="12">
        <f t="array" ref="I673">G673+F673</f>
        <v>0</v>
      </c>
      <c r="J673" s="12"/>
      <c r="K673" s="12"/>
      <c r="L673" s="12"/>
    </row>
    <row r="674" spans="1:12" ht="20.100000000000001" customHeight="1">
      <c r="A674" s="20" t="s">
        <v>851</v>
      </c>
      <c r="B674" s="21" t="s">
        <v>852</v>
      </c>
      <c r="C674" s="42" t="s">
        <v>853</v>
      </c>
      <c r="D674" s="12"/>
      <c r="E674" s="12"/>
      <c r="F674" s="24"/>
      <c r="G674" s="24"/>
      <c r="H674" s="12"/>
      <c r="I674" s="12">
        <f t="array" ref="I674">G674+F674</f>
        <v>0</v>
      </c>
      <c r="J674" s="12"/>
      <c r="K674" s="12"/>
      <c r="L674" s="12"/>
    </row>
    <row r="675" spans="1:12" ht="20.100000000000001" customHeight="1">
      <c r="A675" s="20" t="s">
        <v>854</v>
      </c>
      <c r="B675" s="21" t="s">
        <v>831</v>
      </c>
      <c r="C675" s="42" t="s">
        <v>855</v>
      </c>
      <c r="D675" s="12"/>
      <c r="E675" s="12"/>
      <c r="F675" s="24"/>
      <c r="G675" s="24"/>
      <c r="H675" s="12"/>
      <c r="I675" s="12">
        <f t="array" ref="I675">G675+F675</f>
        <v>0</v>
      </c>
      <c r="J675" s="12"/>
      <c r="K675" s="12"/>
      <c r="L675" s="12"/>
    </row>
    <row r="676" spans="1:12" ht="20.100000000000001" customHeight="1">
      <c r="A676" s="20" t="s">
        <v>856</v>
      </c>
      <c r="B676" s="21" t="s">
        <v>857</v>
      </c>
      <c r="C676" s="42" t="s">
        <v>858</v>
      </c>
      <c r="D676" s="12"/>
      <c r="E676" s="12"/>
      <c r="F676" s="24"/>
      <c r="G676" s="24"/>
      <c r="H676" s="12"/>
      <c r="I676" s="12">
        <f t="array" ref="I676">G676+F676</f>
        <v>0</v>
      </c>
      <c r="J676" s="12"/>
      <c r="K676" s="12"/>
      <c r="L676" s="12"/>
    </row>
    <row r="677" spans="1:12" ht="20.100000000000001" customHeight="1">
      <c r="A677" s="20" t="s">
        <v>859</v>
      </c>
      <c r="B677" s="21" t="s">
        <v>860</v>
      </c>
      <c r="C677" s="42" t="s">
        <v>861</v>
      </c>
      <c r="D677" s="12"/>
      <c r="E677" s="12"/>
      <c r="F677" s="24"/>
      <c r="G677" s="24"/>
      <c r="H677" s="12"/>
      <c r="I677" s="12">
        <f t="array" ref="I677">G677+F677</f>
        <v>0</v>
      </c>
      <c r="J677" s="12"/>
      <c r="K677" s="12"/>
      <c r="L677" s="12"/>
    </row>
    <row r="678" spans="1:12" ht="20.100000000000001" customHeight="1">
      <c r="A678" s="20" t="s">
        <v>862</v>
      </c>
      <c r="B678" s="21" t="s">
        <v>863</v>
      </c>
      <c r="C678" s="42" t="s">
        <v>864</v>
      </c>
      <c r="D678" s="12"/>
      <c r="E678" s="12"/>
      <c r="F678" s="24">
        <v>677500</v>
      </c>
      <c r="G678" s="24">
        <v>677500</v>
      </c>
      <c r="H678" s="12"/>
      <c r="I678" s="12">
        <f t="array" ref="I678">G678+F678</f>
        <v>1355000</v>
      </c>
      <c r="J678" s="12"/>
      <c r="K678" s="12"/>
      <c r="L678" s="12"/>
    </row>
    <row r="679" spans="1:12" ht="20.100000000000001" customHeight="1">
      <c r="A679" s="20" t="s">
        <v>865</v>
      </c>
      <c r="B679" s="21" t="s">
        <v>866</v>
      </c>
      <c r="C679" s="42" t="s">
        <v>867</v>
      </c>
      <c r="D679" s="12"/>
      <c r="E679" s="12"/>
      <c r="F679" s="24"/>
      <c r="G679" s="24"/>
      <c r="H679" s="12"/>
      <c r="I679" s="12">
        <f t="array" ref="I679">G679+F679</f>
        <v>0</v>
      </c>
      <c r="J679" s="12"/>
      <c r="K679" s="12"/>
      <c r="L679" s="12"/>
    </row>
    <row r="680" spans="1:12" ht="20.100000000000001" customHeight="1">
      <c r="A680" s="20" t="s">
        <v>868</v>
      </c>
      <c r="B680" s="21" t="s">
        <v>869</v>
      </c>
      <c r="C680" s="42" t="s">
        <v>870</v>
      </c>
      <c r="D680" s="12"/>
      <c r="E680" s="12"/>
      <c r="F680" s="24">
        <v>307500</v>
      </c>
      <c r="G680" s="24">
        <v>307500</v>
      </c>
      <c r="H680" s="12"/>
      <c r="I680" s="12">
        <f t="array" ref="I680">G680+F680</f>
        <v>615000</v>
      </c>
      <c r="J680" s="12"/>
      <c r="K680" s="12"/>
      <c r="L680" s="12"/>
    </row>
    <row r="681" spans="1:12" ht="20.100000000000001" customHeight="1">
      <c r="A681" s="20" t="s">
        <v>871</v>
      </c>
      <c r="B681" s="43" t="s">
        <v>716</v>
      </c>
      <c r="C681" s="12"/>
      <c r="D681" s="12"/>
      <c r="E681" s="12"/>
      <c r="F681" s="12">
        <f t="array" ref="F681">SUM(F629:F680)</f>
        <v>5884000</v>
      </c>
      <c r="G681" s="12">
        <f t="array" ref="G681">SUM(G629:G680)</f>
        <v>5884000</v>
      </c>
      <c r="H681" s="12"/>
      <c r="I681" s="12">
        <f t="array" ref="I681">SUM(I629:I680)</f>
        <v>11768000</v>
      </c>
      <c r="J681" s="12"/>
      <c r="K681" s="12"/>
      <c r="L681" s="12"/>
    </row>
    <row r="682" spans="1:12" ht="20.100000000000001" customHeight="1">
      <c r="A682" s="10"/>
      <c r="B682" s="11"/>
      <c r="C682" s="25"/>
      <c r="D682" s="12"/>
      <c r="E682" s="12"/>
      <c r="F682" s="12"/>
      <c r="G682" s="12"/>
      <c r="H682" s="12"/>
      <c r="I682" s="12"/>
      <c r="J682" s="12"/>
      <c r="K682" s="12"/>
      <c r="L682" s="12"/>
    </row>
    <row r="683" spans="1:12" ht="20.100000000000001" customHeight="1">
      <c r="A683" s="10"/>
      <c r="B683" s="40" t="s">
        <v>872</v>
      </c>
      <c r="C683" s="25"/>
      <c r="D683" s="12"/>
      <c r="E683" s="12"/>
      <c r="F683" s="12"/>
      <c r="G683" s="12"/>
      <c r="H683" s="12"/>
      <c r="I683" s="12"/>
      <c r="J683" s="12"/>
      <c r="K683" s="12"/>
      <c r="L683" s="12"/>
    </row>
    <row r="684" spans="1:12" ht="20.100000000000001" customHeight="1">
      <c r="A684" s="20" t="s">
        <v>873</v>
      </c>
      <c r="B684" s="21" t="s">
        <v>874</v>
      </c>
      <c r="C684" s="42" t="s">
        <v>875</v>
      </c>
      <c r="D684" s="12"/>
      <c r="E684" s="12"/>
      <c r="F684" s="24"/>
      <c r="G684" s="24"/>
      <c r="H684" s="12"/>
      <c r="I684" s="12">
        <f t="array" ref="I684">G684+F684</f>
        <v>0</v>
      </c>
      <c r="J684" s="12"/>
      <c r="K684" s="12"/>
      <c r="L684" s="12"/>
    </row>
    <row r="685" spans="1:12" ht="20.100000000000001" customHeight="1">
      <c r="A685" s="20" t="s">
        <v>876</v>
      </c>
      <c r="B685" s="21" t="s">
        <v>877</v>
      </c>
      <c r="C685" s="42" t="s">
        <v>878</v>
      </c>
      <c r="D685" s="12"/>
      <c r="E685" s="12"/>
      <c r="F685" s="24"/>
      <c r="G685" s="24"/>
      <c r="H685" s="12"/>
      <c r="I685" s="12">
        <f t="array" ref="I685">G685+F685</f>
        <v>0</v>
      </c>
      <c r="J685" s="12"/>
      <c r="K685" s="12"/>
      <c r="L685" s="12"/>
    </row>
    <row r="686" spans="1:12" ht="20.100000000000001" customHeight="1">
      <c r="A686" s="20" t="s">
        <v>879</v>
      </c>
      <c r="B686" s="21" t="s">
        <v>880</v>
      </c>
      <c r="C686" s="42" t="s">
        <v>881</v>
      </c>
      <c r="D686" s="12"/>
      <c r="E686" s="12"/>
      <c r="F686" s="24"/>
      <c r="G686" s="24"/>
      <c r="H686" s="12"/>
      <c r="I686" s="12">
        <f t="array" ref="I686">G686+F686</f>
        <v>0</v>
      </c>
      <c r="J686" s="12"/>
      <c r="K686" s="12"/>
      <c r="L686" s="12"/>
    </row>
    <row r="687" spans="1:12" ht="20.100000000000001" customHeight="1">
      <c r="A687" s="20" t="s">
        <v>882</v>
      </c>
      <c r="B687" s="21" t="s">
        <v>883</v>
      </c>
      <c r="C687" s="42" t="s">
        <v>884</v>
      </c>
      <c r="D687" s="12"/>
      <c r="E687" s="12"/>
      <c r="F687" s="24"/>
      <c r="G687" s="24"/>
      <c r="H687" s="12"/>
      <c r="I687" s="12">
        <f t="array" ref="I687">G687+F687</f>
        <v>0</v>
      </c>
      <c r="J687" s="12"/>
      <c r="K687" s="12"/>
      <c r="L687" s="12"/>
    </row>
    <row r="688" spans="1:12" ht="20.100000000000001" customHeight="1">
      <c r="A688" s="20" t="s">
        <v>885</v>
      </c>
      <c r="B688" s="21" t="s">
        <v>886</v>
      </c>
      <c r="C688" s="42" t="s">
        <v>887</v>
      </c>
      <c r="D688" s="12"/>
      <c r="E688" s="12"/>
      <c r="F688" s="24"/>
      <c r="G688" s="24"/>
      <c r="H688" s="12"/>
      <c r="I688" s="12">
        <f t="array" ref="I688">G688+F688</f>
        <v>0</v>
      </c>
      <c r="J688" s="12"/>
      <c r="K688" s="12"/>
      <c r="L688" s="12"/>
    </row>
    <row r="689" spans="1:12" ht="20.100000000000001" customHeight="1">
      <c r="A689" s="20" t="s">
        <v>888</v>
      </c>
      <c r="B689" s="21" t="s">
        <v>889</v>
      </c>
      <c r="C689" s="42" t="s">
        <v>890</v>
      </c>
      <c r="D689" s="12"/>
      <c r="E689" s="12"/>
      <c r="F689" s="24"/>
      <c r="G689" s="24"/>
      <c r="H689" s="12"/>
      <c r="I689" s="12">
        <f t="array" ref="I689">G689+F689</f>
        <v>0</v>
      </c>
      <c r="J689" s="12"/>
      <c r="K689" s="12"/>
      <c r="L689" s="12"/>
    </row>
    <row r="690" spans="1:12" ht="20.100000000000001" customHeight="1">
      <c r="A690" s="20" t="s">
        <v>891</v>
      </c>
      <c r="B690" s="21" t="s">
        <v>892</v>
      </c>
      <c r="C690" s="42" t="s">
        <v>893</v>
      </c>
      <c r="D690" s="12"/>
      <c r="E690" s="12"/>
      <c r="F690" s="24"/>
      <c r="G690" s="24"/>
      <c r="H690" s="12"/>
      <c r="I690" s="12">
        <f t="array" ref="I690">G690+F690</f>
        <v>0</v>
      </c>
      <c r="J690" s="12"/>
      <c r="K690" s="12"/>
      <c r="L690" s="12"/>
    </row>
    <row r="691" spans="1:12" ht="20.100000000000001" customHeight="1">
      <c r="A691" s="20" t="s">
        <v>894</v>
      </c>
      <c r="B691" s="21" t="s">
        <v>895</v>
      </c>
      <c r="C691" s="42" t="s">
        <v>896</v>
      </c>
      <c r="D691" s="12"/>
      <c r="E691" s="12"/>
      <c r="F691" s="24"/>
      <c r="G691" s="24"/>
      <c r="H691" s="12"/>
      <c r="I691" s="12">
        <f t="array" ref="I691">G691+F691</f>
        <v>0</v>
      </c>
      <c r="J691" s="12"/>
      <c r="K691" s="12"/>
      <c r="L691" s="12"/>
    </row>
    <row r="692" spans="1:12" ht="20.100000000000001" customHeight="1">
      <c r="A692" s="20" t="s">
        <v>897</v>
      </c>
      <c r="B692" s="21" t="s">
        <v>898</v>
      </c>
      <c r="C692" s="42" t="s">
        <v>899</v>
      </c>
      <c r="D692" s="12"/>
      <c r="E692" s="12"/>
      <c r="F692" s="24"/>
      <c r="G692" s="24"/>
      <c r="H692" s="12"/>
      <c r="I692" s="12">
        <f t="array" ref="I692">G692+F692</f>
        <v>0</v>
      </c>
      <c r="J692" s="12"/>
      <c r="K692" s="12"/>
      <c r="L692" s="12"/>
    </row>
    <row r="693" spans="1:12" ht="20.100000000000001" customHeight="1">
      <c r="A693" s="20" t="s">
        <v>900</v>
      </c>
      <c r="B693" s="21" t="s">
        <v>901</v>
      </c>
      <c r="C693" s="42" t="s">
        <v>902</v>
      </c>
      <c r="D693" s="12"/>
      <c r="E693" s="12"/>
      <c r="F693" s="24"/>
      <c r="G693" s="24"/>
      <c r="H693" s="12"/>
      <c r="I693" s="12">
        <f t="array" ref="I693">G693+F693</f>
        <v>0</v>
      </c>
      <c r="J693" s="12"/>
      <c r="K693" s="12"/>
      <c r="L693" s="12"/>
    </row>
    <row r="694" spans="1:12" ht="20.100000000000001" customHeight="1">
      <c r="A694" s="20" t="s">
        <v>903</v>
      </c>
      <c r="B694" s="21" t="s">
        <v>904</v>
      </c>
      <c r="C694" s="42" t="s">
        <v>905</v>
      </c>
      <c r="D694" s="12"/>
      <c r="E694" s="12"/>
      <c r="F694" s="24"/>
      <c r="G694" s="24"/>
      <c r="H694" s="12"/>
      <c r="I694" s="12">
        <f t="array" ref="I694">G694+F694</f>
        <v>0</v>
      </c>
      <c r="J694" s="12"/>
      <c r="K694" s="12"/>
      <c r="L694" s="12"/>
    </row>
    <row r="695" spans="1:12" ht="20.100000000000001" customHeight="1">
      <c r="A695" s="20" t="s">
        <v>906</v>
      </c>
      <c r="B695" s="21" t="s">
        <v>907</v>
      </c>
      <c r="C695" s="42" t="s">
        <v>908</v>
      </c>
      <c r="D695" s="12"/>
      <c r="E695" s="12"/>
      <c r="F695" s="24"/>
      <c r="G695" s="24"/>
      <c r="H695" s="12"/>
      <c r="I695" s="12">
        <f t="array" ref="I695">G695+F695</f>
        <v>0</v>
      </c>
      <c r="J695" s="12"/>
      <c r="K695" s="12"/>
      <c r="L695" s="12"/>
    </row>
    <row r="696" spans="1:12" ht="20.100000000000001" customHeight="1">
      <c r="A696" s="20" t="s">
        <v>909</v>
      </c>
      <c r="B696" s="21" t="s">
        <v>910</v>
      </c>
      <c r="C696" s="42" t="s">
        <v>911</v>
      </c>
      <c r="D696" s="12"/>
      <c r="E696" s="12"/>
      <c r="F696" s="24"/>
      <c r="G696" s="24"/>
      <c r="H696" s="12"/>
      <c r="I696" s="12">
        <f t="array" ref="I696">G696+F696</f>
        <v>0</v>
      </c>
      <c r="J696" s="12"/>
      <c r="K696" s="12"/>
      <c r="L696" s="12"/>
    </row>
    <row r="697" spans="1:12" ht="20.100000000000001" customHeight="1">
      <c r="A697" s="20" t="s">
        <v>912</v>
      </c>
      <c r="B697" s="21" t="s">
        <v>913</v>
      </c>
      <c r="C697" s="42" t="s">
        <v>914</v>
      </c>
      <c r="D697" s="12"/>
      <c r="E697" s="12"/>
      <c r="F697" s="24"/>
      <c r="G697" s="24"/>
      <c r="H697" s="12"/>
      <c r="I697" s="12">
        <f t="array" ref="I697">G697+F697</f>
        <v>0</v>
      </c>
      <c r="J697" s="12"/>
      <c r="K697" s="12"/>
      <c r="L697" s="12"/>
    </row>
    <row r="698" spans="1:12" ht="20.100000000000001" customHeight="1">
      <c r="A698" s="20" t="s">
        <v>915</v>
      </c>
      <c r="B698" s="21" t="s">
        <v>916</v>
      </c>
      <c r="C698" s="42" t="s">
        <v>917</v>
      </c>
      <c r="D698" s="12"/>
      <c r="E698" s="12"/>
      <c r="F698" s="24"/>
      <c r="G698" s="24"/>
      <c r="H698" s="12"/>
      <c r="I698" s="12">
        <f t="array" ref="I698">G698+F698</f>
        <v>0</v>
      </c>
      <c r="J698" s="12"/>
      <c r="K698" s="12"/>
      <c r="L698" s="12"/>
    </row>
    <row r="699" spans="1:12" ht="20.100000000000001" customHeight="1">
      <c r="A699" s="20" t="s">
        <v>918</v>
      </c>
      <c r="B699" s="21" t="s">
        <v>919</v>
      </c>
      <c r="C699" s="42" t="s">
        <v>920</v>
      </c>
      <c r="D699" s="12"/>
      <c r="E699" s="12"/>
      <c r="F699" s="24"/>
      <c r="G699" s="24"/>
      <c r="H699" s="12"/>
      <c r="I699" s="12">
        <f t="array" ref="I699">G699+F699</f>
        <v>0</v>
      </c>
      <c r="J699" s="12"/>
      <c r="K699" s="12"/>
      <c r="L699" s="12"/>
    </row>
    <row r="700" spans="1:12" ht="20.100000000000001" customHeight="1">
      <c r="A700" s="20" t="s">
        <v>921</v>
      </c>
      <c r="B700" s="21" t="s">
        <v>922</v>
      </c>
      <c r="C700" s="42" t="s">
        <v>923</v>
      </c>
      <c r="D700" s="12"/>
      <c r="E700" s="12"/>
      <c r="F700" s="24"/>
      <c r="G700" s="24"/>
      <c r="H700" s="12"/>
      <c r="I700" s="12">
        <f t="array" ref="I700">G700+F700</f>
        <v>0</v>
      </c>
      <c r="J700" s="12"/>
      <c r="K700" s="12"/>
      <c r="L700" s="12"/>
    </row>
    <row r="701" spans="1:12" ht="20.100000000000001" customHeight="1">
      <c r="A701" s="20" t="s">
        <v>924</v>
      </c>
      <c r="B701" s="21" t="s">
        <v>925</v>
      </c>
      <c r="C701" s="42" t="s">
        <v>926</v>
      </c>
      <c r="D701" s="12"/>
      <c r="E701" s="12"/>
      <c r="F701" s="24"/>
      <c r="G701" s="24"/>
      <c r="H701" s="12"/>
      <c r="I701" s="12">
        <f t="array" ref="I701">G701+F701</f>
        <v>0</v>
      </c>
      <c r="J701" s="12"/>
      <c r="K701" s="12"/>
      <c r="L701" s="12"/>
    </row>
    <row r="702" spans="1:12" ht="20.100000000000001" customHeight="1">
      <c r="A702" s="20" t="s">
        <v>927</v>
      </c>
      <c r="B702" s="21" t="s">
        <v>928</v>
      </c>
      <c r="C702" s="42" t="s">
        <v>929</v>
      </c>
      <c r="D702" s="12"/>
      <c r="E702" s="12"/>
      <c r="F702" s="24"/>
      <c r="G702" s="24"/>
      <c r="H702" s="12"/>
      <c r="I702" s="12">
        <f t="array" ref="I702">G702+F702</f>
        <v>0</v>
      </c>
      <c r="J702" s="12"/>
      <c r="K702" s="12"/>
      <c r="L702" s="12"/>
    </row>
    <row r="703" spans="1:12" ht="20.100000000000001" customHeight="1">
      <c r="A703" s="20" t="s">
        <v>930</v>
      </c>
      <c r="B703" s="21" t="s">
        <v>931</v>
      </c>
      <c r="C703" s="42" t="s">
        <v>932</v>
      </c>
      <c r="D703" s="12"/>
      <c r="E703" s="12"/>
      <c r="F703" s="24"/>
      <c r="G703" s="24"/>
      <c r="H703" s="12"/>
      <c r="I703" s="12">
        <f t="array" ref="I703">G703+F703</f>
        <v>0</v>
      </c>
      <c r="J703" s="12"/>
      <c r="K703" s="12"/>
      <c r="L703" s="12"/>
    </row>
    <row r="704" spans="1:12" ht="20.100000000000001" customHeight="1">
      <c r="A704" s="20" t="s">
        <v>933</v>
      </c>
      <c r="B704" s="21" t="s">
        <v>934</v>
      </c>
      <c r="C704" s="42" t="s">
        <v>935</v>
      </c>
      <c r="D704" s="12"/>
      <c r="E704" s="12"/>
      <c r="F704" s="24"/>
      <c r="G704" s="24"/>
      <c r="H704" s="12"/>
      <c r="I704" s="12">
        <f t="array" ref="I704">G704+F704</f>
        <v>0</v>
      </c>
      <c r="J704" s="12"/>
      <c r="K704" s="12"/>
      <c r="L704" s="12"/>
    </row>
    <row r="705" spans="1:12" ht="20.100000000000001" customHeight="1">
      <c r="A705" s="20" t="s">
        <v>936</v>
      </c>
      <c r="B705" s="21" t="s">
        <v>937</v>
      </c>
      <c r="C705" s="42" t="s">
        <v>938</v>
      </c>
      <c r="D705" s="12"/>
      <c r="E705" s="12"/>
      <c r="F705" s="24"/>
      <c r="G705" s="24"/>
      <c r="H705" s="12"/>
      <c r="I705" s="12">
        <f t="array" ref="I705">G705+F705</f>
        <v>0</v>
      </c>
      <c r="J705" s="12"/>
      <c r="K705" s="12"/>
      <c r="L705" s="12"/>
    </row>
    <row r="706" spans="1:12" ht="20.100000000000001" customHeight="1">
      <c r="A706" s="20" t="s">
        <v>939</v>
      </c>
      <c r="B706" s="21" t="s">
        <v>940</v>
      </c>
      <c r="C706" s="42" t="s">
        <v>941</v>
      </c>
      <c r="D706" s="12"/>
      <c r="E706" s="12"/>
      <c r="F706" s="24"/>
      <c r="G706" s="24"/>
      <c r="H706" s="12"/>
      <c r="I706" s="12">
        <f t="array" ref="I706">G706+F706</f>
        <v>0</v>
      </c>
      <c r="J706" s="12"/>
      <c r="K706" s="12"/>
      <c r="L706" s="12"/>
    </row>
    <row r="707" spans="1:12" ht="20.100000000000001" customHeight="1">
      <c r="A707" s="20" t="s">
        <v>942</v>
      </c>
      <c r="B707" s="21" t="s">
        <v>943</v>
      </c>
      <c r="C707" s="42" t="s">
        <v>944</v>
      </c>
      <c r="D707" s="12"/>
      <c r="E707" s="12"/>
      <c r="F707" s="24"/>
      <c r="G707" s="24"/>
      <c r="H707" s="12"/>
      <c r="I707" s="12">
        <f t="array" ref="I707">G707+F707</f>
        <v>0</v>
      </c>
      <c r="J707" s="12"/>
      <c r="K707" s="12"/>
      <c r="L707" s="12"/>
    </row>
    <row r="708" spans="1:12" ht="20.100000000000001" customHeight="1">
      <c r="A708" s="20" t="s">
        <v>945</v>
      </c>
      <c r="B708" s="21" t="s">
        <v>946</v>
      </c>
      <c r="C708" s="42" t="s">
        <v>947</v>
      </c>
      <c r="D708" s="12"/>
      <c r="E708" s="12"/>
      <c r="F708" s="24"/>
      <c r="G708" s="24"/>
      <c r="H708" s="12"/>
      <c r="I708" s="12">
        <f t="array" ref="I708">G708+F708</f>
        <v>0</v>
      </c>
      <c r="J708" s="12"/>
      <c r="K708" s="12"/>
      <c r="L708" s="12"/>
    </row>
    <row r="709" spans="1:12" ht="20.100000000000001" customHeight="1">
      <c r="A709" s="20" t="s">
        <v>948</v>
      </c>
      <c r="B709" s="21" t="s">
        <v>949</v>
      </c>
      <c r="C709" s="42" t="s">
        <v>950</v>
      </c>
      <c r="D709" s="12"/>
      <c r="E709" s="12"/>
      <c r="F709" s="24"/>
      <c r="G709" s="24"/>
      <c r="H709" s="12"/>
      <c r="I709" s="12">
        <f t="array" ref="I709">G709+F709</f>
        <v>0</v>
      </c>
      <c r="J709" s="12"/>
      <c r="K709" s="12"/>
      <c r="L709" s="12"/>
    </row>
    <row r="710" spans="1:12" ht="20.100000000000001" customHeight="1">
      <c r="A710" s="20" t="s">
        <v>951</v>
      </c>
      <c r="B710" s="21" t="s">
        <v>952</v>
      </c>
      <c r="C710" s="42" t="s">
        <v>953</v>
      </c>
      <c r="D710" s="12"/>
      <c r="E710" s="12"/>
      <c r="F710" s="24"/>
      <c r="G710" s="24"/>
      <c r="H710" s="12"/>
      <c r="I710" s="12">
        <f t="array" ref="I710">G710+F710</f>
        <v>0</v>
      </c>
      <c r="J710" s="12"/>
      <c r="K710" s="12"/>
      <c r="L710" s="12"/>
    </row>
    <row r="711" spans="1:12" ht="20.100000000000001" customHeight="1">
      <c r="A711" s="20" t="s">
        <v>954</v>
      </c>
      <c r="B711" s="21" t="s">
        <v>955</v>
      </c>
      <c r="C711" s="42" t="s">
        <v>956</v>
      </c>
      <c r="D711" s="12"/>
      <c r="E711" s="12"/>
      <c r="F711" s="24"/>
      <c r="G711" s="24"/>
      <c r="H711" s="12"/>
      <c r="I711" s="12">
        <f t="array" ref="I711">G711+F711</f>
        <v>0</v>
      </c>
      <c r="J711" s="12"/>
      <c r="K711" s="12"/>
      <c r="L711" s="12"/>
    </row>
    <row r="712" spans="1:12" ht="20.100000000000001" customHeight="1">
      <c r="A712" s="20" t="s">
        <v>957</v>
      </c>
      <c r="B712" s="21" t="s">
        <v>958</v>
      </c>
      <c r="C712" s="42" t="s">
        <v>959</v>
      </c>
      <c r="D712" s="12"/>
      <c r="E712" s="12"/>
      <c r="F712" s="24"/>
      <c r="G712" s="24"/>
      <c r="H712" s="12"/>
      <c r="I712" s="12">
        <f t="array" ref="I712">G712+F712</f>
        <v>0</v>
      </c>
      <c r="J712" s="12"/>
      <c r="K712" s="12"/>
      <c r="L712" s="12"/>
    </row>
    <row r="713" spans="1:12" ht="20.100000000000001" customHeight="1">
      <c r="A713" s="20" t="s">
        <v>960</v>
      </c>
      <c r="B713" s="21" t="s">
        <v>961</v>
      </c>
      <c r="C713" s="42" t="s">
        <v>962</v>
      </c>
      <c r="D713" s="12"/>
      <c r="E713" s="12"/>
      <c r="F713" s="24"/>
      <c r="G713" s="24"/>
      <c r="H713" s="12"/>
      <c r="I713" s="12">
        <f t="array" ref="I713">G713+F713</f>
        <v>0</v>
      </c>
      <c r="J713" s="12"/>
      <c r="K713" s="12"/>
      <c r="L713" s="12"/>
    </row>
    <row r="714" spans="1:12" ht="20.100000000000001" customHeight="1">
      <c r="A714" s="20" t="s">
        <v>963</v>
      </c>
      <c r="B714" s="21" t="s">
        <v>964</v>
      </c>
      <c r="C714" s="42" t="s">
        <v>965</v>
      </c>
      <c r="D714" s="12"/>
      <c r="E714" s="12"/>
      <c r="F714" s="24"/>
      <c r="G714" s="24"/>
      <c r="H714" s="12"/>
      <c r="I714" s="12">
        <f t="array" ref="I714">G714+F714</f>
        <v>0</v>
      </c>
      <c r="J714" s="12"/>
      <c r="K714" s="12"/>
      <c r="L714" s="12"/>
    </row>
    <row r="715" spans="1:12" ht="20.100000000000001" customHeight="1">
      <c r="A715" s="20" t="s">
        <v>966</v>
      </c>
      <c r="B715" s="21" t="s">
        <v>967</v>
      </c>
      <c r="C715" s="42" t="s">
        <v>968</v>
      </c>
      <c r="D715" s="12"/>
      <c r="E715" s="12"/>
      <c r="F715" s="24"/>
      <c r="G715" s="24"/>
      <c r="H715" s="12"/>
      <c r="I715" s="12">
        <f t="array" ref="I715">G715+F715</f>
        <v>0</v>
      </c>
      <c r="J715" s="12"/>
      <c r="K715" s="12"/>
      <c r="L715" s="12"/>
    </row>
    <row r="716" spans="1:12" ht="20.100000000000001" customHeight="1">
      <c r="A716" s="20" t="s">
        <v>969</v>
      </c>
      <c r="B716" s="21" t="s">
        <v>970</v>
      </c>
      <c r="C716" s="42" t="s">
        <v>971</v>
      </c>
      <c r="D716" s="12"/>
      <c r="E716" s="12"/>
      <c r="F716" s="24"/>
      <c r="G716" s="24"/>
      <c r="H716" s="12"/>
      <c r="I716" s="12">
        <f t="array" ref="I716">G716+F716</f>
        <v>0</v>
      </c>
      <c r="J716" s="12"/>
      <c r="K716" s="12"/>
      <c r="L716" s="12"/>
    </row>
    <row r="717" spans="1:12" ht="20.100000000000001" customHeight="1">
      <c r="A717" s="20" t="s">
        <v>972</v>
      </c>
      <c r="B717" s="21" t="s">
        <v>973</v>
      </c>
      <c r="C717" s="42" t="s">
        <v>974</v>
      </c>
      <c r="D717" s="12"/>
      <c r="E717" s="12"/>
      <c r="F717" s="24"/>
      <c r="G717" s="24"/>
      <c r="H717" s="12"/>
      <c r="I717" s="12">
        <f t="array" ref="I717">G717+F717</f>
        <v>0</v>
      </c>
      <c r="J717" s="12"/>
      <c r="K717" s="12"/>
      <c r="L717" s="12"/>
    </row>
    <row r="718" spans="1:12" ht="20.100000000000001" customHeight="1">
      <c r="A718" s="20" t="s">
        <v>975</v>
      </c>
      <c r="B718" s="21" t="s">
        <v>976</v>
      </c>
      <c r="C718" s="42" t="s">
        <v>977</v>
      </c>
      <c r="D718" s="12"/>
      <c r="E718" s="12"/>
      <c r="F718" s="24"/>
      <c r="G718" s="24"/>
      <c r="H718" s="12"/>
      <c r="I718" s="12">
        <f t="array" ref="I718">G718+F718</f>
        <v>0</v>
      </c>
      <c r="J718" s="12"/>
      <c r="K718" s="12"/>
      <c r="L718" s="12"/>
    </row>
    <row r="719" spans="1:12" ht="20.100000000000001" customHeight="1">
      <c r="A719" s="20" t="s">
        <v>978</v>
      </c>
      <c r="B719" s="21" t="s">
        <v>979</v>
      </c>
      <c r="C719" s="42" t="s">
        <v>980</v>
      </c>
      <c r="D719" s="12"/>
      <c r="E719" s="12"/>
      <c r="F719" s="24"/>
      <c r="G719" s="24"/>
      <c r="H719" s="12"/>
      <c r="I719" s="12">
        <f t="array" ref="I719">G719+F719</f>
        <v>0</v>
      </c>
      <c r="J719" s="12"/>
      <c r="K719" s="12"/>
      <c r="L719" s="12"/>
    </row>
    <row r="720" spans="1:12" ht="20.100000000000001" customHeight="1">
      <c r="A720" s="20" t="s">
        <v>981</v>
      </c>
      <c r="B720" s="21" t="s">
        <v>982</v>
      </c>
      <c r="C720" s="42" t="s">
        <v>983</v>
      </c>
      <c r="D720" s="12"/>
      <c r="E720" s="12"/>
      <c r="F720" s="24"/>
      <c r="G720" s="24"/>
      <c r="H720" s="12"/>
      <c r="I720" s="12">
        <f t="array" ref="I720">G720+F720</f>
        <v>0</v>
      </c>
      <c r="J720" s="12"/>
      <c r="K720" s="12"/>
      <c r="L720" s="12"/>
    </row>
    <row r="721" spans="1:12" ht="20.100000000000001" customHeight="1">
      <c r="A721" s="20" t="s">
        <v>984</v>
      </c>
      <c r="B721" s="21" t="s">
        <v>985</v>
      </c>
      <c r="C721" s="42" t="s">
        <v>986</v>
      </c>
      <c r="D721" s="12"/>
      <c r="E721" s="12"/>
      <c r="F721" s="24">
        <v>114500</v>
      </c>
      <c r="G721" s="24">
        <v>114500</v>
      </c>
      <c r="H721" s="12"/>
      <c r="I721" s="12">
        <f t="array" ref="I721">G721+F721</f>
        <v>229000</v>
      </c>
      <c r="J721" s="12"/>
      <c r="K721" s="12"/>
      <c r="L721" s="12"/>
    </row>
    <row r="722" spans="1:12" ht="20.100000000000001" customHeight="1">
      <c r="A722" s="20" t="s">
        <v>987</v>
      </c>
      <c r="B722" s="21" t="s">
        <v>988</v>
      </c>
      <c r="C722" s="42" t="s">
        <v>989</v>
      </c>
      <c r="D722" s="12"/>
      <c r="E722" s="12"/>
      <c r="F722" s="24"/>
      <c r="G722" s="24"/>
      <c r="H722" s="12"/>
      <c r="I722" s="12">
        <f t="array" ref="I722">G722+F722</f>
        <v>0</v>
      </c>
      <c r="J722" s="12"/>
      <c r="K722" s="12"/>
      <c r="L722" s="12"/>
    </row>
    <row r="723" spans="1:12" ht="20.100000000000001" customHeight="1">
      <c r="A723" s="20" t="s">
        <v>990</v>
      </c>
      <c r="B723" s="21" t="s">
        <v>991</v>
      </c>
      <c r="C723" s="42" t="s">
        <v>992</v>
      </c>
      <c r="D723" s="12"/>
      <c r="E723" s="12"/>
      <c r="F723" s="24"/>
      <c r="G723" s="24"/>
      <c r="H723" s="12"/>
      <c r="I723" s="12">
        <f t="array" ref="I723">G723+F723</f>
        <v>0</v>
      </c>
      <c r="J723" s="12"/>
      <c r="K723" s="12"/>
      <c r="L723" s="12"/>
    </row>
    <row r="724" spans="1:12" ht="20.100000000000001" customHeight="1">
      <c r="A724" s="20" t="s">
        <v>993</v>
      </c>
      <c r="B724" s="21" t="s">
        <v>994</v>
      </c>
      <c r="C724" s="42" t="s">
        <v>995</v>
      </c>
      <c r="D724" s="12"/>
      <c r="E724" s="12"/>
      <c r="F724" s="24"/>
      <c r="G724" s="24"/>
      <c r="H724" s="12"/>
      <c r="I724" s="12">
        <f t="array" ref="I724">G724+F724</f>
        <v>0</v>
      </c>
      <c r="J724" s="12"/>
      <c r="K724" s="12"/>
      <c r="L724" s="12"/>
    </row>
    <row r="725" spans="1:12" ht="20.100000000000001" customHeight="1">
      <c r="A725" s="20" t="s">
        <v>996</v>
      </c>
      <c r="B725" s="21" t="s">
        <v>997</v>
      </c>
      <c r="C725" s="42" t="s">
        <v>998</v>
      </c>
      <c r="D725" s="12"/>
      <c r="E725" s="12"/>
      <c r="F725" s="24"/>
      <c r="G725" s="24"/>
      <c r="H725" s="12"/>
      <c r="I725" s="12">
        <f t="array" ref="I725">G725+F725</f>
        <v>0</v>
      </c>
      <c r="J725" s="12"/>
      <c r="K725" s="12"/>
      <c r="L725" s="12"/>
    </row>
    <row r="726" spans="1:12" ht="20.100000000000001" customHeight="1">
      <c r="A726" s="20" t="s">
        <v>999</v>
      </c>
      <c r="B726" s="43" t="s">
        <v>872</v>
      </c>
      <c r="C726" s="12"/>
      <c r="D726" s="12"/>
      <c r="E726" s="12"/>
      <c r="F726" s="12">
        <f t="array" ref="F726">SUM(F684:F725)</f>
        <v>114500</v>
      </c>
      <c r="G726" s="12">
        <f t="array" ref="G726">SUM(G684:G725)</f>
        <v>114500</v>
      </c>
      <c r="H726" s="12"/>
      <c r="I726" s="12">
        <f t="array" ref="I726">SUM(I684:I725)</f>
        <v>229000</v>
      </c>
      <c r="J726" s="12"/>
      <c r="K726" s="12"/>
      <c r="L726" s="12"/>
    </row>
    <row r="727" spans="1:12" ht="20.100000000000001" customHeight="1">
      <c r="A727" s="10"/>
      <c r="B727" s="11"/>
      <c r="C727" s="25"/>
      <c r="D727" s="12"/>
      <c r="E727" s="12"/>
      <c r="F727" s="12"/>
      <c r="G727" s="12"/>
      <c r="H727" s="12"/>
      <c r="I727" s="12"/>
      <c r="J727" s="12"/>
      <c r="K727" s="12"/>
      <c r="L727" s="12"/>
    </row>
    <row r="728" spans="1:12" ht="20.100000000000001" customHeight="1">
      <c r="A728" s="10"/>
      <c r="B728" s="40" t="s">
        <v>1000</v>
      </c>
      <c r="C728" s="25"/>
      <c r="D728" s="12"/>
      <c r="E728" s="12"/>
      <c r="F728" s="12"/>
      <c r="G728" s="12"/>
      <c r="H728" s="12"/>
      <c r="I728" s="12"/>
      <c r="J728" s="12"/>
      <c r="K728" s="12"/>
      <c r="L728" s="12"/>
    </row>
    <row r="729" spans="1:12" ht="20.100000000000001" customHeight="1">
      <c r="A729" s="20" t="s">
        <v>1001</v>
      </c>
      <c r="B729" s="21" t="s">
        <v>1002</v>
      </c>
      <c r="C729" s="42" t="s">
        <v>1003</v>
      </c>
      <c r="D729" s="12"/>
      <c r="E729" s="12"/>
      <c r="F729" s="24"/>
      <c r="G729" s="24"/>
      <c r="H729" s="12"/>
      <c r="I729" s="12">
        <f t="array" ref="I729">G729+F729</f>
        <v>0</v>
      </c>
      <c r="J729" s="12"/>
      <c r="K729" s="12"/>
      <c r="L729" s="12"/>
    </row>
    <row r="730" spans="1:12" ht="20.100000000000001" customHeight="1">
      <c r="A730" s="20" t="s">
        <v>1004</v>
      </c>
      <c r="B730" s="21" t="s">
        <v>1005</v>
      </c>
      <c r="C730" s="42" t="s">
        <v>1006</v>
      </c>
      <c r="D730" s="12"/>
      <c r="E730" s="12"/>
      <c r="F730" s="24">
        <v>62500</v>
      </c>
      <c r="G730" s="24">
        <v>62500</v>
      </c>
      <c r="H730" s="12"/>
      <c r="I730" s="12">
        <f t="array" ref="I730">G730+F730</f>
        <v>125000</v>
      </c>
      <c r="J730" s="12"/>
      <c r="K730" s="12"/>
      <c r="L730" s="12"/>
    </row>
    <row r="731" spans="1:12" ht="20.100000000000001" customHeight="1">
      <c r="A731" s="20" t="s">
        <v>1007</v>
      </c>
      <c r="B731" s="21" t="s">
        <v>1008</v>
      </c>
      <c r="C731" s="42" t="s">
        <v>1009</v>
      </c>
      <c r="D731" s="12"/>
      <c r="E731" s="12"/>
      <c r="F731" s="24"/>
      <c r="G731" s="24"/>
      <c r="H731" s="12"/>
      <c r="I731" s="12">
        <f t="array" ref="I731">G731+F731</f>
        <v>0</v>
      </c>
      <c r="J731" s="12"/>
      <c r="K731" s="12"/>
      <c r="L731" s="12"/>
    </row>
    <row r="732" spans="1:12" ht="20.100000000000001" customHeight="1">
      <c r="A732" s="20" t="s">
        <v>1010</v>
      </c>
      <c r="B732" s="21" t="s">
        <v>1011</v>
      </c>
      <c r="C732" s="42" t="s">
        <v>1012</v>
      </c>
      <c r="D732" s="12"/>
      <c r="E732" s="12"/>
      <c r="F732" s="24"/>
      <c r="G732" s="24"/>
      <c r="H732" s="12"/>
      <c r="I732" s="12">
        <f t="array" ref="I732">G732+F732</f>
        <v>0</v>
      </c>
      <c r="J732" s="12"/>
      <c r="K732" s="12"/>
      <c r="L732" s="12"/>
    </row>
    <row r="733" spans="1:12" ht="20.100000000000001" customHeight="1">
      <c r="A733" s="20" t="s">
        <v>1013</v>
      </c>
      <c r="B733" s="21" t="s">
        <v>1014</v>
      </c>
      <c r="C733" s="42" t="s">
        <v>1015</v>
      </c>
      <c r="D733" s="12"/>
      <c r="E733" s="12"/>
      <c r="F733" s="24"/>
      <c r="G733" s="24"/>
      <c r="H733" s="12"/>
      <c r="I733" s="12">
        <f t="array" ref="I733">G733+F733</f>
        <v>0</v>
      </c>
      <c r="J733" s="12"/>
      <c r="K733" s="12"/>
      <c r="L733" s="12"/>
    </row>
    <row r="734" spans="1:12" ht="20.100000000000001" customHeight="1">
      <c r="A734" s="20" t="s">
        <v>1016</v>
      </c>
      <c r="B734" s="21" t="s">
        <v>1017</v>
      </c>
      <c r="C734" s="42" t="s">
        <v>1018</v>
      </c>
      <c r="D734" s="12"/>
      <c r="E734" s="12"/>
      <c r="F734" s="24"/>
      <c r="G734" s="24"/>
      <c r="H734" s="12"/>
      <c r="I734" s="12">
        <f t="array" ref="I734">G734+F734</f>
        <v>0</v>
      </c>
      <c r="J734" s="12"/>
      <c r="K734" s="12"/>
      <c r="L734" s="12"/>
    </row>
    <row r="735" spans="1:12" ht="20.100000000000001" customHeight="1">
      <c r="A735" s="20" t="s">
        <v>1019</v>
      </c>
      <c r="B735" s="21" t="s">
        <v>1020</v>
      </c>
      <c r="C735" s="42" t="s">
        <v>1021</v>
      </c>
      <c r="D735" s="12"/>
      <c r="E735" s="12"/>
      <c r="F735" s="24"/>
      <c r="G735" s="24"/>
      <c r="H735" s="12"/>
      <c r="I735" s="12">
        <f t="array" ref="I735">G735+F735</f>
        <v>0</v>
      </c>
      <c r="J735" s="12"/>
      <c r="K735" s="12"/>
      <c r="L735" s="12"/>
    </row>
    <row r="736" spans="1:12" ht="20.100000000000001" customHeight="1">
      <c r="A736" s="20" t="s">
        <v>1022</v>
      </c>
      <c r="B736" s="21" t="s">
        <v>1023</v>
      </c>
      <c r="C736" s="42" t="s">
        <v>1024</v>
      </c>
      <c r="D736" s="12"/>
      <c r="E736" s="12"/>
      <c r="F736" s="24"/>
      <c r="G736" s="24"/>
      <c r="H736" s="12"/>
      <c r="I736" s="12">
        <f t="array" ref="I736">G736+F736</f>
        <v>0</v>
      </c>
      <c r="J736" s="12"/>
      <c r="K736" s="12"/>
      <c r="L736" s="12"/>
    </row>
    <row r="737" spans="1:12" ht="20.100000000000001" customHeight="1">
      <c r="A737" s="20" t="s">
        <v>1025</v>
      </c>
      <c r="B737" s="21" t="s">
        <v>1026</v>
      </c>
      <c r="C737" s="42" t="s">
        <v>1027</v>
      </c>
      <c r="D737" s="12"/>
      <c r="E737" s="12"/>
      <c r="F737" s="24"/>
      <c r="G737" s="24"/>
      <c r="H737" s="12"/>
      <c r="I737" s="12">
        <f t="array" ref="I737">G737+F737</f>
        <v>0</v>
      </c>
      <c r="J737" s="12"/>
      <c r="K737" s="12"/>
      <c r="L737" s="12"/>
    </row>
    <row r="738" spans="1:12" ht="20.100000000000001" customHeight="1">
      <c r="A738" s="20" t="s">
        <v>1028</v>
      </c>
      <c r="B738" s="21" t="s">
        <v>1029</v>
      </c>
      <c r="C738" s="42" t="s">
        <v>1030</v>
      </c>
      <c r="D738" s="12"/>
      <c r="E738" s="12"/>
      <c r="F738" s="24"/>
      <c r="G738" s="24"/>
      <c r="H738" s="12"/>
      <c r="I738" s="12">
        <f t="array" ref="I738">G738+F738</f>
        <v>0</v>
      </c>
      <c r="J738" s="12"/>
      <c r="K738" s="12"/>
      <c r="L738" s="12"/>
    </row>
    <row r="739" spans="1:12" ht="20.100000000000001" customHeight="1">
      <c r="A739" s="20" t="s">
        <v>1031</v>
      </c>
      <c r="B739" s="21" t="s">
        <v>1032</v>
      </c>
      <c r="C739" s="42" t="s">
        <v>1033</v>
      </c>
      <c r="D739" s="12"/>
      <c r="E739" s="12"/>
      <c r="F739" s="24"/>
      <c r="G739" s="24"/>
      <c r="H739" s="12"/>
      <c r="I739" s="12">
        <f t="array" ref="I739">G739+F739</f>
        <v>0</v>
      </c>
      <c r="J739" s="12"/>
      <c r="K739" s="12"/>
      <c r="L739" s="12"/>
    </row>
    <row r="740" spans="1:12" ht="20.100000000000001" customHeight="1">
      <c r="A740" s="20" t="s">
        <v>1034</v>
      </c>
      <c r="B740" s="21" t="s">
        <v>1035</v>
      </c>
      <c r="C740" s="42" t="s">
        <v>1036</v>
      </c>
      <c r="D740" s="12"/>
      <c r="E740" s="12"/>
      <c r="F740" s="24"/>
      <c r="G740" s="24"/>
      <c r="H740" s="12"/>
      <c r="I740" s="12">
        <f t="array" ref="I740">G740+F740</f>
        <v>0</v>
      </c>
      <c r="J740" s="12"/>
      <c r="K740" s="12"/>
      <c r="L740" s="12"/>
    </row>
    <row r="741" spans="1:12" ht="20.100000000000001" customHeight="1">
      <c r="A741" s="20" t="s">
        <v>1037</v>
      </c>
      <c r="B741" s="21" t="s">
        <v>1038</v>
      </c>
      <c r="C741" s="42" t="s">
        <v>1039</v>
      </c>
      <c r="D741" s="12"/>
      <c r="E741" s="12"/>
      <c r="F741" s="24"/>
      <c r="G741" s="24"/>
      <c r="H741" s="12"/>
      <c r="I741" s="12">
        <f t="array" ref="I741">G741+F741</f>
        <v>0</v>
      </c>
      <c r="J741" s="12"/>
      <c r="K741" s="12"/>
      <c r="L741" s="12"/>
    </row>
    <row r="742" spans="1:12" ht="20.100000000000001" customHeight="1">
      <c r="A742" s="20" t="s">
        <v>1040</v>
      </c>
      <c r="B742" s="43" t="s">
        <v>1000</v>
      </c>
      <c r="C742" s="12"/>
      <c r="D742" s="12"/>
      <c r="E742" s="12"/>
      <c r="F742" s="12">
        <f t="array" ref="F742">SUM(F729:F741)</f>
        <v>62500</v>
      </c>
      <c r="G742" s="12">
        <f t="array" ref="G742">SUM(G729:G741)</f>
        <v>62500</v>
      </c>
      <c r="H742" s="12"/>
      <c r="I742" s="12">
        <f t="array" ref="I742">SUM(I729:I741)</f>
        <v>125000</v>
      </c>
      <c r="J742" s="12"/>
      <c r="K742" s="12"/>
      <c r="L742" s="12"/>
    </row>
    <row r="743" spans="1:12" ht="20.100000000000001" customHeight="1">
      <c r="A743" s="10"/>
      <c r="B743" s="11"/>
      <c r="C743" s="25"/>
      <c r="D743" s="12"/>
      <c r="E743" s="12"/>
      <c r="F743" s="12"/>
      <c r="G743" s="12"/>
      <c r="H743" s="12"/>
      <c r="I743" s="12"/>
      <c r="J743" s="12"/>
      <c r="K743" s="12"/>
      <c r="L743" s="12"/>
    </row>
    <row r="744" spans="1:12" ht="20.100000000000001" customHeight="1">
      <c r="A744" s="10"/>
      <c r="B744" s="40" t="s">
        <v>1041</v>
      </c>
      <c r="C744" s="25"/>
      <c r="D744" s="12"/>
      <c r="E744" s="12"/>
      <c r="F744" s="12"/>
      <c r="G744" s="12"/>
      <c r="H744" s="12"/>
      <c r="I744" s="12"/>
      <c r="J744" s="12"/>
      <c r="K744" s="12"/>
      <c r="L744" s="12"/>
    </row>
    <row r="745" spans="1:12" ht="20.100000000000001" customHeight="1">
      <c r="A745" s="20" t="s">
        <v>1042</v>
      </c>
      <c r="B745" s="21" t="s">
        <v>1043</v>
      </c>
      <c r="C745" s="42" t="s">
        <v>1044</v>
      </c>
      <c r="D745" s="12"/>
      <c r="E745" s="12"/>
      <c r="F745" s="24"/>
      <c r="G745" s="24"/>
      <c r="H745" s="12"/>
      <c r="I745" s="12">
        <f t="array" ref="I745">G745+F745</f>
        <v>0</v>
      </c>
      <c r="J745" s="12"/>
      <c r="K745" s="12"/>
      <c r="L745" s="12"/>
    </row>
    <row r="746" spans="1:12" ht="20.100000000000001" customHeight="1">
      <c r="A746" s="20" t="s">
        <v>1045</v>
      </c>
      <c r="B746" s="21" t="s">
        <v>1046</v>
      </c>
      <c r="C746" s="42" t="s">
        <v>1047</v>
      </c>
      <c r="D746" s="12"/>
      <c r="E746" s="12"/>
      <c r="F746" s="24"/>
      <c r="G746" s="24"/>
      <c r="H746" s="12"/>
      <c r="I746" s="12">
        <f t="array" ref="I746">G746+F746</f>
        <v>0</v>
      </c>
      <c r="J746" s="12"/>
      <c r="K746" s="12"/>
      <c r="L746" s="12"/>
    </row>
    <row r="747" spans="1:12" ht="20.100000000000001" customHeight="1">
      <c r="A747" s="20" t="s">
        <v>1048</v>
      </c>
      <c r="B747" s="21" t="s">
        <v>1049</v>
      </c>
      <c r="C747" s="42" t="s">
        <v>1050</v>
      </c>
      <c r="D747" s="12"/>
      <c r="E747" s="12"/>
      <c r="F747" s="24"/>
      <c r="G747" s="24"/>
      <c r="H747" s="12"/>
      <c r="I747" s="12">
        <f t="array" ref="I747">G747+F747</f>
        <v>0</v>
      </c>
      <c r="J747" s="12"/>
      <c r="K747" s="12"/>
      <c r="L747" s="12"/>
    </row>
    <row r="748" spans="1:12" ht="20.100000000000001" customHeight="1">
      <c r="A748" s="20" t="s">
        <v>1051</v>
      </c>
      <c r="B748" s="21" t="s">
        <v>1052</v>
      </c>
      <c r="C748" s="42" t="s">
        <v>1053</v>
      </c>
      <c r="D748" s="12"/>
      <c r="E748" s="12"/>
      <c r="F748" s="24"/>
      <c r="G748" s="24"/>
      <c r="H748" s="12"/>
      <c r="I748" s="12">
        <f t="array" ref="I748">G748+F748</f>
        <v>0</v>
      </c>
      <c r="J748" s="12"/>
      <c r="K748" s="12"/>
      <c r="L748" s="12"/>
    </row>
    <row r="749" spans="1:12" ht="20.100000000000001" customHeight="1">
      <c r="A749" s="20" t="s">
        <v>1054</v>
      </c>
      <c r="B749" s="21" t="s">
        <v>1055</v>
      </c>
      <c r="C749" s="42" t="s">
        <v>1056</v>
      </c>
      <c r="D749" s="12"/>
      <c r="E749" s="12"/>
      <c r="F749" s="24"/>
      <c r="G749" s="24"/>
      <c r="H749" s="12"/>
      <c r="I749" s="12">
        <f t="array" ref="I749">G749+F749</f>
        <v>0</v>
      </c>
      <c r="J749" s="12"/>
      <c r="K749" s="12"/>
      <c r="L749" s="12"/>
    </row>
    <row r="750" spans="1:12" ht="20.100000000000001" customHeight="1">
      <c r="A750" s="20" t="s">
        <v>1057</v>
      </c>
      <c r="B750" s="21" t="s">
        <v>1058</v>
      </c>
      <c r="C750" s="42" t="s">
        <v>1059</v>
      </c>
      <c r="D750" s="12"/>
      <c r="E750" s="12"/>
      <c r="F750" s="24"/>
      <c r="G750" s="24"/>
      <c r="H750" s="12"/>
      <c r="I750" s="12">
        <f t="array" ref="I750">G750+F750</f>
        <v>0</v>
      </c>
      <c r="J750" s="12"/>
      <c r="K750" s="12"/>
      <c r="L750" s="12"/>
    </row>
    <row r="751" spans="1:12" ht="20.100000000000001" customHeight="1">
      <c r="A751" s="20" t="s">
        <v>1060</v>
      </c>
      <c r="B751" s="21" t="s">
        <v>1061</v>
      </c>
      <c r="C751" s="42" t="s">
        <v>1062</v>
      </c>
      <c r="D751" s="12"/>
      <c r="E751" s="12"/>
      <c r="F751" s="24"/>
      <c r="G751" s="24"/>
      <c r="H751" s="12"/>
      <c r="I751" s="12">
        <f t="array" ref="I751">G751+F751</f>
        <v>0</v>
      </c>
      <c r="J751" s="12"/>
      <c r="K751" s="12"/>
      <c r="L751" s="12"/>
    </row>
    <row r="752" spans="1:12" ht="20.100000000000001" customHeight="1">
      <c r="A752" s="20" t="s">
        <v>1063</v>
      </c>
      <c r="B752" s="21" t="s">
        <v>1064</v>
      </c>
      <c r="C752" s="42" t="s">
        <v>1065</v>
      </c>
      <c r="D752" s="12"/>
      <c r="E752" s="12"/>
      <c r="F752" s="24"/>
      <c r="G752" s="24"/>
      <c r="H752" s="12"/>
      <c r="I752" s="12">
        <f t="array" ref="I752">G752+F752</f>
        <v>0</v>
      </c>
      <c r="J752" s="12"/>
      <c r="K752" s="12"/>
      <c r="L752" s="12"/>
    </row>
    <row r="753" spans="1:12" ht="20.100000000000001" customHeight="1">
      <c r="A753" s="20" t="s">
        <v>1066</v>
      </c>
      <c r="B753" s="21" t="s">
        <v>1067</v>
      </c>
      <c r="C753" s="42" t="s">
        <v>1068</v>
      </c>
      <c r="D753" s="12"/>
      <c r="E753" s="12"/>
      <c r="F753" s="24"/>
      <c r="G753" s="24"/>
      <c r="H753" s="12"/>
      <c r="I753" s="12">
        <f t="array" ref="I753">G753+F753</f>
        <v>0</v>
      </c>
      <c r="J753" s="12"/>
      <c r="K753" s="12"/>
      <c r="L753" s="12"/>
    </row>
    <row r="754" spans="1:12" ht="20.100000000000001" customHeight="1">
      <c r="A754" s="20" t="s">
        <v>1069</v>
      </c>
      <c r="B754" s="21" t="s">
        <v>1070</v>
      </c>
      <c r="C754" s="42" t="s">
        <v>1071</v>
      </c>
      <c r="D754" s="12"/>
      <c r="E754" s="12"/>
      <c r="F754" s="24"/>
      <c r="G754" s="24"/>
      <c r="H754" s="12"/>
      <c r="I754" s="12">
        <f t="array" ref="I754">G754+F754</f>
        <v>0</v>
      </c>
      <c r="J754" s="12"/>
      <c r="K754" s="12"/>
      <c r="L754" s="12"/>
    </row>
    <row r="755" spans="1:12" ht="20.100000000000001" customHeight="1">
      <c r="A755" s="20" t="s">
        <v>1072</v>
      </c>
      <c r="B755" s="21" t="s">
        <v>1073</v>
      </c>
      <c r="C755" s="42" t="s">
        <v>1074</v>
      </c>
      <c r="D755" s="12"/>
      <c r="E755" s="12"/>
      <c r="F755" s="24"/>
      <c r="G755" s="24"/>
      <c r="H755" s="12"/>
      <c r="I755" s="12">
        <f t="array" ref="I755">G755+F755</f>
        <v>0</v>
      </c>
      <c r="J755" s="12"/>
      <c r="K755" s="12"/>
      <c r="L755" s="12"/>
    </row>
    <row r="756" spans="1:12" ht="20.100000000000001" customHeight="1">
      <c r="A756" s="20" t="s">
        <v>1075</v>
      </c>
      <c r="B756" s="21" t="s">
        <v>1076</v>
      </c>
      <c r="C756" s="42" t="s">
        <v>1077</v>
      </c>
      <c r="D756" s="12"/>
      <c r="E756" s="12"/>
      <c r="F756" s="24"/>
      <c r="G756" s="24"/>
      <c r="H756" s="12"/>
      <c r="I756" s="12">
        <f t="array" ref="I756">G756+F756</f>
        <v>0</v>
      </c>
      <c r="J756" s="12"/>
      <c r="K756" s="12"/>
      <c r="L756" s="12"/>
    </row>
    <row r="757" spans="1:12" ht="20.100000000000001" customHeight="1">
      <c r="A757" s="20" t="s">
        <v>1078</v>
      </c>
      <c r="B757" s="21" t="s">
        <v>1079</v>
      </c>
      <c r="C757" s="42" t="s">
        <v>1080</v>
      </c>
      <c r="D757" s="12"/>
      <c r="E757" s="12"/>
      <c r="F757" s="24"/>
      <c r="G757" s="24"/>
      <c r="H757" s="12"/>
      <c r="I757" s="12">
        <f t="array" ref="I757">G757+F757</f>
        <v>0</v>
      </c>
      <c r="J757" s="12"/>
      <c r="K757" s="12"/>
      <c r="L757" s="12"/>
    </row>
    <row r="758" spans="1:12" ht="20.100000000000001" customHeight="1">
      <c r="A758" s="20" t="s">
        <v>1081</v>
      </c>
      <c r="B758" s="21" t="s">
        <v>1082</v>
      </c>
      <c r="C758" s="42" t="s">
        <v>1083</v>
      </c>
      <c r="D758" s="12"/>
      <c r="E758" s="12"/>
      <c r="F758" s="24"/>
      <c r="G758" s="24"/>
      <c r="H758" s="12"/>
      <c r="I758" s="12">
        <f t="array" ref="I758">G758+F758</f>
        <v>0</v>
      </c>
      <c r="J758" s="12"/>
      <c r="K758" s="12"/>
      <c r="L758" s="12"/>
    </row>
    <row r="759" spans="1:12" ht="20.100000000000001" customHeight="1">
      <c r="A759" s="20" t="s">
        <v>1084</v>
      </c>
      <c r="B759" s="21" t="s">
        <v>1085</v>
      </c>
      <c r="C759" s="42" t="s">
        <v>1086</v>
      </c>
      <c r="D759" s="12"/>
      <c r="E759" s="12"/>
      <c r="F759" s="24"/>
      <c r="G759" s="24"/>
      <c r="H759" s="12"/>
      <c r="I759" s="12">
        <f t="array" ref="I759">G759+F759</f>
        <v>0</v>
      </c>
      <c r="J759" s="12"/>
      <c r="K759" s="12"/>
      <c r="L759" s="12"/>
    </row>
    <row r="760" spans="1:12" ht="20.100000000000001" customHeight="1">
      <c r="A760" s="20" t="s">
        <v>1087</v>
      </c>
      <c r="B760" s="21" t="s">
        <v>1088</v>
      </c>
      <c r="C760" s="42" t="s">
        <v>1089</v>
      </c>
      <c r="D760" s="12"/>
      <c r="E760" s="12"/>
      <c r="F760" s="24">
        <v>50000</v>
      </c>
      <c r="G760" s="24">
        <v>50000</v>
      </c>
      <c r="H760" s="12"/>
      <c r="I760" s="12">
        <f t="array" ref="I760">G760+F760</f>
        <v>100000</v>
      </c>
      <c r="J760" s="12"/>
      <c r="K760" s="12"/>
      <c r="L760" s="12"/>
    </row>
    <row r="761" spans="1:12" ht="20.100000000000001" customHeight="1">
      <c r="A761" s="20" t="s">
        <v>1090</v>
      </c>
      <c r="B761" s="21" t="s">
        <v>1091</v>
      </c>
      <c r="C761" s="42" t="s">
        <v>1092</v>
      </c>
      <c r="D761" s="12"/>
      <c r="E761" s="12"/>
      <c r="F761" s="24"/>
      <c r="G761" s="24"/>
      <c r="H761" s="12"/>
      <c r="I761" s="12">
        <f t="array" ref="I761">G761+F761</f>
        <v>0</v>
      </c>
      <c r="J761" s="12"/>
      <c r="K761" s="12"/>
      <c r="L761" s="12"/>
    </row>
    <row r="762" spans="1:12" ht="20.100000000000001" customHeight="1">
      <c r="A762" s="20" t="s">
        <v>1093</v>
      </c>
      <c r="B762" s="21" t="s">
        <v>1094</v>
      </c>
      <c r="C762" s="42" t="s">
        <v>1095</v>
      </c>
      <c r="D762" s="12"/>
      <c r="E762" s="12"/>
      <c r="F762" s="24"/>
      <c r="G762" s="24"/>
      <c r="H762" s="12"/>
      <c r="I762" s="12">
        <f t="array" ref="I762">G762+F762</f>
        <v>0</v>
      </c>
      <c r="J762" s="12"/>
      <c r="K762" s="12"/>
      <c r="L762" s="12"/>
    </row>
    <row r="763" spans="1:12" ht="20.100000000000001" customHeight="1">
      <c r="A763" s="20" t="s">
        <v>1096</v>
      </c>
      <c r="B763" s="21" t="s">
        <v>1097</v>
      </c>
      <c r="C763" s="42" t="s">
        <v>1098</v>
      </c>
      <c r="D763" s="12"/>
      <c r="E763" s="12"/>
      <c r="F763" s="24"/>
      <c r="G763" s="24"/>
      <c r="H763" s="12"/>
      <c r="I763" s="12">
        <f t="array" ref="I763">G763+F763</f>
        <v>0</v>
      </c>
      <c r="J763" s="12"/>
      <c r="K763" s="12"/>
      <c r="L763" s="12"/>
    </row>
    <row r="764" spans="1:12" ht="20.100000000000001" customHeight="1">
      <c r="A764" s="20" t="s">
        <v>1099</v>
      </c>
      <c r="B764" s="21" t="s">
        <v>1100</v>
      </c>
      <c r="C764" s="42" t="s">
        <v>1101</v>
      </c>
      <c r="D764" s="12"/>
      <c r="E764" s="12"/>
      <c r="F764" s="24"/>
      <c r="G764" s="24"/>
      <c r="H764" s="12"/>
      <c r="I764" s="12">
        <f t="array" ref="I764">G764+F764</f>
        <v>0</v>
      </c>
      <c r="J764" s="12"/>
      <c r="K764" s="12"/>
      <c r="L764" s="12"/>
    </row>
    <row r="765" spans="1:12" ht="20.100000000000001" customHeight="1">
      <c r="A765" s="20" t="s">
        <v>1102</v>
      </c>
      <c r="B765" s="21" t="s">
        <v>1103</v>
      </c>
      <c r="C765" s="42" t="s">
        <v>1104</v>
      </c>
      <c r="D765" s="12"/>
      <c r="E765" s="12"/>
      <c r="F765" s="24"/>
      <c r="G765" s="24"/>
      <c r="H765" s="12"/>
      <c r="I765" s="12">
        <f t="array" ref="I765">G765+F765</f>
        <v>0</v>
      </c>
      <c r="J765" s="12"/>
      <c r="K765" s="12"/>
      <c r="L765" s="12"/>
    </row>
    <row r="766" spans="1:12" ht="20.100000000000001" customHeight="1">
      <c r="A766" s="20" t="s">
        <v>1105</v>
      </c>
      <c r="B766" s="21" t="s">
        <v>1106</v>
      </c>
      <c r="C766" s="42" t="s">
        <v>1107</v>
      </c>
      <c r="D766" s="12"/>
      <c r="E766" s="12"/>
      <c r="F766" s="24"/>
      <c r="G766" s="24"/>
      <c r="H766" s="12"/>
      <c r="I766" s="12">
        <f t="array" ref="I766">G766+F766</f>
        <v>0</v>
      </c>
      <c r="J766" s="12"/>
      <c r="K766" s="12"/>
      <c r="L766" s="12"/>
    </row>
    <row r="767" spans="1:12" ht="20.100000000000001" customHeight="1">
      <c r="A767" s="20" t="s">
        <v>1108</v>
      </c>
      <c r="B767" s="21" t="s">
        <v>1109</v>
      </c>
      <c r="C767" s="42" t="s">
        <v>1110</v>
      </c>
      <c r="D767" s="12"/>
      <c r="E767" s="12"/>
      <c r="F767" s="24"/>
      <c r="G767" s="24"/>
      <c r="H767" s="12"/>
      <c r="I767" s="12">
        <f t="array" ref="I767">G767+F767</f>
        <v>0</v>
      </c>
      <c r="J767" s="12"/>
      <c r="K767" s="12"/>
      <c r="L767" s="12"/>
    </row>
    <row r="768" spans="1:12" ht="20.100000000000001" customHeight="1">
      <c r="A768" s="20" t="s">
        <v>1111</v>
      </c>
      <c r="B768" s="21" t="s">
        <v>1112</v>
      </c>
      <c r="C768" s="42" t="s">
        <v>1113</v>
      </c>
      <c r="D768" s="12"/>
      <c r="E768" s="12"/>
      <c r="F768" s="24"/>
      <c r="G768" s="24"/>
      <c r="H768" s="12"/>
      <c r="I768" s="12">
        <f t="array" ref="I768">G768+F768</f>
        <v>0</v>
      </c>
      <c r="J768" s="12"/>
      <c r="K768" s="12"/>
      <c r="L768" s="12"/>
    </row>
    <row r="769" spans="1:12" ht="20.100000000000001" customHeight="1">
      <c r="A769" s="20" t="s">
        <v>1114</v>
      </c>
      <c r="B769" s="21" t="s">
        <v>1115</v>
      </c>
      <c r="C769" s="42" t="s">
        <v>1116</v>
      </c>
      <c r="D769" s="12"/>
      <c r="E769" s="12"/>
      <c r="F769" s="24"/>
      <c r="G769" s="24"/>
      <c r="H769" s="12"/>
      <c r="I769" s="12">
        <f t="array" ref="I769">G769+F769</f>
        <v>0</v>
      </c>
      <c r="J769" s="12"/>
      <c r="K769" s="12"/>
      <c r="L769" s="12"/>
    </row>
    <row r="770" spans="1:12" ht="20.100000000000001" customHeight="1">
      <c r="A770" s="20" t="s">
        <v>1117</v>
      </c>
      <c r="B770" s="21" t="s">
        <v>1118</v>
      </c>
      <c r="C770" s="42" t="s">
        <v>1119</v>
      </c>
      <c r="D770" s="12"/>
      <c r="E770" s="12"/>
      <c r="F770" s="24"/>
      <c r="G770" s="24"/>
      <c r="H770" s="12"/>
      <c r="I770" s="12">
        <f t="array" ref="I770">G770+F770</f>
        <v>0</v>
      </c>
      <c r="J770" s="12"/>
      <c r="K770" s="12"/>
      <c r="L770" s="12"/>
    </row>
    <row r="771" spans="1:12" ht="20.100000000000001" customHeight="1">
      <c r="A771" s="20" t="s">
        <v>1120</v>
      </c>
      <c r="B771" s="21" t="s">
        <v>1121</v>
      </c>
      <c r="C771" s="42" t="s">
        <v>1122</v>
      </c>
      <c r="D771" s="12"/>
      <c r="E771" s="12"/>
      <c r="F771" s="24"/>
      <c r="G771" s="24"/>
      <c r="H771" s="12"/>
      <c r="I771" s="12">
        <f t="array" ref="I771">G771+F771</f>
        <v>0</v>
      </c>
      <c r="J771" s="12"/>
      <c r="K771" s="12"/>
      <c r="L771" s="12"/>
    </row>
    <row r="772" spans="1:12" ht="20.100000000000001" customHeight="1">
      <c r="A772" s="20" t="s">
        <v>1123</v>
      </c>
      <c r="B772" s="21" t="s">
        <v>1124</v>
      </c>
      <c r="C772" s="42" t="s">
        <v>1125</v>
      </c>
      <c r="D772" s="12"/>
      <c r="E772" s="12"/>
      <c r="F772" s="24"/>
      <c r="G772" s="24"/>
      <c r="H772" s="12"/>
      <c r="I772" s="12">
        <f t="array" ref="I772">G772+F772</f>
        <v>0</v>
      </c>
      <c r="J772" s="12"/>
      <c r="K772" s="12"/>
      <c r="L772" s="12"/>
    </row>
    <row r="773" spans="1:12" ht="20.100000000000001" customHeight="1">
      <c r="A773" s="20" t="s">
        <v>1126</v>
      </c>
      <c r="B773" s="21" t="s">
        <v>1127</v>
      </c>
      <c r="C773" s="42" t="s">
        <v>1128</v>
      </c>
      <c r="D773" s="12"/>
      <c r="E773" s="12"/>
      <c r="F773" s="24"/>
      <c r="G773" s="24"/>
      <c r="H773" s="12"/>
      <c r="I773" s="12">
        <f t="array" ref="I773">G773+F773</f>
        <v>0</v>
      </c>
      <c r="J773" s="12"/>
      <c r="K773" s="12"/>
      <c r="L773" s="12"/>
    </row>
    <row r="774" spans="1:12" ht="20.100000000000001" customHeight="1">
      <c r="A774" s="20" t="s">
        <v>1129</v>
      </c>
      <c r="B774" s="21" t="s">
        <v>1130</v>
      </c>
      <c r="C774" s="42" t="s">
        <v>1131</v>
      </c>
      <c r="D774" s="12"/>
      <c r="E774" s="12"/>
      <c r="F774" s="24">
        <v>142000</v>
      </c>
      <c r="G774" s="24">
        <v>142000</v>
      </c>
      <c r="H774" s="12"/>
      <c r="I774" s="12">
        <f t="array" ref="I774">G774+F774</f>
        <v>284000</v>
      </c>
      <c r="J774" s="12"/>
      <c r="K774" s="12"/>
      <c r="L774" s="12"/>
    </row>
    <row r="775" spans="1:12" ht="20.100000000000001" customHeight="1">
      <c r="A775" s="20" t="s">
        <v>1132</v>
      </c>
      <c r="B775" s="21" t="s">
        <v>1133</v>
      </c>
      <c r="C775" s="42" t="s">
        <v>1134</v>
      </c>
      <c r="D775" s="12"/>
      <c r="E775" s="12"/>
      <c r="F775" s="24"/>
      <c r="G775" s="24"/>
      <c r="H775" s="12"/>
      <c r="I775" s="12">
        <f t="array" ref="I775">G775+F775</f>
        <v>0</v>
      </c>
      <c r="J775" s="12"/>
      <c r="K775" s="12"/>
      <c r="L775" s="12"/>
    </row>
    <row r="776" spans="1:12" ht="20.100000000000001" customHeight="1">
      <c r="A776" s="20" t="s">
        <v>1135</v>
      </c>
      <c r="B776" s="21" t="s">
        <v>1136</v>
      </c>
      <c r="C776" s="42" t="s">
        <v>1137</v>
      </c>
      <c r="D776" s="12"/>
      <c r="E776" s="12"/>
      <c r="F776" s="24"/>
      <c r="G776" s="24"/>
      <c r="H776" s="12"/>
      <c r="I776" s="12">
        <f t="array" ref="I776">G776+F776</f>
        <v>0</v>
      </c>
      <c r="J776" s="12"/>
      <c r="K776" s="12"/>
      <c r="L776" s="12"/>
    </row>
    <row r="777" spans="1:12" ht="20.100000000000001" customHeight="1">
      <c r="A777" s="20" t="s">
        <v>1138</v>
      </c>
      <c r="B777" s="21" t="s">
        <v>1139</v>
      </c>
      <c r="C777" s="42" t="s">
        <v>1140</v>
      </c>
      <c r="D777" s="12"/>
      <c r="E777" s="12"/>
      <c r="F777" s="24"/>
      <c r="G777" s="24"/>
      <c r="H777" s="12"/>
      <c r="I777" s="12">
        <f t="array" ref="I777">G777+F777</f>
        <v>0</v>
      </c>
      <c r="J777" s="12"/>
      <c r="K777" s="12"/>
      <c r="L777" s="12"/>
    </row>
    <row r="778" spans="1:12" ht="20.100000000000001" customHeight="1">
      <c r="A778" s="20" t="s">
        <v>1141</v>
      </c>
      <c r="B778" s="21" t="s">
        <v>1142</v>
      </c>
      <c r="C778" s="42" t="s">
        <v>1143</v>
      </c>
      <c r="D778" s="12"/>
      <c r="E778" s="12"/>
      <c r="F778" s="24"/>
      <c r="G778" s="24"/>
      <c r="H778" s="12"/>
      <c r="I778" s="12">
        <f t="array" ref="I778">G778+F778</f>
        <v>0</v>
      </c>
      <c r="J778" s="12"/>
      <c r="K778" s="12"/>
      <c r="L778" s="12"/>
    </row>
    <row r="779" spans="1:12" ht="20.100000000000001" customHeight="1">
      <c r="A779" s="20" t="s">
        <v>1144</v>
      </c>
      <c r="B779" s="21" t="s">
        <v>1145</v>
      </c>
      <c r="C779" s="42" t="s">
        <v>1146</v>
      </c>
      <c r="D779" s="12"/>
      <c r="E779" s="12"/>
      <c r="F779" s="24"/>
      <c r="G779" s="24"/>
      <c r="H779" s="12"/>
      <c r="I779" s="12">
        <f t="array" ref="I779">G779+F779</f>
        <v>0</v>
      </c>
      <c r="J779" s="12"/>
      <c r="K779" s="12"/>
      <c r="L779" s="12"/>
    </row>
    <row r="780" spans="1:12" ht="20.100000000000001" customHeight="1">
      <c r="A780" s="20" t="s">
        <v>1147</v>
      </c>
      <c r="B780" s="21" t="s">
        <v>1148</v>
      </c>
      <c r="C780" s="42" t="s">
        <v>1149</v>
      </c>
      <c r="D780" s="12"/>
      <c r="E780" s="12"/>
      <c r="F780" s="24"/>
      <c r="G780" s="24"/>
      <c r="H780" s="12"/>
      <c r="I780" s="12">
        <f t="array" ref="I780">G780+F780</f>
        <v>0</v>
      </c>
      <c r="J780" s="12"/>
      <c r="K780" s="12"/>
      <c r="L780" s="12"/>
    </row>
    <row r="781" spans="1:12" ht="20.100000000000001" customHeight="1">
      <c r="A781" s="20" t="s">
        <v>1150</v>
      </c>
      <c r="B781" s="21" t="s">
        <v>1151</v>
      </c>
      <c r="C781" s="42" t="s">
        <v>1152</v>
      </c>
      <c r="D781" s="12"/>
      <c r="E781" s="12"/>
      <c r="F781" s="24"/>
      <c r="G781" s="24"/>
      <c r="H781" s="12"/>
      <c r="I781" s="12">
        <f t="array" ref="I781">G781+F781</f>
        <v>0</v>
      </c>
      <c r="J781" s="12"/>
      <c r="K781" s="12"/>
      <c r="L781" s="12"/>
    </row>
    <row r="782" spans="1:12" ht="20.100000000000001" customHeight="1">
      <c r="A782" s="20" t="s">
        <v>1153</v>
      </c>
      <c r="B782" s="21" t="s">
        <v>1154</v>
      </c>
      <c r="C782" s="42" t="s">
        <v>1155</v>
      </c>
      <c r="D782" s="12"/>
      <c r="E782" s="12"/>
      <c r="F782" s="24"/>
      <c r="G782" s="24"/>
      <c r="H782" s="12"/>
      <c r="I782" s="12">
        <f t="array" ref="I782">G782+F782</f>
        <v>0</v>
      </c>
      <c r="J782" s="12"/>
      <c r="K782" s="12"/>
      <c r="L782" s="12"/>
    </row>
    <row r="783" spans="1:12" ht="20.100000000000001" customHeight="1">
      <c r="A783" s="20" t="s">
        <v>1156</v>
      </c>
      <c r="B783" s="21" t="s">
        <v>1157</v>
      </c>
      <c r="C783" s="42" t="s">
        <v>1158</v>
      </c>
      <c r="D783" s="12"/>
      <c r="E783" s="12"/>
      <c r="F783" s="24">
        <v>56000</v>
      </c>
      <c r="G783" s="24">
        <v>56000</v>
      </c>
      <c r="H783" s="12"/>
      <c r="I783" s="12">
        <f t="array" ref="I783">G783+F783</f>
        <v>112000</v>
      </c>
      <c r="J783" s="12"/>
      <c r="K783" s="12"/>
      <c r="L783" s="12"/>
    </row>
    <row r="784" spans="1:12" ht="20.100000000000001" customHeight="1">
      <c r="A784" s="20" t="s">
        <v>1159</v>
      </c>
      <c r="B784" s="21" t="s">
        <v>1160</v>
      </c>
      <c r="C784" s="42" t="s">
        <v>1161</v>
      </c>
      <c r="D784" s="12"/>
      <c r="E784" s="12"/>
      <c r="F784" s="24"/>
      <c r="G784" s="24"/>
      <c r="H784" s="12"/>
      <c r="I784" s="12">
        <f t="array" ref="I784">G784+F784</f>
        <v>0</v>
      </c>
      <c r="J784" s="12"/>
      <c r="K784" s="12"/>
      <c r="L784" s="12"/>
    </row>
    <row r="785" spans="1:12" ht="20.100000000000001" customHeight="1">
      <c r="A785" s="20" t="s">
        <v>1162</v>
      </c>
      <c r="B785" s="21" t="s">
        <v>1163</v>
      </c>
      <c r="C785" s="42" t="s">
        <v>1164</v>
      </c>
      <c r="D785" s="12"/>
      <c r="E785" s="12"/>
      <c r="F785" s="24"/>
      <c r="G785" s="24"/>
      <c r="H785" s="12"/>
      <c r="I785" s="12">
        <f t="array" ref="I785">G785+F785</f>
        <v>0</v>
      </c>
      <c r="J785" s="12"/>
      <c r="K785" s="12"/>
      <c r="L785" s="12"/>
    </row>
    <row r="786" spans="1:12" ht="20.100000000000001" customHeight="1">
      <c r="A786" s="20" t="s">
        <v>1165</v>
      </c>
      <c r="B786" s="21" t="s">
        <v>1166</v>
      </c>
      <c r="C786" s="42" t="s">
        <v>1167</v>
      </c>
      <c r="D786" s="12"/>
      <c r="E786" s="12"/>
      <c r="F786" s="24"/>
      <c r="G786" s="24"/>
      <c r="H786" s="12"/>
      <c r="I786" s="12">
        <f t="array" ref="I786">G786+F786</f>
        <v>0</v>
      </c>
      <c r="J786" s="12"/>
      <c r="K786" s="12"/>
      <c r="L786" s="12"/>
    </row>
    <row r="787" spans="1:12" ht="20.100000000000001" customHeight="1">
      <c r="A787" s="20" t="s">
        <v>1168</v>
      </c>
      <c r="B787" s="21" t="s">
        <v>1169</v>
      </c>
      <c r="C787" s="42" t="s">
        <v>1170</v>
      </c>
      <c r="D787" s="12"/>
      <c r="E787" s="12"/>
      <c r="F787" s="24"/>
      <c r="G787" s="24"/>
      <c r="H787" s="12"/>
      <c r="I787" s="12">
        <f t="array" ref="I787">G787+F787</f>
        <v>0</v>
      </c>
      <c r="J787" s="12"/>
      <c r="K787" s="12"/>
      <c r="L787" s="12"/>
    </row>
    <row r="788" spans="1:12" ht="20.100000000000001" customHeight="1">
      <c r="A788" s="20" t="s">
        <v>1171</v>
      </c>
      <c r="B788" s="21" t="s">
        <v>1172</v>
      </c>
      <c r="C788" s="42" t="s">
        <v>1173</v>
      </c>
      <c r="D788" s="12"/>
      <c r="E788" s="12"/>
      <c r="F788" s="24"/>
      <c r="G788" s="24"/>
      <c r="H788" s="12"/>
      <c r="I788" s="12">
        <f t="array" ref="I788">G788+F788</f>
        <v>0</v>
      </c>
      <c r="J788" s="12"/>
      <c r="K788" s="12"/>
      <c r="L788" s="12"/>
    </row>
    <row r="789" spans="1:12" ht="20.100000000000001" customHeight="1">
      <c r="A789" s="20" t="s">
        <v>1174</v>
      </c>
      <c r="B789" s="21" t="s">
        <v>1175</v>
      </c>
      <c r="C789" s="42" t="s">
        <v>1176</v>
      </c>
      <c r="D789" s="12"/>
      <c r="E789" s="12"/>
      <c r="F789" s="24"/>
      <c r="G789" s="24"/>
      <c r="H789" s="12"/>
      <c r="I789" s="12">
        <f t="array" ref="I789">G789+F789</f>
        <v>0</v>
      </c>
      <c r="J789" s="12"/>
      <c r="K789" s="12"/>
      <c r="L789" s="12"/>
    </row>
    <row r="790" spans="1:12" ht="20.100000000000001" customHeight="1">
      <c r="A790" s="20" t="s">
        <v>1177</v>
      </c>
      <c r="B790" s="21" t="s">
        <v>1178</v>
      </c>
      <c r="C790" s="42" t="s">
        <v>1179</v>
      </c>
      <c r="D790" s="12"/>
      <c r="E790" s="12"/>
      <c r="F790" s="24"/>
      <c r="G790" s="24"/>
      <c r="H790" s="12"/>
      <c r="I790" s="12">
        <f t="array" ref="I790">G790+F790</f>
        <v>0</v>
      </c>
      <c r="J790" s="12"/>
      <c r="K790" s="12"/>
      <c r="L790" s="12"/>
    </row>
    <row r="791" spans="1:12" ht="20.100000000000001" customHeight="1">
      <c r="A791" s="20" t="s">
        <v>1180</v>
      </c>
      <c r="B791" s="21" t="s">
        <v>1181</v>
      </c>
      <c r="C791" s="42" t="s">
        <v>1182</v>
      </c>
      <c r="D791" s="12"/>
      <c r="E791" s="12"/>
      <c r="F791" s="24"/>
      <c r="G791" s="24"/>
      <c r="H791" s="12"/>
      <c r="I791" s="12">
        <f t="array" ref="I791">G791+F791</f>
        <v>0</v>
      </c>
      <c r="J791" s="12"/>
      <c r="K791" s="12"/>
      <c r="L791" s="12"/>
    </row>
    <row r="792" spans="1:12" ht="20.100000000000001" customHeight="1">
      <c r="A792" s="20" t="s">
        <v>1183</v>
      </c>
      <c r="B792" s="21" t="s">
        <v>1184</v>
      </c>
      <c r="C792" s="42" t="s">
        <v>1185</v>
      </c>
      <c r="D792" s="12"/>
      <c r="E792" s="12"/>
      <c r="F792" s="24"/>
      <c r="G792" s="24"/>
      <c r="H792" s="12"/>
      <c r="I792" s="12">
        <f t="array" ref="I792">G792+F792</f>
        <v>0</v>
      </c>
      <c r="J792" s="12"/>
      <c r="K792" s="12"/>
      <c r="L792" s="12"/>
    </row>
    <row r="793" spans="1:12" ht="20.100000000000001" customHeight="1">
      <c r="A793" s="20" t="s">
        <v>1186</v>
      </c>
      <c r="B793" s="21" t="s">
        <v>1187</v>
      </c>
      <c r="C793" s="42" t="s">
        <v>1188</v>
      </c>
      <c r="D793" s="12"/>
      <c r="E793" s="12"/>
      <c r="F793" s="24"/>
      <c r="G793" s="24"/>
      <c r="H793" s="12"/>
      <c r="I793" s="12">
        <f t="array" ref="I793">G793+F793</f>
        <v>0</v>
      </c>
      <c r="J793" s="12"/>
      <c r="K793" s="12"/>
      <c r="L793" s="12"/>
    </row>
    <row r="794" spans="1:12" ht="20.100000000000001" customHeight="1">
      <c r="A794" s="20" t="s">
        <v>1189</v>
      </c>
      <c r="B794" s="21" t="s">
        <v>1190</v>
      </c>
      <c r="C794" s="42" t="s">
        <v>1191</v>
      </c>
      <c r="D794" s="12"/>
      <c r="E794" s="12"/>
      <c r="F794" s="24"/>
      <c r="G794" s="24"/>
      <c r="H794" s="12"/>
      <c r="I794" s="12">
        <f t="array" ref="I794">G794+F794</f>
        <v>0</v>
      </c>
      <c r="J794" s="12"/>
      <c r="K794" s="12"/>
      <c r="L794" s="12"/>
    </row>
    <row r="795" spans="1:12" ht="20.100000000000001" customHeight="1">
      <c r="A795" s="20" t="s">
        <v>1192</v>
      </c>
      <c r="B795" s="21" t="s">
        <v>1193</v>
      </c>
      <c r="C795" s="42" t="s">
        <v>1194</v>
      </c>
      <c r="D795" s="12"/>
      <c r="E795" s="12"/>
      <c r="F795" s="24"/>
      <c r="G795" s="24"/>
      <c r="H795" s="12"/>
      <c r="I795" s="12">
        <f t="array" ref="I795">G795+F795</f>
        <v>0</v>
      </c>
      <c r="J795" s="12"/>
      <c r="K795" s="12"/>
      <c r="L795" s="12"/>
    </row>
    <row r="796" spans="1:12" ht="20.100000000000001" customHeight="1">
      <c r="A796" s="20" t="s">
        <v>1195</v>
      </c>
      <c r="B796" s="21" t="s">
        <v>1196</v>
      </c>
      <c r="C796" s="42" t="s">
        <v>1197</v>
      </c>
      <c r="D796" s="12"/>
      <c r="E796" s="12"/>
      <c r="F796" s="24">
        <v>63000</v>
      </c>
      <c r="G796" s="24">
        <v>63000</v>
      </c>
      <c r="H796" s="12"/>
      <c r="I796" s="12">
        <f t="array" ref="I796">G796+F796</f>
        <v>126000</v>
      </c>
      <c r="J796" s="12"/>
      <c r="K796" s="12"/>
      <c r="L796" s="12"/>
    </row>
    <row r="797" spans="1:12" ht="20.100000000000001" customHeight="1">
      <c r="A797" s="20" t="s">
        <v>1198</v>
      </c>
      <c r="B797" s="21" t="s">
        <v>1199</v>
      </c>
      <c r="C797" s="42" t="s">
        <v>1200</v>
      </c>
      <c r="D797" s="12"/>
      <c r="E797" s="12"/>
      <c r="F797" s="24"/>
      <c r="G797" s="24"/>
      <c r="H797" s="12"/>
      <c r="I797" s="12">
        <f t="array" ref="I797">G797+F797</f>
        <v>0</v>
      </c>
      <c r="J797" s="12"/>
      <c r="K797" s="12"/>
      <c r="L797" s="12"/>
    </row>
    <row r="798" spans="1:12" ht="20.100000000000001" customHeight="1">
      <c r="A798" s="20" t="s">
        <v>1201</v>
      </c>
      <c r="B798" s="21" t="s">
        <v>1202</v>
      </c>
      <c r="C798" s="42" t="s">
        <v>1203</v>
      </c>
      <c r="D798" s="12"/>
      <c r="E798" s="12"/>
      <c r="F798" s="24"/>
      <c r="G798" s="24"/>
      <c r="H798" s="12"/>
      <c r="I798" s="12">
        <f t="array" ref="I798">G798+F798</f>
        <v>0</v>
      </c>
      <c r="J798" s="12"/>
      <c r="K798" s="12"/>
      <c r="L798" s="12"/>
    </row>
    <row r="799" spans="1:12" ht="20.100000000000001" customHeight="1">
      <c r="A799" s="20" t="s">
        <v>1204</v>
      </c>
      <c r="B799" s="21" t="s">
        <v>1205</v>
      </c>
      <c r="C799" s="42" t="s">
        <v>1206</v>
      </c>
      <c r="D799" s="12"/>
      <c r="E799" s="12"/>
      <c r="F799" s="24"/>
      <c r="G799" s="24"/>
      <c r="H799" s="12"/>
      <c r="I799" s="12">
        <f t="array" ref="I799">G799+F799</f>
        <v>0</v>
      </c>
      <c r="J799" s="12"/>
      <c r="K799" s="12"/>
      <c r="L799" s="12"/>
    </row>
    <row r="800" spans="1:12" ht="20.100000000000001" customHeight="1">
      <c r="A800" s="20" t="s">
        <v>1207</v>
      </c>
      <c r="B800" s="21" t="s">
        <v>1208</v>
      </c>
      <c r="C800" s="42" t="s">
        <v>1209</v>
      </c>
      <c r="D800" s="12"/>
      <c r="E800" s="12"/>
      <c r="F800" s="24"/>
      <c r="G800" s="24"/>
      <c r="H800" s="12"/>
      <c r="I800" s="12">
        <f t="array" ref="I800">G800+F800</f>
        <v>0</v>
      </c>
      <c r="J800" s="12"/>
      <c r="K800" s="12"/>
      <c r="L800" s="12"/>
    </row>
    <row r="801" spans="1:12" ht="20.100000000000001" customHeight="1">
      <c r="A801" s="20" t="s">
        <v>1210</v>
      </c>
      <c r="B801" s="21" t="s">
        <v>1211</v>
      </c>
      <c r="C801" s="42" t="s">
        <v>1212</v>
      </c>
      <c r="D801" s="12"/>
      <c r="E801" s="12"/>
      <c r="F801" s="24"/>
      <c r="G801" s="24"/>
      <c r="H801" s="12"/>
      <c r="I801" s="12">
        <f t="array" ref="I801">G801+F801</f>
        <v>0</v>
      </c>
      <c r="J801" s="12"/>
      <c r="K801" s="12"/>
      <c r="L801" s="12"/>
    </row>
    <row r="802" spans="1:12" ht="20.100000000000001" customHeight="1">
      <c r="A802" s="20" t="s">
        <v>1213</v>
      </c>
      <c r="B802" s="21" t="s">
        <v>1214</v>
      </c>
      <c r="C802" s="42" t="s">
        <v>1215</v>
      </c>
      <c r="D802" s="12"/>
      <c r="E802" s="12"/>
      <c r="F802" s="24"/>
      <c r="G802" s="24"/>
      <c r="H802" s="12"/>
      <c r="I802" s="12">
        <f t="array" ref="I802">G802+F802</f>
        <v>0</v>
      </c>
      <c r="J802" s="12"/>
      <c r="K802" s="12"/>
      <c r="L802" s="12"/>
    </row>
    <row r="803" spans="1:12" ht="20.100000000000001" customHeight="1">
      <c r="A803" s="20" t="s">
        <v>1216</v>
      </c>
      <c r="B803" s="43" t="s">
        <v>1041</v>
      </c>
      <c r="C803" s="12"/>
      <c r="D803" s="12"/>
      <c r="E803" s="12"/>
      <c r="F803" s="12">
        <f t="array" ref="F803">SUM(F745:F802)</f>
        <v>311000</v>
      </c>
      <c r="G803" s="12">
        <f t="array" ref="G803">SUM(G745:G802)</f>
        <v>311000</v>
      </c>
      <c r="H803" s="12"/>
      <c r="I803" s="12">
        <f t="array" ref="I803">SUM(I745:I802)</f>
        <v>622000</v>
      </c>
      <c r="J803" s="12"/>
      <c r="K803" s="12"/>
      <c r="L803" s="12"/>
    </row>
    <row r="804" spans="1:12" ht="20.100000000000001" customHeight="1">
      <c r="A804" s="10"/>
      <c r="B804" s="11"/>
      <c r="C804" s="25"/>
      <c r="D804" s="12"/>
      <c r="E804" s="12"/>
      <c r="F804" s="12"/>
      <c r="G804" s="12"/>
      <c r="H804" s="12"/>
      <c r="I804" s="12"/>
      <c r="J804" s="12"/>
      <c r="K804" s="12"/>
      <c r="L804" s="12"/>
    </row>
    <row r="805" spans="1:12" ht="20.100000000000001" customHeight="1">
      <c r="A805" s="10"/>
      <c r="B805" s="40" t="s">
        <v>1217</v>
      </c>
      <c r="C805" s="25"/>
      <c r="D805" s="12"/>
      <c r="E805" s="12"/>
      <c r="F805" s="12"/>
      <c r="G805" s="12"/>
      <c r="H805" s="12"/>
      <c r="I805" s="12"/>
      <c r="J805" s="12"/>
      <c r="K805" s="12"/>
      <c r="L805" s="12"/>
    </row>
    <row r="806" spans="1:12" ht="20.100000000000001" customHeight="1">
      <c r="A806" s="20" t="s">
        <v>1218</v>
      </c>
      <c r="B806" s="21" t="s">
        <v>1219</v>
      </c>
      <c r="C806" s="42" t="s">
        <v>1220</v>
      </c>
      <c r="D806" s="12"/>
      <c r="E806" s="12"/>
      <c r="F806" s="24"/>
      <c r="G806" s="24"/>
      <c r="H806" s="12"/>
      <c r="I806" s="12">
        <f t="array" ref="I806">G806+F806</f>
        <v>0</v>
      </c>
      <c r="J806" s="12"/>
      <c r="K806" s="12"/>
      <c r="L806" s="12"/>
    </row>
    <row r="807" spans="1:12" ht="20.100000000000001" customHeight="1">
      <c r="A807" s="20" t="s">
        <v>1221</v>
      </c>
      <c r="B807" s="21" t="s">
        <v>1222</v>
      </c>
      <c r="C807" s="42" t="s">
        <v>1223</v>
      </c>
      <c r="D807" s="12"/>
      <c r="E807" s="12"/>
      <c r="F807" s="24">
        <v>257500</v>
      </c>
      <c r="G807" s="24">
        <v>257500</v>
      </c>
      <c r="H807" s="12"/>
      <c r="I807" s="12">
        <f t="array" ref="I807">G807+F807</f>
        <v>515000</v>
      </c>
      <c r="J807" s="12"/>
      <c r="K807" s="12"/>
      <c r="L807" s="12"/>
    </row>
    <row r="808" spans="1:12" ht="20.100000000000001" customHeight="1">
      <c r="A808" s="20" t="s">
        <v>1224</v>
      </c>
      <c r="B808" s="21" t="s">
        <v>1225</v>
      </c>
      <c r="C808" s="42" t="s">
        <v>1226</v>
      </c>
      <c r="D808" s="12"/>
      <c r="E808" s="12"/>
      <c r="F808" s="24"/>
      <c r="G808" s="24"/>
      <c r="H808" s="12"/>
      <c r="I808" s="12">
        <f t="array" ref="I808">G808+F808</f>
        <v>0</v>
      </c>
      <c r="J808" s="12"/>
      <c r="K808" s="12"/>
      <c r="L808" s="12"/>
    </row>
    <row r="809" spans="1:12" ht="20.100000000000001" customHeight="1">
      <c r="A809" s="20" t="s">
        <v>1227</v>
      </c>
      <c r="B809" s="21" t="s">
        <v>1228</v>
      </c>
      <c r="C809" s="42" t="s">
        <v>1229</v>
      </c>
      <c r="D809" s="12"/>
      <c r="E809" s="12"/>
      <c r="F809" s="24"/>
      <c r="G809" s="24"/>
      <c r="H809" s="12"/>
      <c r="I809" s="12">
        <f t="array" ref="I809">G809+F809</f>
        <v>0</v>
      </c>
      <c r="J809" s="12"/>
      <c r="K809" s="12"/>
      <c r="L809" s="12"/>
    </row>
    <row r="810" spans="1:12" ht="20.100000000000001" customHeight="1">
      <c r="A810" s="20" t="s">
        <v>1230</v>
      </c>
      <c r="B810" s="21" t="s">
        <v>1231</v>
      </c>
      <c r="C810" s="42" t="s">
        <v>1232</v>
      </c>
      <c r="D810" s="12"/>
      <c r="E810" s="12"/>
      <c r="F810" s="24"/>
      <c r="G810" s="24"/>
      <c r="H810" s="12"/>
      <c r="I810" s="12">
        <f t="array" ref="I810">G810+F810</f>
        <v>0</v>
      </c>
      <c r="J810" s="12"/>
      <c r="K810" s="12"/>
      <c r="L810" s="12"/>
    </row>
    <row r="811" spans="1:12" ht="20.100000000000001" customHeight="1">
      <c r="A811" s="20" t="s">
        <v>1233</v>
      </c>
      <c r="B811" s="21" t="s">
        <v>1234</v>
      </c>
      <c r="C811" s="42" t="s">
        <v>1235</v>
      </c>
      <c r="D811" s="12"/>
      <c r="E811" s="12"/>
      <c r="F811" s="24"/>
      <c r="G811" s="24"/>
      <c r="H811" s="12"/>
      <c r="I811" s="12">
        <f t="array" ref="I811">G811+F811</f>
        <v>0</v>
      </c>
      <c r="J811" s="12"/>
      <c r="K811" s="12"/>
      <c r="L811" s="12"/>
    </row>
    <row r="812" spans="1:12" ht="20.100000000000001" customHeight="1">
      <c r="A812" s="20" t="s">
        <v>1236</v>
      </c>
      <c r="B812" s="21" t="s">
        <v>1237</v>
      </c>
      <c r="C812" s="42" t="s">
        <v>1238</v>
      </c>
      <c r="D812" s="12"/>
      <c r="E812" s="12"/>
      <c r="F812" s="24"/>
      <c r="G812" s="24"/>
      <c r="H812" s="12"/>
      <c r="I812" s="12">
        <f t="array" ref="I812">G812+F812</f>
        <v>0</v>
      </c>
      <c r="J812" s="12"/>
      <c r="K812" s="12"/>
      <c r="L812" s="12"/>
    </row>
    <row r="813" spans="1:12" ht="20.100000000000001" customHeight="1">
      <c r="A813" s="20" t="s">
        <v>1239</v>
      </c>
      <c r="B813" s="21" t="s">
        <v>1240</v>
      </c>
      <c r="C813" s="42" t="s">
        <v>1241</v>
      </c>
      <c r="D813" s="12"/>
      <c r="E813" s="12"/>
      <c r="F813" s="24">
        <v>181000</v>
      </c>
      <c r="G813" s="24">
        <v>181000</v>
      </c>
      <c r="H813" s="12"/>
      <c r="I813" s="12">
        <f t="array" ref="I813">G813+F813</f>
        <v>362000</v>
      </c>
      <c r="J813" s="12"/>
      <c r="K813" s="12"/>
      <c r="L813" s="12"/>
    </row>
    <row r="814" spans="1:12" ht="20.100000000000001" customHeight="1">
      <c r="A814" s="20" t="s">
        <v>1242</v>
      </c>
      <c r="B814" s="21" t="s">
        <v>1243</v>
      </c>
      <c r="C814" s="42" t="s">
        <v>1244</v>
      </c>
      <c r="D814" s="12"/>
      <c r="E814" s="12"/>
      <c r="F814" s="24">
        <v>167000</v>
      </c>
      <c r="G814" s="24">
        <v>167000</v>
      </c>
      <c r="H814" s="12"/>
      <c r="I814" s="12">
        <f t="array" ref="I814">G814+F814</f>
        <v>334000</v>
      </c>
      <c r="J814" s="12"/>
      <c r="K814" s="12"/>
      <c r="L814" s="12"/>
    </row>
    <row r="815" spans="1:12" ht="20.100000000000001" customHeight="1">
      <c r="A815" s="20" t="s">
        <v>1245</v>
      </c>
      <c r="B815" s="21" t="s">
        <v>1246</v>
      </c>
      <c r="C815" s="42" t="s">
        <v>1247</v>
      </c>
      <c r="D815" s="12"/>
      <c r="E815" s="12"/>
      <c r="F815" s="24"/>
      <c r="G815" s="24"/>
      <c r="H815" s="12"/>
      <c r="I815" s="12">
        <f t="array" ref="I815">G815+F815</f>
        <v>0</v>
      </c>
      <c r="J815" s="12"/>
      <c r="K815" s="12"/>
      <c r="L815" s="12"/>
    </row>
    <row r="816" spans="1:12" ht="20.100000000000001" customHeight="1">
      <c r="A816" s="20" t="s">
        <v>1248</v>
      </c>
      <c r="B816" s="21" t="s">
        <v>1249</v>
      </c>
      <c r="C816" s="42" t="s">
        <v>1250</v>
      </c>
      <c r="D816" s="12"/>
      <c r="E816" s="12"/>
      <c r="F816" s="24"/>
      <c r="G816" s="24"/>
      <c r="H816" s="12"/>
      <c r="I816" s="12">
        <f t="array" ref="I816">G816+F816</f>
        <v>0</v>
      </c>
      <c r="J816" s="12"/>
      <c r="K816" s="12"/>
      <c r="L816" s="12"/>
    </row>
    <row r="817" spans="1:12" ht="20.100000000000001" customHeight="1">
      <c r="A817" s="20" t="s">
        <v>1251</v>
      </c>
      <c r="B817" s="21" t="s">
        <v>1252</v>
      </c>
      <c r="C817" s="42" t="s">
        <v>1253</v>
      </c>
      <c r="D817" s="12"/>
      <c r="E817" s="12"/>
      <c r="F817" s="24">
        <v>94500</v>
      </c>
      <c r="G817" s="24">
        <v>94500</v>
      </c>
      <c r="H817" s="12"/>
      <c r="I817" s="12">
        <f t="array" ref="I817">G817+F817</f>
        <v>189000</v>
      </c>
      <c r="J817" s="12"/>
      <c r="K817" s="12"/>
      <c r="L817" s="12"/>
    </row>
    <row r="818" spans="1:12" ht="20.100000000000001" customHeight="1">
      <c r="A818" s="20" t="s">
        <v>1254</v>
      </c>
      <c r="B818" s="21" t="s">
        <v>1255</v>
      </c>
      <c r="C818" s="42" t="s">
        <v>1256</v>
      </c>
      <c r="D818" s="12"/>
      <c r="E818" s="12"/>
      <c r="F818" s="24"/>
      <c r="G818" s="24"/>
      <c r="H818" s="12"/>
      <c r="I818" s="12">
        <f t="array" ref="I818">G818+F818</f>
        <v>0</v>
      </c>
      <c r="J818" s="12"/>
      <c r="K818" s="12"/>
      <c r="L818" s="12"/>
    </row>
    <row r="819" spans="1:12" ht="20.100000000000001" customHeight="1">
      <c r="A819" s="20" t="s">
        <v>1257</v>
      </c>
      <c r="B819" s="21" t="s">
        <v>1258</v>
      </c>
      <c r="C819" s="42" t="s">
        <v>1259</v>
      </c>
      <c r="D819" s="12"/>
      <c r="E819" s="12"/>
      <c r="F819" s="24">
        <v>93500</v>
      </c>
      <c r="G819" s="24">
        <v>93500</v>
      </c>
      <c r="H819" s="12"/>
      <c r="I819" s="12">
        <f t="array" ref="I819">G819+F819</f>
        <v>187000</v>
      </c>
      <c r="J819" s="12"/>
      <c r="K819" s="12"/>
      <c r="L819" s="12"/>
    </row>
    <row r="820" spans="1:12" ht="20.100000000000001" customHeight="1">
      <c r="A820" s="20" t="s">
        <v>1260</v>
      </c>
      <c r="B820" s="21" t="s">
        <v>1261</v>
      </c>
      <c r="C820" s="42" t="s">
        <v>1262</v>
      </c>
      <c r="D820" s="12"/>
      <c r="E820" s="12"/>
      <c r="F820" s="24"/>
      <c r="G820" s="24"/>
      <c r="H820" s="12"/>
      <c r="I820" s="12">
        <f t="array" ref="I820">G820+F820</f>
        <v>0</v>
      </c>
      <c r="J820" s="12"/>
      <c r="K820" s="12"/>
      <c r="L820" s="12"/>
    </row>
    <row r="821" spans="1:12" ht="20.100000000000001" customHeight="1">
      <c r="A821" s="20" t="s">
        <v>1263</v>
      </c>
      <c r="B821" s="21" t="s">
        <v>1264</v>
      </c>
      <c r="C821" s="42" t="s">
        <v>1265</v>
      </c>
      <c r="D821" s="12"/>
      <c r="E821" s="12"/>
      <c r="F821" s="24"/>
      <c r="G821" s="24"/>
      <c r="H821" s="12"/>
      <c r="I821" s="12">
        <f t="array" ref="I821">G821+F821</f>
        <v>0</v>
      </c>
      <c r="J821" s="12"/>
      <c r="K821" s="12"/>
      <c r="L821" s="12"/>
    </row>
    <row r="822" spans="1:12" ht="20.100000000000001" customHeight="1">
      <c r="A822" s="20" t="s">
        <v>1266</v>
      </c>
      <c r="B822" s="21" t="s">
        <v>1267</v>
      </c>
      <c r="C822" s="42" t="s">
        <v>1268</v>
      </c>
      <c r="D822" s="12"/>
      <c r="E822" s="12"/>
      <c r="F822" s="24"/>
      <c r="G822" s="24"/>
      <c r="H822" s="12"/>
      <c r="I822" s="12">
        <f t="array" ref="I822">G822+F822</f>
        <v>0</v>
      </c>
      <c r="J822" s="12"/>
      <c r="K822" s="12"/>
      <c r="L822" s="12"/>
    </row>
    <row r="823" spans="1:12" ht="20.100000000000001" customHeight="1">
      <c r="A823" s="20" t="s">
        <v>1269</v>
      </c>
      <c r="B823" s="21" t="s">
        <v>1270</v>
      </c>
      <c r="C823" s="42" t="s">
        <v>1271</v>
      </c>
      <c r="D823" s="12"/>
      <c r="E823" s="12"/>
      <c r="F823" s="24">
        <v>640500</v>
      </c>
      <c r="G823" s="24">
        <v>640500</v>
      </c>
      <c r="H823" s="12"/>
      <c r="I823" s="12">
        <f t="array" ref="I823">G823+F823</f>
        <v>1281000</v>
      </c>
      <c r="J823" s="12"/>
      <c r="K823" s="12"/>
      <c r="L823" s="12"/>
    </row>
    <row r="824" spans="1:12" ht="20.100000000000001" customHeight="1">
      <c r="A824" s="20" t="s">
        <v>1272</v>
      </c>
      <c r="B824" s="21" t="s">
        <v>1273</v>
      </c>
      <c r="C824" s="42" t="s">
        <v>1274</v>
      </c>
      <c r="D824" s="12"/>
      <c r="E824" s="12"/>
      <c r="F824" s="24"/>
      <c r="G824" s="24"/>
      <c r="H824" s="12"/>
      <c r="I824" s="12">
        <f t="array" ref="I824">G824+F824</f>
        <v>0</v>
      </c>
      <c r="J824" s="12"/>
      <c r="K824" s="12"/>
      <c r="L824" s="12"/>
    </row>
    <row r="825" spans="1:12" ht="20.100000000000001" customHeight="1">
      <c r="A825" s="20" t="s">
        <v>1275</v>
      </c>
      <c r="B825" s="21" t="s">
        <v>1276</v>
      </c>
      <c r="C825" s="42" t="s">
        <v>1277</v>
      </c>
      <c r="D825" s="12"/>
      <c r="E825" s="12"/>
      <c r="F825" s="24">
        <v>1540500</v>
      </c>
      <c r="G825" s="24">
        <v>1540500</v>
      </c>
      <c r="H825" s="12"/>
      <c r="I825" s="12">
        <f t="array" ref="I825">G825+F825</f>
        <v>3081000</v>
      </c>
      <c r="J825" s="12"/>
      <c r="K825" s="12"/>
      <c r="L825" s="12"/>
    </row>
    <row r="826" spans="1:12" ht="20.100000000000001" customHeight="1">
      <c r="A826" s="20" t="s">
        <v>1278</v>
      </c>
      <c r="B826" s="21" t="s">
        <v>1279</v>
      </c>
      <c r="C826" s="42" t="s">
        <v>1280</v>
      </c>
      <c r="D826" s="12"/>
      <c r="E826" s="12"/>
      <c r="F826" s="24"/>
      <c r="G826" s="24"/>
      <c r="H826" s="12"/>
      <c r="I826" s="12">
        <f t="array" ref="I826">G826+F826</f>
        <v>0</v>
      </c>
      <c r="J826" s="12"/>
      <c r="K826" s="12"/>
      <c r="L826" s="12"/>
    </row>
    <row r="827" spans="1:12" ht="20.100000000000001" customHeight="1">
      <c r="A827" s="20" t="s">
        <v>1281</v>
      </c>
      <c r="B827" s="43" t="s">
        <v>1217</v>
      </c>
      <c r="C827" s="12"/>
      <c r="D827" s="12"/>
      <c r="E827" s="12"/>
      <c r="F827" s="12">
        <f t="array" ref="F827">SUM(F806:F826)</f>
        <v>2974500</v>
      </c>
      <c r="G827" s="12">
        <f t="array" ref="G827">SUM(G806:G826)</f>
        <v>2974500</v>
      </c>
      <c r="H827" s="12"/>
      <c r="I827" s="12">
        <f t="array" ref="I827">SUM(I806:I826)</f>
        <v>5949000</v>
      </c>
      <c r="J827" s="12"/>
      <c r="K827" s="12"/>
      <c r="L827" s="12"/>
    </row>
    <row r="828" spans="1:12" ht="20.100000000000001" customHeight="1">
      <c r="A828" s="10"/>
      <c r="B828" s="11"/>
      <c r="C828" s="25"/>
      <c r="D828" s="12"/>
      <c r="E828" s="12"/>
      <c r="F828" s="12"/>
      <c r="G828" s="12"/>
      <c r="H828" s="12"/>
      <c r="I828" s="12"/>
      <c r="J828" s="12"/>
      <c r="K828" s="12"/>
      <c r="L828" s="12"/>
    </row>
    <row r="829" spans="1:12" ht="20.100000000000001" customHeight="1">
      <c r="A829" s="10"/>
      <c r="B829" s="40" t="s">
        <v>1282</v>
      </c>
      <c r="C829" s="25"/>
      <c r="D829" s="12"/>
      <c r="E829" s="12"/>
      <c r="F829" s="12"/>
      <c r="G829" s="12"/>
      <c r="H829" s="12"/>
      <c r="I829" s="12"/>
      <c r="J829" s="12"/>
      <c r="K829" s="12"/>
      <c r="L829" s="12"/>
    </row>
    <row r="830" spans="1:12" ht="20.100000000000001" customHeight="1">
      <c r="A830" s="20" t="s">
        <v>1283</v>
      </c>
      <c r="B830" s="21" t="s">
        <v>1284</v>
      </c>
      <c r="C830" s="42" t="s">
        <v>1285</v>
      </c>
      <c r="D830" s="12"/>
      <c r="E830" s="12"/>
      <c r="F830" s="24"/>
      <c r="G830" s="24"/>
      <c r="H830" s="12"/>
      <c r="I830" s="12">
        <f t="array" ref="I830">G830+F830</f>
        <v>0</v>
      </c>
      <c r="J830" s="12"/>
      <c r="K830" s="12"/>
      <c r="L830" s="12"/>
    </row>
    <row r="831" spans="1:12" ht="20.100000000000001" customHeight="1">
      <c r="A831" s="20" t="s">
        <v>1286</v>
      </c>
      <c r="B831" s="21" t="s">
        <v>1287</v>
      </c>
      <c r="C831" s="42" t="s">
        <v>1288</v>
      </c>
      <c r="D831" s="12"/>
      <c r="E831" s="12"/>
      <c r="F831" s="24"/>
      <c r="G831" s="24"/>
      <c r="H831" s="12"/>
      <c r="I831" s="12">
        <f t="array" ref="I831">G831+F831</f>
        <v>0</v>
      </c>
      <c r="J831" s="12"/>
      <c r="K831" s="12"/>
      <c r="L831" s="12"/>
    </row>
    <row r="832" spans="1:12" ht="20.100000000000001" customHeight="1">
      <c r="A832" s="20" t="s">
        <v>1289</v>
      </c>
      <c r="B832" s="21" t="s">
        <v>1290</v>
      </c>
      <c r="C832" s="42" t="s">
        <v>1291</v>
      </c>
      <c r="D832" s="12"/>
      <c r="E832" s="12"/>
      <c r="F832" s="24"/>
      <c r="G832" s="24"/>
      <c r="H832" s="12"/>
      <c r="I832" s="12">
        <f t="array" ref="I832">G832+F832</f>
        <v>0</v>
      </c>
      <c r="J832" s="12"/>
      <c r="K832" s="12"/>
      <c r="L832" s="12"/>
    </row>
    <row r="833" spans="1:12" ht="20.100000000000001" customHeight="1">
      <c r="A833" s="20" t="s">
        <v>1292</v>
      </c>
      <c r="B833" s="21" t="s">
        <v>1293</v>
      </c>
      <c r="C833" s="42" t="s">
        <v>1294</v>
      </c>
      <c r="D833" s="12"/>
      <c r="E833" s="12"/>
      <c r="F833" s="24"/>
      <c r="G833" s="24"/>
      <c r="H833" s="12"/>
      <c r="I833" s="12">
        <f t="array" ref="I833">G833+F833</f>
        <v>0</v>
      </c>
      <c r="J833" s="12"/>
      <c r="K833" s="12"/>
      <c r="L833" s="12"/>
    </row>
    <row r="834" spans="1:12" ht="20.100000000000001" customHeight="1">
      <c r="A834" s="20" t="s">
        <v>1295</v>
      </c>
      <c r="B834" s="21" t="s">
        <v>1296</v>
      </c>
      <c r="C834" s="42" t="s">
        <v>1297</v>
      </c>
      <c r="D834" s="12"/>
      <c r="E834" s="12"/>
      <c r="F834" s="24">
        <v>110000</v>
      </c>
      <c r="G834" s="24">
        <v>110000</v>
      </c>
      <c r="H834" s="12"/>
      <c r="I834" s="12">
        <f t="array" ref="I834">G834+F834</f>
        <v>220000</v>
      </c>
      <c r="J834" s="12"/>
      <c r="K834" s="12"/>
      <c r="L834" s="12"/>
    </row>
    <row r="835" spans="1:12" ht="20.100000000000001" customHeight="1">
      <c r="A835" s="20" t="s">
        <v>1298</v>
      </c>
      <c r="B835" s="21" t="s">
        <v>1299</v>
      </c>
      <c r="C835" s="42" t="s">
        <v>1300</v>
      </c>
      <c r="D835" s="12"/>
      <c r="E835" s="12"/>
      <c r="F835" s="24"/>
      <c r="G835" s="24"/>
      <c r="H835" s="12"/>
      <c r="I835" s="12">
        <f t="array" ref="I835">G835+F835</f>
        <v>0</v>
      </c>
      <c r="J835" s="12"/>
      <c r="K835" s="12"/>
      <c r="L835" s="12"/>
    </row>
    <row r="836" spans="1:12" ht="20.100000000000001" customHeight="1">
      <c r="A836" s="20" t="s">
        <v>1301</v>
      </c>
      <c r="B836" s="21" t="s">
        <v>1302</v>
      </c>
      <c r="C836" s="42" t="s">
        <v>1303</v>
      </c>
      <c r="D836" s="12"/>
      <c r="E836" s="12"/>
      <c r="F836" s="24"/>
      <c r="G836" s="24"/>
      <c r="H836" s="12"/>
      <c r="I836" s="12">
        <f t="array" ref="I836">G836+F836</f>
        <v>0</v>
      </c>
      <c r="J836" s="12"/>
      <c r="K836" s="12"/>
      <c r="L836" s="12"/>
    </row>
    <row r="837" spans="1:12" ht="20.100000000000001" customHeight="1">
      <c r="A837" s="20" t="s">
        <v>1304</v>
      </c>
      <c r="B837" s="21" t="s">
        <v>1305</v>
      </c>
      <c r="C837" s="42" t="s">
        <v>1306</v>
      </c>
      <c r="D837" s="12"/>
      <c r="E837" s="12"/>
      <c r="F837" s="24"/>
      <c r="G837" s="24"/>
      <c r="H837" s="12"/>
      <c r="I837" s="12">
        <f t="array" ref="I837">G837+F837</f>
        <v>0</v>
      </c>
      <c r="J837" s="12"/>
      <c r="K837" s="12"/>
      <c r="L837" s="12"/>
    </row>
    <row r="838" spans="1:12" ht="20.100000000000001" customHeight="1">
      <c r="A838" s="20" t="s">
        <v>1307</v>
      </c>
      <c r="B838" s="21" t="s">
        <v>1308</v>
      </c>
      <c r="C838" s="42" t="s">
        <v>1309</v>
      </c>
      <c r="D838" s="12"/>
      <c r="E838" s="12"/>
      <c r="F838" s="24">
        <v>181500</v>
      </c>
      <c r="G838" s="24">
        <v>181500</v>
      </c>
      <c r="H838" s="12"/>
      <c r="I838" s="12">
        <f t="array" ref="I838">G838+F838</f>
        <v>363000</v>
      </c>
      <c r="J838" s="12"/>
      <c r="K838" s="12"/>
      <c r="L838" s="12"/>
    </row>
    <row r="839" spans="1:12" ht="20.100000000000001" customHeight="1">
      <c r="A839" s="20" t="s">
        <v>1310</v>
      </c>
      <c r="B839" s="21" t="s">
        <v>1311</v>
      </c>
      <c r="C839" s="42" t="s">
        <v>1312</v>
      </c>
      <c r="D839" s="12"/>
      <c r="E839" s="12"/>
      <c r="F839" s="24"/>
      <c r="G839" s="24"/>
      <c r="H839" s="12"/>
      <c r="I839" s="12">
        <f t="array" ref="I839">G839+F839</f>
        <v>0</v>
      </c>
      <c r="J839" s="12"/>
      <c r="K839" s="12"/>
      <c r="L839" s="12"/>
    </row>
    <row r="840" spans="1:12" ht="20.100000000000001" customHeight="1">
      <c r="A840" s="20" t="s">
        <v>1313</v>
      </c>
      <c r="B840" s="21" t="s">
        <v>1314</v>
      </c>
      <c r="C840" s="42" t="s">
        <v>1315</v>
      </c>
      <c r="D840" s="12"/>
      <c r="E840" s="12"/>
      <c r="F840" s="24">
        <v>62000</v>
      </c>
      <c r="G840" s="24">
        <v>62000</v>
      </c>
      <c r="H840" s="12"/>
      <c r="I840" s="12">
        <f t="array" ref="I840">G840+F840</f>
        <v>124000</v>
      </c>
      <c r="J840" s="12"/>
      <c r="K840" s="12"/>
      <c r="L840" s="12"/>
    </row>
    <row r="841" spans="1:12" ht="20.100000000000001" customHeight="1">
      <c r="A841" s="20" t="s">
        <v>1316</v>
      </c>
      <c r="B841" s="21" t="s">
        <v>1317</v>
      </c>
      <c r="C841" s="42" t="s">
        <v>1318</v>
      </c>
      <c r="D841" s="12"/>
      <c r="E841" s="12"/>
      <c r="F841" s="24"/>
      <c r="G841" s="24"/>
      <c r="H841" s="12"/>
      <c r="I841" s="12">
        <f t="array" ref="I841">G841+F841</f>
        <v>0</v>
      </c>
      <c r="J841" s="12"/>
      <c r="K841" s="12"/>
      <c r="L841" s="12"/>
    </row>
    <row r="842" spans="1:12" ht="20.100000000000001" customHeight="1">
      <c r="A842" s="20" t="s">
        <v>1319</v>
      </c>
      <c r="B842" s="21" t="s">
        <v>1320</v>
      </c>
      <c r="C842" s="42" t="s">
        <v>1321</v>
      </c>
      <c r="D842" s="12"/>
      <c r="E842" s="12"/>
      <c r="F842" s="24"/>
      <c r="G842" s="24"/>
      <c r="H842" s="12"/>
      <c r="I842" s="12">
        <f t="array" ref="I842">G842+F842</f>
        <v>0</v>
      </c>
      <c r="J842" s="12"/>
      <c r="K842" s="12"/>
      <c r="L842" s="12"/>
    </row>
    <row r="843" spans="1:12" ht="20.100000000000001" customHeight="1">
      <c r="A843" s="20" t="s">
        <v>1322</v>
      </c>
      <c r="B843" s="21" t="s">
        <v>1323</v>
      </c>
      <c r="C843" s="42" t="s">
        <v>1324</v>
      </c>
      <c r="D843" s="12"/>
      <c r="E843" s="12"/>
      <c r="F843" s="24"/>
      <c r="G843" s="24"/>
      <c r="H843" s="12"/>
      <c r="I843" s="12">
        <f t="array" ref="I843">G843+F843</f>
        <v>0</v>
      </c>
      <c r="J843" s="12"/>
      <c r="K843" s="12"/>
      <c r="L843" s="12"/>
    </row>
    <row r="844" spans="1:12" ht="20.100000000000001" customHeight="1">
      <c r="A844" s="20" t="s">
        <v>1325</v>
      </c>
      <c r="B844" s="21" t="s">
        <v>1326</v>
      </c>
      <c r="C844" s="42" t="s">
        <v>1327</v>
      </c>
      <c r="D844" s="12"/>
      <c r="E844" s="12"/>
      <c r="F844" s="24">
        <v>667500</v>
      </c>
      <c r="G844" s="24">
        <v>667500</v>
      </c>
      <c r="H844" s="12"/>
      <c r="I844" s="12">
        <f t="array" ref="I844">G844+F844</f>
        <v>1335000</v>
      </c>
      <c r="J844" s="12"/>
      <c r="K844" s="12"/>
      <c r="L844" s="12"/>
    </row>
    <row r="845" spans="1:12" ht="20.100000000000001" customHeight="1">
      <c r="A845" s="20" t="s">
        <v>1328</v>
      </c>
      <c r="B845" s="21" t="s">
        <v>1329</v>
      </c>
      <c r="C845" s="42" t="s">
        <v>1330</v>
      </c>
      <c r="D845" s="12"/>
      <c r="E845" s="12"/>
      <c r="F845" s="24"/>
      <c r="G845" s="24"/>
      <c r="H845" s="12"/>
      <c r="I845" s="12">
        <f t="array" ref="I845">G845+F845</f>
        <v>0</v>
      </c>
      <c r="J845" s="12"/>
      <c r="K845" s="12"/>
      <c r="L845" s="12"/>
    </row>
    <row r="846" spans="1:12" ht="20.100000000000001" customHeight="1">
      <c r="A846" s="20" t="s">
        <v>1331</v>
      </c>
      <c r="B846" s="21" t="s">
        <v>1332</v>
      </c>
      <c r="C846" s="42" t="s">
        <v>1333</v>
      </c>
      <c r="D846" s="12"/>
      <c r="E846" s="12"/>
      <c r="F846" s="24"/>
      <c r="G846" s="24"/>
      <c r="H846" s="12"/>
      <c r="I846" s="12">
        <f t="array" ref="I846">G846+F846</f>
        <v>0</v>
      </c>
      <c r="J846" s="12"/>
      <c r="K846" s="12"/>
      <c r="L846" s="12"/>
    </row>
    <row r="847" spans="1:12" ht="20.100000000000001" customHeight="1">
      <c r="A847" s="20" t="s">
        <v>1334</v>
      </c>
      <c r="B847" s="21" t="s">
        <v>1335</v>
      </c>
      <c r="C847" s="42" t="s">
        <v>1336</v>
      </c>
      <c r="D847" s="12"/>
      <c r="E847" s="12"/>
      <c r="F847" s="24"/>
      <c r="G847" s="24"/>
      <c r="H847" s="12"/>
      <c r="I847" s="12">
        <f t="array" ref="I847">G847+F847</f>
        <v>0</v>
      </c>
      <c r="J847" s="12"/>
      <c r="K847" s="12"/>
      <c r="L847" s="12"/>
    </row>
    <row r="848" spans="1:12" ht="20.100000000000001" customHeight="1">
      <c r="A848" s="20" t="s">
        <v>1337</v>
      </c>
      <c r="B848" s="21" t="s">
        <v>1338</v>
      </c>
      <c r="C848" s="42" t="s">
        <v>1339</v>
      </c>
      <c r="D848" s="12"/>
      <c r="E848" s="12"/>
      <c r="F848" s="24"/>
      <c r="G848" s="24"/>
      <c r="H848" s="12"/>
      <c r="I848" s="12">
        <f t="array" ref="I848">G848+F848</f>
        <v>0</v>
      </c>
      <c r="J848" s="12"/>
      <c r="K848" s="12"/>
      <c r="L848" s="12"/>
    </row>
    <row r="849" spans="1:12" ht="20.100000000000001" customHeight="1">
      <c r="A849" s="20" t="s">
        <v>1340</v>
      </c>
      <c r="B849" s="21" t="s">
        <v>1341</v>
      </c>
      <c r="C849" s="42" t="s">
        <v>1342</v>
      </c>
      <c r="D849" s="12"/>
      <c r="E849" s="12"/>
      <c r="F849" s="24"/>
      <c r="G849" s="24"/>
      <c r="H849" s="12"/>
      <c r="I849" s="12">
        <f t="array" ref="I849">G849+F849</f>
        <v>0</v>
      </c>
      <c r="J849" s="12"/>
      <c r="K849" s="12"/>
      <c r="L849" s="12"/>
    </row>
    <row r="850" spans="1:12" ht="20.100000000000001" customHeight="1">
      <c r="A850" s="20" t="s">
        <v>1343</v>
      </c>
      <c r="B850" s="21" t="s">
        <v>1344</v>
      </c>
      <c r="C850" s="42" t="s">
        <v>1345</v>
      </c>
      <c r="D850" s="12"/>
      <c r="E850" s="12"/>
      <c r="F850" s="24"/>
      <c r="G850" s="24"/>
      <c r="H850" s="12"/>
      <c r="I850" s="12">
        <f t="array" ref="I850">G850+F850</f>
        <v>0</v>
      </c>
      <c r="J850" s="12"/>
      <c r="K850" s="12"/>
      <c r="L850" s="12"/>
    </row>
    <row r="851" spans="1:12" ht="20.100000000000001" customHeight="1">
      <c r="A851" s="20" t="s">
        <v>1346</v>
      </c>
      <c r="B851" s="21" t="s">
        <v>1347</v>
      </c>
      <c r="C851" s="42" t="s">
        <v>1348</v>
      </c>
      <c r="D851" s="12"/>
      <c r="E851" s="12"/>
      <c r="F851" s="24"/>
      <c r="G851" s="24"/>
      <c r="H851" s="12"/>
      <c r="I851" s="12">
        <f t="array" ref="I851">G851+F851</f>
        <v>0</v>
      </c>
      <c r="J851" s="12"/>
      <c r="K851" s="12"/>
      <c r="L851" s="12"/>
    </row>
    <row r="852" spans="1:12" ht="20.100000000000001" customHeight="1">
      <c r="A852" s="20" t="s">
        <v>1349</v>
      </c>
      <c r="B852" s="21" t="s">
        <v>1350</v>
      </c>
      <c r="C852" s="42" t="s">
        <v>1351</v>
      </c>
      <c r="D852" s="12"/>
      <c r="E852" s="12"/>
      <c r="F852" s="24"/>
      <c r="G852" s="24"/>
      <c r="H852" s="12"/>
      <c r="I852" s="12">
        <f t="array" ref="I852">G852+F852</f>
        <v>0</v>
      </c>
      <c r="J852" s="12"/>
      <c r="K852" s="12"/>
      <c r="L852" s="12"/>
    </row>
    <row r="853" spans="1:12" ht="20.100000000000001" customHeight="1">
      <c r="A853" s="20" t="s">
        <v>1352</v>
      </c>
      <c r="B853" s="21" t="s">
        <v>1353</v>
      </c>
      <c r="C853" s="42" t="s">
        <v>1354</v>
      </c>
      <c r="D853" s="12"/>
      <c r="E853" s="12"/>
      <c r="F853" s="24"/>
      <c r="G853" s="24"/>
      <c r="H853" s="12"/>
      <c r="I853" s="12">
        <f t="array" ref="I853">G853+F853</f>
        <v>0</v>
      </c>
      <c r="J853" s="12"/>
      <c r="K853" s="12"/>
      <c r="L853" s="12"/>
    </row>
    <row r="854" spans="1:12" ht="20.100000000000001" customHeight="1">
      <c r="A854" s="20" t="s">
        <v>1355</v>
      </c>
      <c r="B854" s="21" t="s">
        <v>1356</v>
      </c>
      <c r="C854" s="42" t="s">
        <v>1357</v>
      </c>
      <c r="D854" s="12"/>
      <c r="E854" s="12"/>
      <c r="F854" s="24"/>
      <c r="G854" s="24"/>
      <c r="H854" s="12"/>
      <c r="I854" s="12">
        <f t="array" ref="I854">G854+F854</f>
        <v>0</v>
      </c>
      <c r="J854" s="12"/>
      <c r="K854" s="12"/>
      <c r="L854" s="12"/>
    </row>
    <row r="855" spans="1:12" ht="20.100000000000001" customHeight="1">
      <c r="A855" s="20" t="s">
        <v>1358</v>
      </c>
      <c r="B855" s="21" t="s">
        <v>1359</v>
      </c>
      <c r="C855" s="42" t="s">
        <v>1360</v>
      </c>
      <c r="D855" s="12"/>
      <c r="E855" s="12"/>
      <c r="F855" s="24"/>
      <c r="G855" s="24"/>
      <c r="H855" s="12"/>
      <c r="I855" s="12">
        <f t="array" ref="I855">G855+F855</f>
        <v>0</v>
      </c>
      <c r="J855" s="12"/>
      <c r="K855" s="12"/>
      <c r="L855" s="12"/>
    </row>
    <row r="856" spans="1:12" ht="20.100000000000001" customHeight="1">
      <c r="A856" s="20" t="s">
        <v>1361</v>
      </c>
      <c r="B856" s="21" t="s">
        <v>1362</v>
      </c>
      <c r="C856" s="42" t="s">
        <v>1363</v>
      </c>
      <c r="D856" s="12"/>
      <c r="E856" s="12"/>
      <c r="F856" s="24">
        <v>55000</v>
      </c>
      <c r="G856" s="24">
        <v>55000</v>
      </c>
      <c r="H856" s="12"/>
      <c r="I856" s="12">
        <f t="array" ref="I856">G856+F856</f>
        <v>110000</v>
      </c>
      <c r="J856" s="12"/>
      <c r="K856" s="12"/>
      <c r="L856" s="12"/>
    </row>
    <row r="857" spans="1:12" ht="20.100000000000001" customHeight="1">
      <c r="A857" s="20" t="s">
        <v>1364</v>
      </c>
      <c r="B857" s="21" t="s">
        <v>1365</v>
      </c>
      <c r="C857" s="42" t="s">
        <v>1366</v>
      </c>
      <c r="D857" s="12"/>
      <c r="E857" s="12"/>
      <c r="F857" s="24"/>
      <c r="G857" s="24"/>
      <c r="H857" s="12"/>
      <c r="I857" s="12">
        <f t="array" ref="I857">G857+F857</f>
        <v>0</v>
      </c>
      <c r="J857" s="12"/>
      <c r="K857" s="12"/>
      <c r="L857" s="12"/>
    </row>
    <row r="858" spans="1:12" ht="20.100000000000001" customHeight="1">
      <c r="A858" s="20" t="s">
        <v>1367</v>
      </c>
      <c r="B858" s="21" t="s">
        <v>1368</v>
      </c>
      <c r="C858" s="42" t="s">
        <v>1369</v>
      </c>
      <c r="D858" s="12"/>
      <c r="E858" s="12"/>
      <c r="F858" s="24"/>
      <c r="G858" s="24"/>
      <c r="H858" s="12"/>
      <c r="I858" s="12">
        <f t="array" ref="I858">G858+F858</f>
        <v>0</v>
      </c>
      <c r="J858" s="12"/>
      <c r="K858" s="12"/>
      <c r="L858" s="12"/>
    </row>
    <row r="859" spans="1:12" ht="20.100000000000001" customHeight="1">
      <c r="A859" s="20" t="s">
        <v>1370</v>
      </c>
      <c r="B859" s="21" t="s">
        <v>1371</v>
      </c>
      <c r="C859" s="42" t="s">
        <v>1372</v>
      </c>
      <c r="D859" s="12"/>
      <c r="E859" s="12"/>
      <c r="F859" s="24"/>
      <c r="G859" s="24"/>
      <c r="H859" s="12"/>
      <c r="I859" s="12">
        <f t="array" ref="I859">G859+F859</f>
        <v>0</v>
      </c>
      <c r="J859" s="12"/>
      <c r="K859" s="12"/>
      <c r="L859" s="12"/>
    </row>
    <row r="860" spans="1:12" ht="20.100000000000001" customHeight="1">
      <c r="A860" s="20" t="s">
        <v>1373</v>
      </c>
      <c r="B860" s="21" t="s">
        <v>1374</v>
      </c>
      <c r="C860" s="42" t="s">
        <v>1375</v>
      </c>
      <c r="D860" s="12"/>
      <c r="E860" s="12"/>
      <c r="F860" s="24"/>
      <c r="G860" s="24"/>
      <c r="H860" s="12"/>
      <c r="I860" s="12">
        <f t="array" ref="I860">G860+F860</f>
        <v>0</v>
      </c>
      <c r="J860" s="12"/>
      <c r="K860" s="12"/>
      <c r="L860" s="12"/>
    </row>
    <row r="861" spans="1:12" ht="20.100000000000001" customHeight="1">
      <c r="A861" s="20" t="s">
        <v>1376</v>
      </c>
      <c r="B861" s="21" t="s">
        <v>1377</v>
      </c>
      <c r="C861" s="42" t="s">
        <v>1378</v>
      </c>
      <c r="D861" s="12"/>
      <c r="E861" s="12"/>
      <c r="F861" s="24"/>
      <c r="G861" s="24"/>
      <c r="H861" s="12"/>
      <c r="I861" s="12">
        <f t="array" ref="I861">G861+F861</f>
        <v>0</v>
      </c>
      <c r="J861" s="12"/>
      <c r="K861" s="12"/>
      <c r="L861" s="12"/>
    </row>
    <row r="862" spans="1:12" ht="20.100000000000001" customHeight="1">
      <c r="A862" s="20" t="s">
        <v>1379</v>
      </c>
      <c r="B862" s="43" t="s">
        <v>1282</v>
      </c>
      <c r="C862" s="12"/>
      <c r="D862" s="12"/>
      <c r="E862" s="12"/>
      <c r="F862" s="12">
        <f t="array" ref="F862">SUM(F830:F861)</f>
        <v>1076000</v>
      </c>
      <c r="G862" s="12">
        <f t="array" ref="G862">SUM(G830:G861)</f>
        <v>1076000</v>
      </c>
      <c r="H862" s="12"/>
      <c r="I862" s="12">
        <f t="array" ref="I862">SUM(I830:I861)</f>
        <v>2152000</v>
      </c>
      <c r="J862" s="12"/>
      <c r="K862" s="12"/>
      <c r="L862" s="12"/>
    </row>
    <row r="863" spans="1:12" ht="20.100000000000001" customHeight="1">
      <c r="A863" s="10"/>
      <c r="B863" s="11"/>
      <c r="C863" s="25"/>
      <c r="D863" s="12"/>
      <c r="E863" s="12"/>
      <c r="F863" s="12"/>
      <c r="G863" s="12"/>
      <c r="H863" s="12"/>
      <c r="I863" s="12"/>
      <c r="J863" s="12"/>
      <c r="K863" s="12"/>
      <c r="L863" s="12"/>
    </row>
    <row r="864" spans="1:12" ht="20.100000000000001" customHeight="1">
      <c r="A864" s="10"/>
      <c r="B864" s="44" t="s">
        <v>1380</v>
      </c>
      <c r="C864" s="25"/>
      <c r="D864" s="12"/>
      <c r="E864" s="12"/>
      <c r="F864" s="12"/>
      <c r="G864" s="12"/>
      <c r="H864" s="12"/>
      <c r="I864" s="12"/>
      <c r="J864" s="12"/>
      <c r="K864" s="12"/>
      <c r="L864" s="12"/>
    </row>
    <row r="865" spans="1:12" ht="20.100000000000001" customHeight="1">
      <c r="A865" s="20" t="s">
        <v>1381</v>
      </c>
      <c r="B865" s="21" t="s">
        <v>1382</v>
      </c>
      <c r="C865" s="42" t="s">
        <v>1383</v>
      </c>
      <c r="D865" s="12"/>
      <c r="E865" s="12"/>
      <c r="F865" s="24"/>
      <c r="G865" s="24"/>
      <c r="H865" s="12"/>
      <c r="I865" s="12">
        <f t="array" ref="I865">G865+F865</f>
        <v>0</v>
      </c>
      <c r="J865" s="12"/>
      <c r="K865" s="12"/>
      <c r="L865" s="12"/>
    </row>
    <row r="866" spans="1:12" ht="20.100000000000001" customHeight="1">
      <c r="A866" s="20" t="s">
        <v>1384</v>
      </c>
      <c r="B866" s="21" t="s">
        <v>1385</v>
      </c>
      <c r="C866" s="42" t="s">
        <v>1386</v>
      </c>
      <c r="D866" s="12"/>
      <c r="E866" s="12"/>
      <c r="F866" s="24"/>
      <c r="G866" s="24"/>
      <c r="H866" s="12"/>
      <c r="I866" s="12">
        <f t="array" ref="I866">G866+F866</f>
        <v>0</v>
      </c>
      <c r="J866" s="12"/>
      <c r="K866" s="12"/>
      <c r="L866" s="12"/>
    </row>
    <row r="867" spans="1:12" ht="20.100000000000001" customHeight="1">
      <c r="A867" s="20" t="s">
        <v>1387</v>
      </c>
      <c r="B867" s="21" t="s">
        <v>1388</v>
      </c>
      <c r="C867" s="42" t="s">
        <v>1389</v>
      </c>
      <c r="D867" s="12"/>
      <c r="E867" s="12"/>
      <c r="F867" s="24"/>
      <c r="G867" s="24"/>
      <c r="H867" s="12"/>
      <c r="I867" s="12">
        <f t="array" ref="I867">G867+F867</f>
        <v>0</v>
      </c>
      <c r="J867" s="12"/>
      <c r="K867" s="12"/>
      <c r="L867" s="12"/>
    </row>
    <row r="868" spans="1:12" ht="20.100000000000001" customHeight="1">
      <c r="A868" s="20" t="s">
        <v>1390</v>
      </c>
      <c r="B868" s="21" t="s">
        <v>1391</v>
      </c>
      <c r="C868" s="42" t="s">
        <v>1392</v>
      </c>
      <c r="D868" s="12"/>
      <c r="E868" s="12"/>
      <c r="F868" s="24"/>
      <c r="G868" s="24"/>
      <c r="H868" s="12"/>
      <c r="I868" s="12">
        <f t="array" ref="I868">G868+F868</f>
        <v>0</v>
      </c>
      <c r="J868" s="12"/>
      <c r="K868" s="12"/>
      <c r="L868" s="12"/>
    </row>
    <row r="869" spans="1:12" ht="20.100000000000001" customHeight="1">
      <c r="A869" s="20" t="s">
        <v>1393</v>
      </c>
      <c r="B869" s="21" t="s">
        <v>1394</v>
      </c>
      <c r="C869" s="42" t="s">
        <v>1395</v>
      </c>
      <c r="D869" s="12"/>
      <c r="E869" s="12"/>
      <c r="F869" s="24"/>
      <c r="G869" s="24"/>
      <c r="H869" s="12"/>
      <c r="I869" s="12">
        <f t="array" ref="I869">G869+F869</f>
        <v>0</v>
      </c>
      <c r="J869" s="12"/>
      <c r="K869" s="12"/>
      <c r="L869" s="12"/>
    </row>
    <row r="870" spans="1:12" ht="20.100000000000001" customHeight="1">
      <c r="A870" s="20" t="s">
        <v>1396</v>
      </c>
      <c r="B870" s="21" t="s">
        <v>1397</v>
      </c>
      <c r="C870" s="42" t="s">
        <v>1398</v>
      </c>
      <c r="D870" s="12"/>
      <c r="E870" s="12"/>
      <c r="F870" s="24"/>
      <c r="G870" s="24"/>
      <c r="H870" s="12"/>
      <c r="I870" s="12">
        <f t="array" ref="I870">G870+F870</f>
        <v>0</v>
      </c>
      <c r="J870" s="12"/>
      <c r="K870" s="12"/>
      <c r="L870" s="12"/>
    </row>
    <row r="871" spans="1:12" ht="20.100000000000001" customHeight="1">
      <c r="A871" s="20" t="s">
        <v>1399</v>
      </c>
      <c r="B871" s="21" t="s">
        <v>1400</v>
      </c>
      <c r="C871" s="42" t="s">
        <v>1401</v>
      </c>
      <c r="D871" s="12"/>
      <c r="E871" s="12"/>
      <c r="F871" s="24"/>
      <c r="G871" s="24"/>
      <c r="H871" s="12"/>
      <c r="I871" s="12">
        <f t="array" ref="I871">G871+F871</f>
        <v>0</v>
      </c>
      <c r="J871" s="12"/>
      <c r="K871" s="12"/>
      <c r="L871" s="12"/>
    </row>
    <row r="872" spans="1:12" ht="20.100000000000001" customHeight="1">
      <c r="A872" s="20" t="s">
        <v>1402</v>
      </c>
      <c r="B872" s="21" t="s">
        <v>1403</v>
      </c>
      <c r="C872" s="42" t="s">
        <v>1404</v>
      </c>
      <c r="D872" s="12"/>
      <c r="E872" s="12"/>
      <c r="F872" s="24"/>
      <c r="G872" s="24"/>
      <c r="H872" s="12"/>
      <c r="I872" s="12">
        <f t="array" ref="I872">G872+F872</f>
        <v>0</v>
      </c>
      <c r="J872" s="12"/>
      <c r="K872" s="12"/>
      <c r="L872" s="12"/>
    </row>
    <row r="873" spans="1:12" ht="20.100000000000001" customHeight="1">
      <c r="A873" s="20" t="s">
        <v>1405</v>
      </c>
      <c r="B873" s="21" t="s">
        <v>1406</v>
      </c>
      <c r="C873" s="42" t="s">
        <v>1407</v>
      </c>
      <c r="D873" s="12"/>
      <c r="E873" s="12"/>
      <c r="F873" s="24"/>
      <c r="G873" s="24"/>
      <c r="H873" s="12"/>
      <c r="I873" s="12">
        <f t="array" ref="I873">G873+F873</f>
        <v>0</v>
      </c>
      <c r="J873" s="12"/>
      <c r="K873" s="12"/>
      <c r="L873" s="12"/>
    </row>
    <row r="874" spans="1:12" ht="20.100000000000001" customHeight="1">
      <c r="A874" s="20" t="s">
        <v>1408</v>
      </c>
      <c r="B874" s="21" t="s">
        <v>1409</v>
      </c>
      <c r="C874" s="42" t="s">
        <v>1410</v>
      </c>
      <c r="D874" s="12"/>
      <c r="E874" s="12"/>
      <c r="F874" s="24"/>
      <c r="G874" s="24"/>
      <c r="H874" s="12"/>
      <c r="I874" s="12">
        <f t="array" ref="I874">G874+F874</f>
        <v>0</v>
      </c>
      <c r="J874" s="12"/>
      <c r="K874" s="12"/>
      <c r="L874" s="12"/>
    </row>
    <row r="875" spans="1:12" ht="20.100000000000001" customHeight="1">
      <c r="A875" s="20" t="s">
        <v>1411</v>
      </c>
      <c r="B875" s="21" t="s">
        <v>1412</v>
      </c>
      <c r="C875" s="42" t="s">
        <v>1413</v>
      </c>
      <c r="D875" s="12"/>
      <c r="E875" s="12"/>
      <c r="F875" s="24"/>
      <c r="G875" s="24"/>
      <c r="H875" s="12"/>
      <c r="I875" s="12">
        <f t="array" ref="I875">G875+F875</f>
        <v>0</v>
      </c>
      <c r="J875" s="12"/>
      <c r="K875" s="12"/>
      <c r="L875" s="12"/>
    </row>
    <row r="876" spans="1:12" ht="20.100000000000001" customHeight="1">
      <c r="A876" s="20" t="s">
        <v>1414</v>
      </c>
      <c r="B876" s="21" t="s">
        <v>1415</v>
      </c>
      <c r="C876" s="42" t="s">
        <v>1416</v>
      </c>
      <c r="D876" s="12"/>
      <c r="E876" s="12"/>
      <c r="F876" s="24"/>
      <c r="G876" s="24"/>
      <c r="H876" s="12"/>
      <c r="I876" s="12">
        <f t="array" ref="I876">G876+F876</f>
        <v>0</v>
      </c>
      <c r="J876" s="12"/>
      <c r="K876" s="12"/>
      <c r="L876" s="12"/>
    </row>
    <row r="877" spans="1:12" ht="20.100000000000001" customHeight="1">
      <c r="A877" s="20" t="s">
        <v>1417</v>
      </c>
      <c r="B877" s="21" t="s">
        <v>1418</v>
      </c>
      <c r="C877" s="42" t="s">
        <v>1419</v>
      </c>
      <c r="D877" s="12"/>
      <c r="E877" s="12"/>
      <c r="F877" s="24"/>
      <c r="G877" s="24"/>
      <c r="H877" s="12"/>
      <c r="I877" s="12">
        <f t="array" ref="I877">G877+F877</f>
        <v>0</v>
      </c>
      <c r="J877" s="12"/>
      <c r="K877" s="12"/>
      <c r="L877" s="12"/>
    </row>
    <row r="878" spans="1:12" ht="20.100000000000001" customHeight="1">
      <c r="A878" s="20" t="s">
        <v>1420</v>
      </c>
      <c r="B878" s="21" t="s">
        <v>1421</v>
      </c>
      <c r="C878" s="42" t="s">
        <v>1422</v>
      </c>
      <c r="D878" s="12"/>
      <c r="E878" s="12"/>
      <c r="F878" s="24"/>
      <c r="G878" s="24"/>
      <c r="H878" s="12"/>
      <c r="I878" s="12">
        <f t="array" ref="I878">G878+F878</f>
        <v>0</v>
      </c>
      <c r="J878" s="12"/>
      <c r="K878" s="12"/>
      <c r="L878" s="12"/>
    </row>
    <row r="879" spans="1:12" ht="20.100000000000001" customHeight="1">
      <c r="A879" s="20" t="s">
        <v>1423</v>
      </c>
      <c r="B879" s="21" t="s">
        <v>1424</v>
      </c>
      <c r="C879" s="42" t="s">
        <v>1425</v>
      </c>
      <c r="D879" s="12"/>
      <c r="E879" s="12"/>
      <c r="F879" s="24"/>
      <c r="G879" s="24"/>
      <c r="H879" s="12"/>
      <c r="I879" s="12">
        <f t="array" ref="I879">G879+F879</f>
        <v>0</v>
      </c>
      <c r="J879" s="12"/>
      <c r="K879" s="12"/>
      <c r="L879" s="12"/>
    </row>
    <row r="880" spans="1:12" ht="20.100000000000001" customHeight="1">
      <c r="A880" s="20" t="s">
        <v>1426</v>
      </c>
      <c r="B880" s="21" t="s">
        <v>1427</v>
      </c>
      <c r="C880" s="42" t="s">
        <v>1428</v>
      </c>
      <c r="D880" s="12"/>
      <c r="E880" s="12"/>
      <c r="F880" s="24"/>
      <c r="G880" s="24"/>
      <c r="H880" s="12"/>
      <c r="I880" s="12">
        <f t="array" ref="I880">G880+F880</f>
        <v>0</v>
      </c>
      <c r="J880" s="12"/>
      <c r="K880" s="12"/>
      <c r="L880" s="12"/>
    </row>
    <row r="881" spans="1:12" ht="20.100000000000001" customHeight="1">
      <c r="A881" s="20" t="s">
        <v>1429</v>
      </c>
      <c r="B881" s="21" t="s">
        <v>1430</v>
      </c>
      <c r="C881" s="42" t="s">
        <v>1431</v>
      </c>
      <c r="D881" s="12"/>
      <c r="E881" s="12"/>
      <c r="F881" s="24"/>
      <c r="G881" s="24"/>
      <c r="H881" s="12"/>
      <c r="I881" s="12">
        <f t="array" ref="I881">G881+F881</f>
        <v>0</v>
      </c>
      <c r="J881" s="12"/>
      <c r="K881" s="12"/>
      <c r="L881" s="12"/>
    </row>
    <row r="882" spans="1:12" ht="20.100000000000001" customHeight="1">
      <c r="A882" s="20" t="s">
        <v>1432</v>
      </c>
      <c r="B882" s="21" t="s">
        <v>1433</v>
      </c>
      <c r="C882" s="42" t="s">
        <v>1434</v>
      </c>
      <c r="D882" s="12"/>
      <c r="E882" s="12"/>
      <c r="F882" s="24"/>
      <c r="G882" s="24"/>
      <c r="H882" s="12"/>
      <c r="I882" s="12">
        <f t="array" ref="I882">G882+F882</f>
        <v>0</v>
      </c>
      <c r="J882" s="12"/>
      <c r="K882" s="12"/>
      <c r="L882" s="12"/>
    </row>
    <row r="883" spans="1:12" ht="20.100000000000001" customHeight="1">
      <c r="A883" s="20" t="s">
        <v>1435</v>
      </c>
      <c r="B883" s="21" t="s">
        <v>1436</v>
      </c>
      <c r="C883" s="42" t="s">
        <v>1437</v>
      </c>
      <c r="D883" s="12"/>
      <c r="E883" s="12"/>
      <c r="F883" s="24"/>
      <c r="G883" s="24"/>
      <c r="H883" s="12"/>
      <c r="I883" s="12">
        <f t="array" ref="I883">G883+F883</f>
        <v>0</v>
      </c>
      <c r="J883" s="12"/>
      <c r="K883" s="12"/>
      <c r="L883" s="12"/>
    </row>
    <row r="884" spans="1:12" ht="20.100000000000001" customHeight="1">
      <c r="A884" s="20" t="s">
        <v>1438</v>
      </c>
      <c r="B884" s="21" t="s">
        <v>1439</v>
      </c>
      <c r="C884" s="42" t="s">
        <v>1440</v>
      </c>
      <c r="D884" s="12"/>
      <c r="E884" s="12"/>
      <c r="F884" s="24"/>
      <c r="G884" s="24"/>
      <c r="H884" s="12"/>
      <c r="I884" s="12">
        <f t="array" ref="I884">G884+F884</f>
        <v>0</v>
      </c>
      <c r="J884" s="12"/>
      <c r="K884" s="12"/>
      <c r="L884" s="12"/>
    </row>
    <row r="885" spans="1:12" ht="20.100000000000001" customHeight="1">
      <c r="A885" s="20" t="s">
        <v>1441</v>
      </c>
      <c r="B885" s="21" t="s">
        <v>1442</v>
      </c>
      <c r="C885" s="42" t="s">
        <v>1443</v>
      </c>
      <c r="D885" s="12"/>
      <c r="E885" s="12"/>
      <c r="F885" s="24"/>
      <c r="G885" s="24"/>
      <c r="H885" s="12"/>
      <c r="I885" s="12">
        <f t="array" ref="I885">G885+F885</f>
        <v>0</v>
      </c>
      <c r="J885" s="12"/>
      <c r="K885" s="12"/>
      <c r="L885" s="12"/>
    </row>
    <row r="886" spans="1:12" ht="20.100000000000001" customHeight="1">
      <c r="A886" s="20" t="s">
        <v>1444</v>
      </c>
      <c r="B886" s="21" t="s">
        <v>1445</v>
      </c>
      <c r="C886" s="42" t="s">
        <v>1446</v>
      </c>
      <c r="D886" s="12"/>
      <c r="E886" s="12"/>
      <c r="F886" s="24"/>
      <c r="G886" s="24"/>
      <c r="H886" s="12"/>
      <c r="I886" s="12">
        <f t="array" ref="I886">G886+F886</f>
        <v>0</v>
      </c>
      <c r="J886" s="12"/>
      <c r="K886" s="12"/>
      <c r="L886" s="12"/>
    </row>
    <row r="887" spans="1:12" ht="20.100000000000001" customHeight="1">
      <c r="A887" s="20" t="s">
        <v>1447</v>
      </c>
      <c r="B887" s="21" t="s">
        <v>1448</v>
      </c>
      <c r="C887" s="42" t="s">
        <v>1449</v>
      </c>
      <c r="D887" s="12"/>
      <c r="E887" s="12"/>
      <c r="F887" s="24"/>
      <c r="G887" s="24"/>
      <c r="H887" s="12"/>
      <c r="I887" s="12">
        <f t="array" ref="I887">G887+F887</f>
        <v>0</v>
      </c>
      <c r="J887" s="12"/>
      <c r="K887" s="12"/>
      <c r="L887" s="12"/>
    </row>
    <row r="888" spans="1:12" ht="20.100000000000001" customHeight="1">
      <c r="A888" s="20" t="s">
        <v>1450</v>
      </c>
      <c r="B888" s="21" t="s">
        <v>1451</v>
      </c>
      <c r="C888" s="42" t="s">
        <v>1452</v>
      </c>
      <c r="D888" s="12"/>
      <c r="E888" s="12"/>
      <c r="F888" s="24"/>
      <c r="G888" s="24"/>
      <c r="H888" s="12"/>
      <c r="I888" s="12">
        <f t="array" ref="I888">G888+F888</f>
        <v>0</v>
      </c>
      <c r="J888" s="12"/>
      <c r="K888" s="12"/>
      <c r="L888" s="12"/>
    </row>
    <row r="889" spans="1:12" ht="20.100000000000001" customHeight="1">
      <c r="A889" s="20" t="s">
        <v>1453</v>
      </c>
      <c r="B889" s="21" t="s">
        <v>1454</v>
      </c>
      <c r="C889" s="42" t="s">
        <v>1455</v>
      </c>
      <c r="D889" s="12"/>
      <c r="E889" s="12"/>
      <c r="F889" s="24"/>
      <c r="G889" s="24"/>
      <c r="H889" s="12"/>
      <c r="I889" s="12">
        <f t="array" ref="I889">G889+F889</f>
        <v>0</v>
      </c>
      <c r="J889" s="12"/>
      <c r="K889" s="12"/>
      <c r="L889" s="12"/>
    </row>
    <row r="890" spans="1:12" ht="20.100000000000001" customHeight="1">
      <c r="A890" s="20" t="s">
        <v>1456</v>
      </c>
      <c r="B890" s="21" t="s">
        <v>1457</v>
      </c>
      <c r="C890" s="42" t="s">
        <v>1458</v>
      </c>
      <c r="D890" s="12"/>
      <c r="E890" s="12"/>
      <c r="F890" s="24"/>
      <c r="G890" s="24"/>
      <c r="H890" s="12"/>
      <c r="I890" s="12">
        <f t="array" ref="I890">G890+F890</f>
        <v>0</v>
      </c>
      <c r="J890" s="12"/>
      <c r="K890" s="12"/>
      <c r="L890" s="12"/>
    </row>
    <row r="891" spans="1:12" ht="20.100000000000001" customHeight="1">
      <c r="A891" s="20" t="s">
        <v>1459</v>
      </c>
      <c r="B891" s="21" t="s">
        <v>1460</v>
      </c>
      <c r="C891" s="42" t="s">
        <v>1461</v>
      </c>
      <c r="D891" s="12"/>
      <c r="E891" s="12"/>
      <c r="F891" s="24"/>
      <c r="G891" s="24"/>
      <c r="H891" s="12"/>
      <c r="I891" s="12">
        <f t="array" ref="I891">G891+F891</f>
        <v>0</v>
      </c>
      <c r="J891" s="12"/>
      <c r="K891" s="12"/>
      <c r="L891" s="12"/>
    </row>
    <row r="892" spans="1:12" ht="20.100000000000001" customHeight="1">
      <c r="A892" s="20" t="s">
        <v>1462</v>
      </c>
      <c r="B892" s="43" t="s">
        <v>1380</v>
      </c>
      <c r="C892" s="12"/>
      <c r="D892" s="12"/>
      <c r="E892" s="12"/>
      <c r="F892" s="12">
        <f t="array" ref="F892">SUM(F865:F891)</f>
        <v>0</v>
      </c>
      <c r="G892" s="12">
        <f t="array" ref="G892">SUM(G865:G891)</f>
        <v>0</v>
      </c>
      <c r="H892" s="12"/>
      <c r="I892" s="12">
        <f t="array" ref="I892">SUM(I865:I891)</f>
        <v>0</v>
      </c>
      <c r="J892" s="12"/>
      <c r="K892" s="12"/>
      <c r="L892" s="12"/>
    </row>
    <row r="893" spans="1:12" ht="20.100000000000001" customHeight="1">
      <c r="A893" s="10"/>
      <c r="B893" s="11"/>
      <c r="C893" s="25"/>
      <c r="D893" s="12"/>
      <c r="E893" s="12"/>
      <c r="F893" s="12"/>
      <c r="G893" s="12"/>
      <c r="H893" s="12"/>
      <c r="I893" s="12"/>
      <c r="J893" s="12"/>
      <c r="K893" s="12"/>
      <c r="L893" s="12"/>
    </row>
    <row r="894" spans="1:12" ht="20.100000000000001" customHeight="1">
      <c r="A894" s="10"/>
      <c r="B894" s="40" t="s">
        <v>1463</v>
      </c>
      <c r="C894" s="25"/>
      <c r="D894" s="12"/>
      <c r="E894" s="12"/>
      <c r="F894" s="12"/>
      <c r="G894" s="12"/>
      <c r="H894" s="12"/>
      <c r="I894" s="12"/>
      <c r="J894" s="12"/>
      <c r="K894" s="12"/>
      <c r="L894" s="12"/>
    </row>
    <row r="895" spans="1:12" ht="20.100000000000001" customHeight="1">
      <c r="A895" s="20" t="s">
        <v>1464</v>
      </c>
      <c r="B895" s="21" t="s">
        <v>1463</v>
      </c>
      <c r="C895" s="42" t="s">
        <v>1465</v>
      </c>
      <c r="D895" s="12"/>
      <c r="E895" s="12"/>
      <c r="F895" s="24"/>
      <c r="G895" s="24"/>
      <c r="H895" s="12"/>
      <c r="I895" s="12">
        <f t="array" ref="I895">G895+F895</f>
        <v>0</v>
      </c>
      <c r="J895" s="12"/>
      <c r="K895" s="12"/>
      <c r="L895" s="12"/>
    </row>
    <row r="896" spans="1:12" ht="20.100000000000001" customHeight="1">
      <c r="A896" s="20" t="s">
        <v>1466</v>
      </c>
      <c r="B896" s="21" t="s">
        <v>1467</v>
      </c>
      <c r="C896" s="42" t="s">
        <v>1468</v>
      </c>
      <c r="D896" s="12"/>
      <c r="E896" s="12"/>
      <c r="F896" s="24"/>
      <c r="G896" s="24"/>
      <c r="H896" s="12"/>
      <c r="I896" s="12">
        <f t="array" ref="I896">G896+F896</f>
        <v>0</v>
      </c>
      <c r="J896" s="12"/>
      <c r="K896" s="12"/>
      <c r="L896" s="12"/>
    </row>
    <row r="897" spans="1:12" ht="20.100000000000001" customHeight="1">
      <c r="A897" s="20" t="s">
        <v>1469</v>
      </c>
      <c r="B897" s="21" t="s">
        <v>1470</v>
      </c>
      <c r="C897" s="42" t="s">
        <v>1471</v>
      </c>
      <c r="D897" s="12"/>
      <c r="E897" s="12"/>
      <c r="F897" s="24"/>
      <c r="G897" s="24"/>
      <c r="H897" s="12"/>
      <c r="I897" s="12">
        <f t="array" ref="I897">G897+F897</f>
        <v>0</v>
      </c>
      <c r="J897" s="12"/>
      <c r="K897" s="12"/>
      <c r="L897" s="12"/>
    </row>
    <row r="898" spans="1:12" ht="20.100000000000001" customHeight="1">
      <c r="A898" s="20" t="s">
        <v>1472</v>
      </c>
      <c r="B898" s="21" t="s">
        <v>1473</v>
      </c>
      <c r="C898" s="42" t="s">
        <v>1474</v>
      </c>
      <c r="D898" s="12"/>
      <c r="E898" s="12"/>
      <c r="F898" s="24"/>
      <c r="G898" s="24"/>
      <c r="H898" s="12"/>
      <c r="I898" s="12">
        <f t="array" ref="I898">G898+F898</f>
        <v>0</v>
      </c>
      <c r="J898" s="12"/>
      <c r="K898" s="12"/>
      <c r="L898" s="12"/>
    </row>
    <row r="899" spans="1:12" ht="20.100000000000001" customHeight="1">
      <c r="A899" s="20" t="s">
        <v>1475</v>
      </c>
      <c r="B899" s="21" t="s">
        <v>1476</v>
      </c>
      <c r="C899" s="42" t="s">
        <v>1477</v>
      </c>
      <c r="D899" s="12"/>
      <c r="E899" s="12"/>
      <c r="F899" s="24"/>
      <c r="G899" s="24"/>
      <c r="H899" s="12"/>
      <c r="I899" s="12">
        <f t="array" ref="I899">G899+F899</f>
        <v>0</v>
      </c>
      <c r="J899" s="12"/>
      <c r="K899" s="12"/>
      <c r="L899" s="12"/>
    </row>
    <row r="900" spans="1:12" ht="20.100000000000001" customHeight="1">
      <c r="A900" s="20" t="s">
        <v>1478</v>
      </c>
      <c r="B900" s="43" t="s">
        <v>1463</v>
      </c>
      <c r="C900" s="12"/>
      <c r="D900" s="12"/>
      <c r="E900" s="12"/>
      <c r="F900" s="12">
        <f t="array" ref="F900">SUM(F895:F899)</f>
        <v>0</v>
      </c>
      <c r="G900" s="12">
        <f t="array" ref="G900">SUM(G895:G899)</f>
        <v>0</v>
      </c>
      <c r="H900" s="12"/>
      <c r="I900" s="12">
        <f t="array" ref="I900">SUM(I895:I899)</f>
        <v>0</v>
      </c>
      <c r="J900" s="12"/>
      <c r="K900" s="12"/>
      <c r="L900" s="12"/>
    </row>
    <row r="901" spans="1:12" ht="20.100000000000001" customHeight="1">
      <c r="A901" s="10"/>
      <c r="B901" s="11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spans="1:12" ht="20.100000000000001" customHeight="1">
      <c r="A902" s="20" t="s">
        <v>1479</v>
      </c>
      <c r="B902" s="40" t="s">
        <v>1480</v>
      </c>
      <c r="C902" s="25"/>
      <c r="D902" s="12"/>
      <c r="E902" s="12"/>
      <c r="F902" s="24">
        <v>207000</v>
      </c>
      <c r="G902" s="24">
        <v>207000</v>
      </c>
      <c r="H902" s="12"/>
      <c r="I902" s="12">
        <f t="array" ref="I902">G902+F902</f>
        <v>414000</v>
      </c>
      <c r="J902" s="12"/>
      <c r="K902" s="12"/>
      <c r="L902" s="12"/>
    </row>
    <row r="903" spans="1:12" ht="20.100000000000001" customHeight="1">
      <c r="A903" s="10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spans="1:12" ht="20.100000000000001" customHeight="1">
      <c r="A904" s="20" t="s">
        <v>1481</v>
      </c>
      <c r="B904" s="44" t="s">
        <v>249</v>
      </c>
      <c r="C904" s="12"/>
      <c r="D904" s="12"/>
      <c r="E904" s="12"/>
      <c r="F904" s="12">
        <f t="array" ref="F904">F681+F726+F742+F803+F827+F862+F892+F900+F902</f>
        <v>10629500</v>
      </c>
      <c r="G904" s="12">
        <f t="array" ref="G904">G681+G726+G742+G803+G827+G862+G892+G900+G902</f>
        <v>10629500</v>
      </c>
      <c r="H904" s="12"/>
      <c r="I904" s="12">
        <f t="array" ref="I904">I681+I726+I742+I803+I827+I862+I892+I900+I902</f>
        <v>21259000</v>
      </c>
      <c r="J904" s="12"/>
      <c r="K904" s="12"/>
      <c r="L904" s="12"/>
    </row>
    <row r="905" spans="1:12" ht="20.100000000000001" customHeight="1">
      <c r="A905" s="10"/>
      <c r="B905" s="43" t="s">
        <v>1482</v>
      </c>
      <c r="C905" s="12"/>
      <c r="D905" s="12"/>
      <c r="E905" s="12"/>
      <c r="F905" s="30">
        <f t="array" ref="F905">F118</f>
        <v>12812218</v>
      </c>
      <c r="G905" s="30">
        <f t="array" ref="G905">G118</f>
        <v>13088348</v>
      </c>
      <c r="H905" s="12"/>
      <c r="I905" s="30">
        <f t="array" ref="I905">I118</f>
        <v>25900566</v>
      </c>
      <c r="J905" s="12"/>
      <c r="K905" s="12"/>
      <c r="L905" s="12"/>
    </row>
    <row r="906" spans="1:12" ht="20.100000000000001" customHeight="1">
      <c r="A906" s="10"/>
      <c r="B906" s="43" t="s">
        <v>1483</v>
      </c>
      <c r="C906" s="12"/>
      <c r="D906" s="12"/>
      <c r="E906" s="12"/>
      <c r="F906" s="30">
        <f t="array" ref="F906">F484</f>
        <v>428002.60000000021</v>
      </c>
      <c r="G906" s="30">
        <f t="array" ref="G906">G484</f>
        <v>535316.80000000016</v>
      </c>
      <c r="H906" s="12"/>
      <c r="I906" s="30">
        <f t="array" ref="I906">I484</f>
        <v>963319.40000000014</v>
      </c>
      <c r="J906" s="12"/>
      <c r="K906" s="12"/>
      <c r="L906" s="12"/>
    </row>
    <row r="907" spans="1:12" ht="20.100000000000001" customHeight="1">
      <c r="A907" s="10"/>
      <c r="B907" s="11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spans="1:12" ht="20.100000000000001" customHeight="1">
      <c r="A908" s="20" t="s">
        <v>1484</v>
      </c>
      <c r="B908" s="21" t="s">
        <v>39</v>
      </c>
      <c r="C908" s="26" t="str">
        <f t="array" ref="C908">IF(C909="","?",C909)&amp;IF(C910="","","; downloaded "&amp;C910)&amp;IF(C911="","","; "&amp;C911)</f>
        <v>DESTATIS Mikrozensus 2024 Geburtsstaaten; downloaded 14.05.2026; Mikrozensus 2024: 39 gemappte Top-Staaten + Other/Unknown. Sex 50/50. Werte in Personen.</v>
      </c>
      <c r="D908" s="12"/>
      <c r="E908" s="12"/>
      <c r="F908" s="12"/>
      <c r="G908" s="12"/>
      <c r="H908" s="12"/>
      <c r="I908" s="12"/>
      <c r="J908" s="12"/>
      <c r="K908" s="12"/>
      <c r="L908" s="12"/>
    </row>
    <row r="909" spans="1:12" ht="20.100000000000001" customHeight="1">
      <c r="A909" s="10"/>
      <c r="B909" s="21" t="s">
        <v>41</v>
      </c>
      <c r="C909" s="22" t="s">
        <v>1485</v>
      </c>
      <c r="D909" s="12"/>
      <c r="E909" s="12"/>
      <c r="F909" s="12"/>
      <c r="G909" s="12"/>
      <c r="H909" s="12"/>
      <c r="I909" s="12"/>
      <c r="J909" s="12"/>
      <c r="K909" s="12"/>
      <c r="L909" s="12"/>
    </row>
    <row r="910" spans="1:12" ht="20.100000000000001" customHeight="1">
      <c r="A910" s="10"/>
      <c r="B910" s="21" t="s">
        <v>43</v>
      </c>
      <c r="C910" s="27" t="s">
        <v>44</v>
      </c>
      <c r="D910" s="12"/>
      <c r="E910" s="12"/>
      <c r="F910" s="12"/>
      <c r="G910" s="12"/>
      <c r="H910" s="12"/>
      <c r="I910" s="12"/>
      <c r="J910" s="12"/>
      <c r="K910" s="12"/>
      <c r="L910" s="12"/>
    </row>
    <row r="911" spans="1:12" ht="20.100000000000001" customHeight="1">
      <c r="A911" s="10"/>
      <c r="B911" s="21" t="s">
        <v>45</v>
      </c>
      <c r="C911" s="22" t="s">
        <v>1486</v>
      </c>
      <c r="D911" s="12"/>
      <c r="E911" s="12"/>
      <c r="F911" s="12"/>
      <c r="G911" s="12"/>
      <c r="H911" s="12"/>
      <c r="I911" s="12"/>
      <c r="J911" s="12"/>
      <c r="K911" s="12"/>
      <c r="L911" s="12"/>
    </row>
    <row r="912" spans="1:12" ht="20.100000000000001" customHeight="1">
      <c r="A912" s="10"/>
      <c r="B912" s="11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spans="1:12" ht="61.9" customHeight="1">
      <c r="A913" s="16"/>
      <c r="B913" s="17" t="s">
        <v>1487</v>
      </c>
      <c r="C913" s="18"/>
      <c r="D913" s="19"/>
      <c r="E913" s="19"/>
      <c r="F913" s="19"/>
      <c r="G913" s="19"/>
      <c r="H913" s="19"/>
      <c r="I913" s="19"/>
      <c r="J913" s="19"/>
      <c r="K913" s="19"/>
      <c r="L913" s="19"/>
    </row>
    <row r="914" spans="1:12" ht="32.1" customHeight="1">
      <c r="A914" s="10"/>
      <c r="B914" s="11"/>
      <c r="C914" s="45" t="s">
        <v>1488</v>
      </c>
      <c r="D914" s="25"/>
      <c r="E914" s="25"/>
      <c r="F914" s="25"/>
      <c r="G914" s="25"/>
      <c r="H914" s="25"/>
      <c r="I914" s="25"/>
      <c r="J914" s="25"/>
      <c r="K914" s="25"/>
      <c r="L914" s="25"/>
    </row>
    <row r="915" spans="1:12" ht="20.100000000000001" customHeight="1">
      <c r="A915" s="20" t="s">
        <v>1489</v>
      </c>
      <c r="B915" s="21" t="s">
        <v>1490</v>
      </c>
      <c r="C915" s="25">
        <f t="array" ref="C915">C902</f>
        <v>0</v>
      </c>
      <c r="D915" s="25"/>
      <c r="E915" s="25"/>
      <c r="F915" s="25"/>
      <c r="G915" s="25"/>
      <c r="H915" s="25"/>
      <c r="I915" s="25"/>
      <c r="J915" s="25"/>
      <c r="K915" s="25"/>
      <c r="L915" s="25"/>
    </row>
    <row r="916" spans="1:12" ht="20.100000000000001" customHeight="1">
      <c r="A916" s="20" t="s">
        <v>1491</v>
      </c>
      <c r="B916" s="21" t="s">
        <v>1492</v>
      </c>
      <c r="C916" s="29"/>
      <c r="D916" s="25"/>
      <c r="E916" s="25"/>
      <c r="F916" s="25"/>
      <c r="G916" s="25"/>
      <c r="H916" s="25"/>
      <c r="I916" s="25"/>
      <c r="J916" s="25"/>
      <c r="K916" s="25"/>
      <c r="L916" s="25"/>
    </row>
    <row r="917" spans="1:12" ht="20.100000000000001" customHeight="1">
      <c r="A917" s="20" t="s">
        <v>1493</v>
      </c>
      <c r="B917" s="21" t="s">
        <v>1494</v>
      </c>
      <c r="C917" s="29"/>
      <c r="D917" s="25"/>
      <c r="E917" s="25"/>
      <c r="F917" s="25"/>
      <c r="G917" s="25"/>
      <c r="H917" s="25"/>
      <c r="I917" s="25"/>
      <c r="J917" s="25"/>
      <c r="K917" s="25"/>
      <c r="L917" s="25"/>
    </row>
    <row r="918" spans="1:12" ht="20.100000000000001" customHeight="1">
      <c r="A918" s="20" t="s">
        <v>1495</v>
      </c>
      <c r="B918" s="21" t="s">
        <v>1496</v>
      </c>
      <c r="C918" s="29"/>
      <c r="D918" s="25"/>
      <c r="E918" s="25"/>
      <c r="F918" s="25"/>
      <c r="G918" s="25"/>
      <c r="H918" s="25"/>
      <c r="I918" s="25"/>
      <c r="J918" s="25"/>
      <c r="K918" s="25"/>
      <c r="L918" s="25"/>
    </row>
    <row r="919" spans="1:12" ht="20.100000000000001" customHeight="1">
      <c r="A919" s="20" t="s">
        <v>1497</v>
      </c>
      <c r="B919" s="21" t="s">
        <v>1498</v>
      </c>
      <c r="C919" s="29"/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ht="20.100000000000001" customHeight="1">
      <c r="A920" s="20" t="s">
        <v>1499</v>
      </c>
      <c r="B920" s="21" t="s">
        <v>1500</v>
      </c>
      <c r="C920" s="29"/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ht="20.100000000000001" customHeight="1">
      <c r="A921" s="20" t="s">
        <v>1501</v>
      </c>
      <c r="B921" s="21" t="s">
        <v>1502</v>
      </c>
      <c r="C921" s="29"/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ht="20.100000000000001" customHeight="1">
      <c r="A922" s="20" t="s">
        <v>1503</v>
      </c>
      <c r="B922" s="21" t="s">
        <v>1504</v>
      </c>
      <c r="C922" s="29"/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ht="20.100000000000001" customHeight="1">
      <c r="A923" s="20" t="s">
        <v>1505</v>
      </c>
      <c r="B923" s="21" t="s">
        <v>1506</v>
      </c>
      <c r="C923" s="29"/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ht="20.100000000000001" customHeight="1">
      <c r="A924" s="20" t="s">
        <v>1507</v>
      </c>
      <c r="B924" s="21" t="s">
        <v>1508</v>
      </c>
      <c r="C924" s="29"/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ht="20.100000000000001" customHeight="1">
      <c r="A925" s="20" t="s">
        <v>1509</v>
      </c>
      <c r="B925" s="21" t="s">
        <v>1510</v>
      </c>
      <c r="C925" s="29"/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ht="20.100000000000001" customHeight="1">
      <c r="A926" s="20" t="s">
        <v>1511</v>
      </c>
      <c r="B926" s="21" t="s">
        <v>1512</v>
      </c>
      <c r="C926" s="29"/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ht="20.100000000000001" customHeight="1">
      <c r="A927" s="20" t="s">
        <v>1513</v>
      </c>
      <c r="B927" s="21" t="s">
        <v>1514</v>
      </c>
      <c r="C927" s="29"/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ht="20.100000000000001" customHeight="1">
      <c r="A928" s="20" t="s">
        <v>1515</v>
      </c>
      <c r="B928" s="21" t="s">
        <v>1516</v>
      </c>
      <c r="C928" s="29"/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ht="20.100000000000001" customHeight="1">
      <c r="A929" s="20" t="s">
        <v>1517</v>
      </c>
      <c r="B929" s="21" t="s">
        <v>1518</v>
      </c>
      <c r="C929" s="29"/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ht="20.100000000000001" customHeight="1">
      <c r="A930" s="20" t="s">
        <v>1519</v>
      </c>
      <c r="B930" s="21" t="s">
        <v>1520</v>
      </c>
      <c r="C930" s="29"/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ht="20.100000000000001" customHeight="1">
      <c r="A931" s="20" t="s">
        <v>1521</v>
      </c>
      <c r="B931" s="21" t="s">
        <v>1522</v>
      </c>
      <c r="C931" s="29"/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ht="20.100000000000001" customHeight="1">
      <c r="A932" s="20" t="s">
        <v>1523</v>
      </c>
      <c r="B932" s="21" t="s">
        <v>1524</v>
      </c>
      <c r="C932" s="29"/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ht="20.100000000000001" customHeight="1">
      <c r="A933" s="20" t="s">
        <v>1525</v>
      </c>
      <c r="B933" s="21" t="s">
        <v>1526</v>
      </c>
      <c r="C933" s="29"/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20.100000000000001" customHeight="1">
      <c r="A934" s="20" t="s">
        <v>1527</v>
      </c>
      <c r="B934" s="21" t="s">
        <v>1528</v>
      </c>
      <c r="C934" s="29"/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20.100000000000001" customHeight="1">
      <c r="A935" s="20" t="s">
        <v>1529</v>
      </c>
      <c r="B935" s="21" t="s">
        <v>1530</v>
      </c>
      <c r="C935" s="29"/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20.100000000000001" customHeight="1">
      <c r="A936" s="20" t="s">
        <v>1531</v>
      </c>
      <c r="B936" s="21" t="s">
        <v>1532</v>
      </c>
      <c r="C936" s="29"/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20.100000000000001" customHeight="1">
      <c r="A937" s="20" t="s">
        <v>1533</v>
      </c>
      <c r="B937" s="21" t="s">
        <v>1534</v>
      </c>
      <c r="C937" s="29"/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20.100000000000001" customHeight="1">
      <c r="A938" s="20" t="s">
        <v>1535</v>
      </c>
      <c r="B938" s="21" t="s">
        <v>1536</v>
      </c>
      <c r="C938" s="29"/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20.100000000000001" customHeight="1">
      <c r="A939" s="20" t="s">
        <v>1537</v>
      </c>
      <c r="B939" s="21" t="s">
        <v>1538</v>
      </c>
      <c r="C939" s="29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20.100000000000001" customHeight="1">
      <c r="A940" s="20" t="s">
        <v>1539</v>
      </c>
      <c r="B940" s="21" t="s">
        <v>1540</v>
      </c>
      <c r="C940" s="29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20.100000000000001" customHeight="1">
      <c r="A941" s="20" t="s">
        <v>1541</v>
      </c>
      <c r="B941" s="21" t="s">
        <v>1542</v>
      </c>
      <c r="C941" s="29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20.100000000000001" customHeight="1">
      <c r="A942" s="20" t="s">
        <v>1543</v>
      </c>
      <c r="B942" s="21" t="s">
        <v>1544</v>
      </c>
      <c r="C942" s="29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20.100000000000001" customHeight="1">
      <c r="A943" s="20" t="s">
        <v>1545</v>
      </c>
      <c r="B943" s="21" t="s">
        <v>1546</v>
      </c>
      <c r="C943" s="29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20.100000000000001" customHeight="1">
      <c r="A944" s="20" t="s">
        <v>1547</v>
      </c>
      <c r="B944" s="21" t="s">
        <v>1548</v>
      </c>
      <c r="C944" s="29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20.100000000000001" customHeight="1">
      <c r="A945" s="20" t="s">
        <v>1549</v>
      </c>
      <c r="B945" s="21" t="s">
        <v>1550</v>
      </c>
      <c r="C945" s="29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20.100000000000001" customHeight="1">
      <c r="A946" s="20" t="s">
        <v>1551</v>
      </c>
      <c r="B946" s="21" t="s">
        <v>1552</v>
      </c>
      <c r="C946" s="29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20.100000000000001" customHeight="1">
      <c r="A947" s="20" t="s">
        <v>1553</v>
      </c>
      <c r="B947" s="21" t="s">
        <v>1554</v>
      </c>
      <c r="C947" s="29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20.100000000000001" customHeight="1">
      <c r="A948" s="20" t="s">
        <v>1555</v>
      </c>
      <c r="B948" s="21" t="s">
        <v>1556</v>
      </c>
      <c r="C948" s="29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20.100000000000001" customHeight="1">
      <c r="A949" s="20" t="s">
        <v>1557</v>
      </c>
      <c r="B949" s="21" t="s">
        <v>1558</v>
      </c>
      <c r="C949" s="29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20.100000000000001" customHeight="1">
      <c r="A950" s="20" t="s">
        <v>1559</v>
      </c>
      <c r="B950" s="21" t="s">
        <v>1560</v>
      </c>
      <c r="C950" s="29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20.100000000000001" customHeight="1">
      <c r="A951" s="20" t="s">
        <v>1561</v>
      </c>
      <c r="B951" s="21" t="s">
        <v>1562</v>
      </c>
      <c r="C951" s="29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20.100000000000001" customHeight="1">
      <c r="A952" s="20" t="s">
        <v>1563</v>
      </c>
      <c r="B952" s="21" t="s">
        <v>1564</v>
      </c>
      <c r="C952" s="29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20.100000000000001" customHeight="1">
      <c r="A953" s="20" t="s">
        <v>1565</v>
      </c>
      <c r="B953" s="21" t="s">
        <v>1566</v>
      </c>
      <c r="C953" s="29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20.100000000000001" customHeight="1">
      <c r="A954" s="20" t="s">
        <v>1567</v>
      </c>
      <c r="B954" s="21" t="s">
        <v>1568</v>
      </c>
      <c r="C954" s="29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20.100000000000001" customHeight="1">
      <c r="A955" s="20" t="s">
        <v>1569</v>
      </c>
      <c r="B955" s="21" t="s">
        <v>1570</v>
      </c>
      <c r="C955" s="29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20.100000000000001" customHeight="1">
      <c r="A956" s="20" t="s">
        <v>1571</v>
      </c>
      <c r="B956" s="21" t="s">
        <v>1572</v>
      </c>
      <c r="C956" s="29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20.100000000000001" customHeight="1">
      <c r="A957" s="20" t="s">
        <v>1573</v>
      </c>
      <c r="B957" s="21" t="s">
        <v>1574</v>
      </c>
      <c r="C957" s="29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20.100000000000001" customHeight="1">
      <c r="A958" s="20" t="s">
        <v>1575</v>
      </c>
      <c r="B958" s="21" t="s">
        <v>1576</v>
      </c>
      <c r="C958" s="29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20.100000000000001" customHeight="1">
      <c r="A959" s="20" t="s">
        <v>1577</v>
      </c>
      <c r="B959" s="21" t="s">
        <v>1578</v>
      </c>
      <c r="C959" s="29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20.100000000000001" customHeight="1">
      <c r="A960" s="20" t="s">
        <v>1579</v>
      </c>
      <c r="B960" s="21" t="s">
        <v>1580</v>
      </c>
      <c r="C960" s="29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20.100000000000001" customHeight="1">
      <c r="A961" s="20" t="s">
        <v>1581</v>
      </c>
      <c r="B961" s="21" t="s">
        <v>1582</v>
      </c>
      <c r="C961" s="29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20.100000000000001" customHeight="1">
      <c r="A962" s="20" t="s">
        <v>1583</v>
      </c>
      <c r="B962" s="21" t="s">
        <v>1584</v>
      </c>
      <c r="C962" s="29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20.100000000000001" customHeight="1">
      <c r="A963" s="20" t="s">
        <v>1585</v>
      </c>
      <c r="B963" s="21" t="s">
        <v>1586</v>
      </c>
      <c r="C963" s="29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20.100000000000001" customHeight="1">
      <c r="A964" s="20" t="s">
        <v>1587</v>
      </c>
      <c r="B964" s="21" t="s">
        <v>1588</v>
      </c>
      <c r="C964" s="29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20.100000000000001" customHeight="1">
      <c r="A965" s="20" t="s">
        <v>1589</v>
      </c>
      <c r="B965" s="21" t="s">
        <v>1590</v>
      </c>
      <c r="C965" s="29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20.100000000000001" customHeight="1">
      <c r="A966" s="20" t="s">
        <v>1591</v>
      </c>
      <c r="B966" s="21" t="s">
        <v>1592</v>
      </c>
      <c r="C966" s="29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20.100000000000001" customHeight="1">
      <c r="A967" s="20" t="s">
        <v>1593</v>
      </c>
      <c r="B967" s="21" t="s">
        <v>1594</v>
      </c>
      <c r="C967" s="29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0" t="s">
        <v>1595</v>
      </c>
      <c r="B968" s="21" t="s">
        <v>1596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0" t="s">
        <v>1597</v>
      </c>
      <c r="B969" s="21" t="s">
        <v>1598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0" t="s">
        <v>1599</v>
      </c>
      <c r="B970" s="21" t="s">
        <v>1600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0" t="s">
        <v>1601</v>
      </c>
      <c r="B971" s="21" t="s">
        <v>1602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0" t="s">
        <v>1603</v>
      </c>
      <c r="B972" s="21" t="s">
        <v>1604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0" t="s">
        <v>1605</v>
      </c>
      <c r="B973" s="21" t="s">
        <v>1606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0" t="s">
        <v>1607</v>
      </c>
      <c r="B974" s="21" t="s">
        <v>1608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0" t="s">
        <v>1609</v>
      </c>
      <c r="B975" s="21" t="s">
        <v>1610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0" t="s">
        <v>1611</v>
      </c>
      <c r="B976" s="21" t="s">
        <v>1612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0" t="s">
        <v>1613</v>
      </c>
      <c r="B977" s="21" t="s">
        <v>1614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0" t="s">
        <v>1615</v>
      </c>
      <c r="B978" s="21" t="s">
        <v>1616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0" t="s">
        <v>1617</v>
      </c>
      <c r="B979" s="21" t="s">
        <v>1618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0" t="s">
        <v>1619</v>
      </c>
      <c r="B980" s="21" t="s">
        <v>1620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0" t="s">
        <v>1621</v>
      </c>
      <c r="B981" s="21" t="s">
        <v>1622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0" t="s">
        <v>1623</v>
      </c>
      <c r="B982" s="21" t="s">
        <v>1624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0" t="s">
        <v>1625</v>
      </c>
      <c r="B983" s="21" t="s">
        <v>1626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0" t="s">
        <v>1627</v>
      </c>
      <c r="B984" s="21" t="s">
        <v>1628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0" t="s">
        <v>1629</v>
      </c>
      <c r="B985" s="21" t="s">
        <v>1630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0" t="s">
        <v>1631</v>
      </c>
      <c r="B986" s="21" t="s">
        <v>1632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0" t="s">
        <v>1633</v>
      </c>
      <c r="B987" s="21" t="s">
        <v>1634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0" t="s">
        <v>1635</v>
      </c>
      <c r="B988" s="21" t="s">
        <v>1636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0" t="s">
        <v>1637</v>
      </c>
      <c r="B989" s="21" t="s">
        <v>1638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0" t="s">
        <v>1639</v>
      </c>
      <c r="B990" s="21" t="s">
        <v>1640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0" t="s">
        <v>1641</v>
      </c>
      <c r="B991" s="21" t="s">
        <v>1642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0" t="s">
        <v>1643</v>
      </c>
      <c r="B992" s="21" t="s">
        <v>1644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0" t="s">
        <v>1645</v>
      </c>
      <c r="B993" s="21" t="s">
        <v>1646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0" t="s">
        <v>1647</v>
      </c>
      <c r="B994" s="21" t="s">
        <v>1648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0" t="s">
        <v>1649</v>
      </c>
      <c r="B995" s="21" t="s">
        <v>1650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0" t="s">
        <v>1651</v>
      </c>
      <c r="B996" s="21" t="s">
        <v>1652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0" t="s">
        <v>1653</v>
      </c>
      <c r="B997" s="21" t="s">
        <v>1654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0" t="s">
        <v>1655</v>
      </c>
      <c r="B998" s="21" t="s">
        <v>1656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0" t="s">
        <v>1657</v>
      </c>
      <c r="B999" s="21" t="s">
        <v>1658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0" t="s">
        <v>1659</v>
      </c>
      <c r="B1000" s="21" t="s">
        <v>1660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0" t="s">
        <v>1661</v>
      </c>
      <c r="B1001" s="21" t="s">
        <v>1662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0" t="s">
        <v>1663</v>
      </c>
      <c r="B1002" s="21" t="s">
        <v>1664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0" t="s">
        <v>1665</v>
      </c>
      <c r="B1003" s="21" t="s">
        <v>1666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0" t="s">
        <v>1667</v>
      </c>
      <c r="B1004" s="21" t="s">
        <v>1668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0" t="s">
        <v>1669</v>
      </c>
      <c r="B1005" s="21" t="s">
        <v>1670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0" t="s">
        <v>1671</v>
      </c>
      <c r="B1006" s="21" t="s">
        <v>1672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0" t="s">
        <v>1673</v>
      </c>
      <c r="B1007" s="21" t="s">
        <v>1674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0" t="s">
        <v>1675</v>
      </c>
      <c r="B1008" s="21" t="s">
        <v>1676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0" t="s">
        <v>1677</v>
      </c>
      <c r="B1009" s="21" t="s">
        <v>1678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0" t="s">
        <v>1679</v>
      </c>
      <c r="B1010" s="21" t="s">
        <v>1680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0" t="s">
        <v>1681</v>
      </c>
      <c r="B1011" s="21" t="s">
        <v>1682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0" t="s">
        <v>1683</v>
      </c>
      <c r="B1012" s="21" t="s">
        <v>1684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0" t="s">
        <v>1685</v>
      </c>
      <c r="B1013" s="21" t="s">
        <v>1686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0" t="s">
        <v>1687</v>
      </c>
      <c r="B1014" s="21" t="s">
        <v>1688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10"/>
      <c r="B1015" s="11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</row>
    <row r="1016" spans="1:12" ht="20.100000000000001" customHeight="1">
      <c r="A1016" s="20" t="s">
        <v>1689</v>
      </c>
      <c r="B1016" s="21" t="s">
        <v>39</v>
      </c>
      <c r="C1016" s="26" t="str">
        <f t="array" ref="C1016">IF(C1017="","?",C1017)&amp;IF(C1018="","","; downloaded "&amp;C1018)&amp;IF(C1019="","","; "&amp;C1019)</f>
        <v>?</v>
      </c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ht="20.100000000000001" customHeight="1">
      <c r="A1017" s="10"/>
      <c r="B1017" s="21" t="s">
        <v>41</v>
      </c>
      <c r="C1017" s="22"/>
      <c r="D1017" s="12"/>
      <c r="E1017" s="12"/>
      <c r="F1017" s="12"/>
      <c r="G1017" s="12"/>
      <c r="H1017" s="12"/>
      <c r="I1017" s="12"/>
      <c r="J1017" s="12"/>
      <c r="K1017" s="12"/>
      <c r="L1017" s="12"/>
    </row>
    <row r="1018" spans="1:12" ht="20.100000000000001" customHeight="1">
      <c r="A1018" s="10"/>
      <c r="B1018" s="21" t="s">
        <v>43</v>
      </c>
      <c r="C1018" s="27"/>
      <c r="D1018" s="12"/>
      <c r="E1018" s="12"/>
      <c r="F1018" s="12"/>
      <c r="G1018" s="12"/>
      <c r="H1018" s="12"/>
      <c r="I1018" s="12"/>
      <c r="J1018" s="12"/>
      <c r="K1018" s="12"/>
      <c r="L1018" s="12"/>
    </row>
    <row r="1019" spans="1:12" ht="20.100000000000001" customHeight="1">
      <c r="A1019" s="10"/>
      <c r="B1019" s="21" t="s">
        <v>45</v>
      </c>
      <c r="C1019" s="22"/>
      <c r="D1019" s="12"/>
      <c r="E1019" s="12"/>
      <c r="F1019" s="12"/>
      <c r="G1019" s="12"/>
      <c r="H1019" s="12"/>
      <c r="I1019" s="12"/>
      <c r="J1019" s="12"/>
      <c r="K1019" s="12"/>
      <c r="L1019" s="12"/>
    </row>
    <row r="1020" spans="1:12" ht="20.100000000000001" customHeight="1">
      <c r="A1020" s="10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Dom</cp:lastModifiedBy>
  <dcterms:created xsi:type="dcterms:W3CDTF">2026-05-15T08:54:24Z</dcterms:created>
  <dcterms:modified xsi:type="dcterms:W3CDTF">2026-05-15T20:41:55Z</dcterms:modified>
</cp:coreProperties>
</file>