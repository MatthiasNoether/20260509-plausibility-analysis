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1"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
    <numFmt numFmtId="166" formatCode="0.0000000000"/>
  </numFmts>
  <fonts count="11">
    <font>
      <name val="Helvetica Neue"/>
      <color indexed="8"/>
      <sz val="10"/>
    </font>
    <font>
      <name val="Helvetica Neue"/>
      <color indexed="8"/>
      <sz val="12"/>
    </font>
    <font>
      <name val="Helvetica Neue"/>
      <b val="1"/>
      <color indexed="9"/>
      <sz val="10"/>
    </font>
    <font>
      <name val="Helvetica Neue"/>
      <b val="1"/>
      <color indexed="8"/>
      <sz val="10"/>
    </font>
    <font>
      <name val="Helvetica Neue"/>
      <color indexed="15"/>
      <sz val="10"/>
    </font>
    <font>
      <name val="Helvetica Neue"/>
      <color indexed="9"/>
      <sz val="10"/>
    </font>
    <font>
      <name val="Helvetica Neue"/>
      <b val="1"/>
      <color indexed="8"/>
      <sz val="16"/>
    </font>
    <font>
      <name val="Helvetica Neue"/>
      <color indexed="8"/>
      <sz val="16"/>
    </font>
    <font>
      <name val="Helvetica Neue"/>
      <color indexed="9"/>
      <sz val="15"/>
    </font>
    <font>
      <name val="Helvetica Neue"/>
      <b val="1"/>
      <color indexed="19"/>
      <sz val="10"/>
    </font>
    <font>
      <name val="Helvetica Neue"/>
      <color indexed="20"/>
      <sz val="10"/>
    </font>
  </fonts>
  <fills count="12">
    <fill>
      <patternFill/>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2">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
      <left/>
      <right style="thin">
        <color indexed="10"/>
      </right>
      <top style="thin">
        <color indexed="10"/>
      </top>
      <bottom/>
      <diagonal/>
    </border>
  </borders>
  <cellStyleXfs count="1">
    <xf numFmtId="0" fontId="0" fillId="0" borderId="5" applyAlignment="1">
      <alignment vertical="top" wrapText="1"/>
    </xf>
  </cellStyleXfs>
  <cellXfs count="207">
    <xf numFmtId="0" fontId="0" fillId="0" borderId="0" applyAlignment="1" pivotButton="0" quotePrefix="0" xfId="0">
      <alignment vertical="top" wrapText="1"/>
    </xf>
    <xf numFmtId="0" fontId="2" fillId="2" borderId="1" applyAlignment="1" pivotButton="0" quotePrefix="0" xfId="0">
      <alignment vertical="top" wrapText="1"/>
    </xf>
    <xf numFmtId="49" fontId="2" fillId="2" borderId="1" applyAlignment="1" pivotButton="0" quotePrefix="0" xfId="0">
      <alignment vertical="top" wrapText="1"/>
    </xf>
    <xf numFmtId="0" fontId="2" fillId="2" borderId="2" applyAlignment="1" pivotButton="0" quotePrefix="0" xfId="0">
      <alignment vertical="top" wrapText="1"/>
    </xf>
    <xf numFmtId="0" fontId="3" fillId="3" borderId="2" applyAlignment="1" pivotButton="0" quotePrefix="0" xfId="0">
      <alignment vertical="top" wrapText="1"/>
    </xf>
    <xf numFmtId="49" fontId="3" fillId="4" borderId="2" applyAlignment="1" pivotButton="0" quotePrefix="0" xfId="0">
      <alignment vertical="top" wrapText="1"/>
    </xf>
    <xf numFmtId="0" fontId="2" fillId="2" borderId="3" applyAlignment="1" pivotButton="0" quotePrefix="0" xfId="0">
      <alignment vertical="top" wrapText="1"/>
    </xf>
    <xf numFmtId="49" fontId="3" fillId="5" borderId="3" applyAlignment="1" pivotButton="0" quotePrefix="0" xfId="0">
      <alignment vertical="top" wrapText="1"/>
    </xf>
    <xf numFmtId="49" fontId="4" fillId="0" borderId="3" applyAlignment="1" pivotButton="0" quotePrefix="0" xfId="0">
      <alignment vertical="top" wrapText="1"/>
    </xf>
    <xf numFmtId="49" fontId="4" fillId="0" borderId="4" applyAlignment="1" pivotButton="0" quotePrefix="0" xfId="0">
      <alignment vertical="top" wrapText="1"/>
    </xf>
    <xf numFmtId="0" fontId="2" fillId="2" borderId="5" applyAlignment="1" pivotButton="0" quotePrefix="0" xfId="0">
      <alignment vertical="top" wrapText="1"/>
    </xf>
    <xf numFmtId="49" fontId="3" fillId="5" borderId="5" applyAlignment="1" pivotButton="0" quotePrefix="0" xfId="0">
      <alignment vertical="top" wrapText="1"/>
    </xf>
    <xf numFmtId="0" fontId="0" fillId="0" borderId="5" applyAlignment="1" pivotButton="0" quotePrefix="0" xfId="0">
      <alignment vertical="top" wrapText="1"/>
    </xf>
    <xf numFmtId="0" fontId="0" fillId="0" borderId="1" applyAlignment="1" pivotButton="0" quotePrefix="0" xfId="0">
      <alignment vertical="top" wrapText="1"/>
    </xf>
    <xf numFmtId="0" fontId="3" fillId="5" borderId="5" applyAlignment="1" pivotButton="0" quotePrefix="0" xfId="0">
      <alignment vertical="top" wrapText="1"/>
    </xf>
    <xf numFmtId="0" fontId="2" fillId="2" borderId="6" applyAlignment="1" pivotButton="0" quotePrefix="0" xfId="0">
      <alignment vertical="top" wrapText="1"/>
    </xf>
    <xf numFmtId="0" fontId="3" fillId="5" borderId="6" applyAlignment="1" pivotButton="0" quotePrefix="0" xfId="0">
      <alignment vertical="top" wrapText="1"/>
    </xf>
    <xf numFmtId="0" fontId="0" fillId="0" borderId="6" applyAlignment="1" pivotButton="0" quotePrefix="0" xfId="0">
      <alignment vertical="top" wrapText="1"/>
    </xf>
    <xf numFmtId="0" fontId="3" fillId="5" borderId="1" applyAlignment="1" pivotButton="0" quotePrefix="0" xfId="0">
      <alignment vertical="top" wrapText="1"/>
    </xf>
    <xf numFmtId="49" fontId="0" fillId="0" borderId="1" applyAlignment="1" pivotButton="0" quotePrefix="0" xfId="0">
      <alignment vertical="top" wrapText="1"/>
    </xf>
    <xf numFmtId="0" fontId="6" fillId="9" borderId="1" applyAlignment="1" pivotButton="0" quotePrefix="0" xfId="0">
      <alignment vertical="top" wrapText="1"/>
    </xf>
    <xf numFmtId="49" fontId="6" fillId="9" borderId="1" applyAlignment="1" pivotButton="0" quotePrefix="0" xfId="0">
      <alignment vertical="top" wrapText="1"/>
    </xf>
    <xf numFmtId="0" fontId="7" fillId="9" borderId="1" applyAlignment="1" pivotButton="0" quotePrefix="0" xfId="0">
      <alignment vertical="top" wrapText="1"/>
    </xf>
    <xf numFmtId="49" fontId="3" fillId="5" borderId="1" applyAlignment="1" pivotButton="0" quotePrefix="0" xfId="0">
      <alignment vertical="top" wrapText="1"/>
    </xf>
    <xf numFmtId="0" fontId="2" fillId="2" borderId="7" applyAlignment="1" pivotButton="0" quotePrefix="0" xfId="0">
      <alignment vertical="top" wrapText="1"/>
    </xf>
    <xf numFmtId="0" fontId="3" fillId="5" borderId="7" applyAlignment="1" pivotButton="0" quotePrefix="0" xfId="0">
      <alignment vertical="top" wrapText="1"/>
    </xf>
    <xf numFmtId="0" fontId="0" fillId="0" borderId="7" applyAlignment="1" pivotButton="0" quotePrefix="0" xfId="0">
      <alignment vertical="top" wrapText="1"/>
    </xf>
    <xf numFmtId="0" fontId="0" fillId="3" borderId="5" applyAlignment="1" pivotButton="0" quotePrefix="0" xfId="0">
      <alignment vertical="top" wrapText="1"/>
    </xf>
    <xf numFmtId="10" fontId="0" fillId="3" borderId="5" applyAlignment="1" pivotButton="0" quotePrefix="0" xfId="0">
      <alignment vertical="top" wrapText="1"/>
    </xf>
    <xf numFmtId="0" fontId="0" fillId="3" borderId="1" applyAlignment="1" pivotButton="0" quotePrefix="0" xfId="0">
      <alignment vertical="top" wrapText="1"/>
    </xf>
    <xf numFmtId="49" fontId="3" fillId="5" borderId="6" applyAlignment="1" pivotButton="0" quotePrefix="0" xfId="0">
      <alignment vertical="top" wrapText="1"/>
    </xf>
    <xf numFmtId="0" fontId="0" fillId="3" borderId="6" applyAlignment="1" pivotButton="0" quotePrefix="0" xfId="0">
      <alignment vertical="top" wrapText="1"/>
    </xf>
    <xf numFmtId="10" fontId="0" fillId="3" borderId="6" applyAlignment="1" pivotButton="0" quotePrefix="0" xfId="0">
      <alignment vertical="top" wrapText="1"/>
    </xf>
    <xf numFmtId="49" fontId="3" fillId="5" borderId="7" applyAlignment="1" pivotButton="0" quotePrefix="0" xfId="0">
      <alignment vertical="top" wrapText="1"/>
    </xf>
    <xf numFmtId="2" fontId="0" fillId="3" borderId="5" applyAlignment="1" pivotButton="0" quotePrefix="0" xfId="0">
      <alignment vertical="top" wrapText="1"/>
    </xf>
    <xf numFmtId="10" fontId="0" fillId="3" borderId="7" applyAlignment="1" pivotButton="0" quotePrefix="0" xfId="0">
      <alignment vertical="top" wrapText="1"/>
    </xf>
    <xf numFmtId="0" fontId="0" fillId="3" borderId="7" applyAlignment="1" pivotButton="0" quotePrefix="0" xfId="0">
      <alignment vertical="top" wrapText="1"/>
    </xf>
    <xf numFmtId="164" fontId="0" fillId="3" borderId="5" applyAlignment="1" pivotButton="0" quotePrefix="0" xfId="0">
      <alignment vertical="top" wrapText="1"/>
    </xf>
    <xf numFmtId="49" fontId="2" fillId="2" borderId="5" applyAlignment="1" pivotButton="0" quotePrefix="0" xfId="0">
      <alignment vertical="top" wrapText="1"/>
    </xf>
    <xf numFmtId="2" fontId="0" fillId="3" borderId="5" applyAlignment="1" pivotButton="0" quotePrefix="0" xfId="0">
      <alignment horizontal="right" vertical="top" wrapText="1"/>
    </xf>
    <xf numFmtId="2" fontId="0" fillId="6" borderId="5" applyAlignment="1" pivotButton="0" quotePrefix="0" xfId="0">
      <alignment horizontal="right" vertical="top" wrapText="1"/>
    </xf>
    <xf numFmtId="0" fontId="2" fillId="2" borderId="8" applyAlignment="1" pivotButton="0" quotePrefix="0" xfId="0">
      <alignment vertical="top" wrapText="1"/>
    </xf>
    <xf numFmtId="0" fontId="3" fillId="5"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3" fillId="3" borderId="7" applyAlignment="1" pivotButton="0" quotePrefix="0" xfId="0">
      <alignment vertical="top" wrapText="1"/>
    </xf>
    <xf numFmtId="49" fontId="3" fillId="4" borderId="7" applyAlignment="1" pivotButton="0" quotePrefix="0" xfId="0">
      <alignment vertical="top" wrapText="1"/>
    </xf>
    <xf numFmtId="0" fontId="2" fillId="8" borderId="5" applyAlignment="1" pivotButton="0" quotePrefix="0" xfId="0">
      <alignment vertical="top" wrapText="1"/>
    </xf>
    <xf numFmtId="49" fontId="8" fillId="8" borderId="5" applyAlignment="1" pivotButton="0" quotePrefix="0" xfId="0">
      <alignment horizontal="right" vertical="top" wrapText="1"/>
    </xf>
    <xf numFmtId="0" fontId="5" fillId="8" borderId="4" applyAlignment="1" pivotButton="0" quotePrefix="0" xfId="0">
      <alignment horizontal="left" vertical="top" wrapText="1"/>
    </xf>
    <xf numFmtId="0" fontId="6" fillId="9" borderId="6" applyAlignment="1" pivotButton="0" quotePrefix="0" xfId="0">
      <alignment vertical="top" wrapText="1"/>
    </xf>
    <xf numFmtId="49" fontId="6" fillId="9" borderId="6" applyAlignment="1" pivotButton="0" quotePrefix="0" xfId="0">
      <alignment vertical="top" wrapText="1"/>
    </xf>
    <xf numFmtId="0" fontId="0" fillId="0" borderId="1" applyAlignment="1" pivotButton="0" quotePrefix="0" xfId="0">
      <alignment horizontal="left" vertical="top" wrapText="1"/>
    </xf>
    <xf numFmtId="1" fontId="0" fillId="6" borderId="1" applyAlignment="1" pivotButton="0" quotePrefix="0" xfId="0">
      <alignment horizontal="left" vertical="top" wrapText="1"/>
    </xf>
    <xf numFmtId="1" fontId="0" fillId="0" borderId="1" applyAlignment="1" pivotButton="0" quotePrefix="0" xfId="0">
      <alignment horizontal="left" vertical="top" wrapText="1"/>
    </xf>
    <xf numFmtId="1" fontId="0" fillId="3" borderId="1" applyAlignment="1" pivotButton="0" quotePrefix="0" xfId="0">
      <alignment horizontal="right" vertical="top" wrapText="1"/>
    </xf>
    <xf numFmtId="1" fontId="0" fillId="7" borderId="1" applyAlignment="1" pivotButton="0" quotePrefix="0" xfId="0">
      <alignment horizontal="right" vertical="top" wrapText="1"/>
    </xf>
    <xf numFmtId="1" fontId="0" fillId="0" borderId="1" applyAlignment="1" pivotButton="0" quotePrefix="0" xfId="0">
      <alignment horizontal="right" vertical="top" wrapText="1"/>
    </xf>
    <xf numFmtId="0" fontId="5" fillId="8" borderId="1" applyAlignment="1" pivotButton="0" quotePrefix="0" xfId="0">
      <alignment horizontal="left" vertical="top" wrapText="1"/>
    </xf>
    <xf numFmtId="0" fontId="2" fillId="2" borderId="11" applyAlignment="1" pivotButton="0" quotePrefix="0" xfId="0">
      <alignment vertical="top" wrapText="1"/>
    </xf>
    <xf numFmtId="0" fontId="3" fillId="5" borderId="12" applyAlignment="1" pivotButton="0" quotePrefix="0" xfId="0">
      <alignment vertical="top" wrapText="1"/>
    </xf>
    <xf numFmtId="1" fontId="0" fillId="0" borderId="10" applyAlignment="1" pivotButton="0" quotePrefix="0" xfId="0">
      <alignment horizontal="right" vertical="top" wrapText="1"/>
    </xf>
    <xf numFmtId="1" fontId="0" fillId="0" borderId="11" applyAlignment="1" pivotButton="0" quotePrefix="0" xfId="0">
      <alignment horizontal="right" vertical="top" wrapText="1"/>
    </xf>
    <xf numFmtId="49" fontId="3" fillId="5" borderId="12" applyAlignment="1" pivotButton="0" quotePrefix="0" xfId="0">
      <alignment vertical="top" wrapText="1"/>
    </xf>
    <xf numFmtId="1" fontId="0" fillId="6" borderId="11" applyAlignment="1" pivotButton="0" quotePrefix="0" xfId="0">
      <alignment horizontal="right" vertical="top" wrapText="1"/>
    </xf>
    <xf numFmtId="0" fontId="0" fillId="0" borderId="7" applyAlignment="1" pivotButton="0" quotePrefix="0" xfId="0">
      <alignment horizontal="right" vertical="top" wrapText="1"/>
    </xf>
    <xf numFmtId="0" fontId="0" fillId="0" borderId="1" applyAlignment="1" pivotButton="0" quotePrefix="0" xfId="0">
      <alignment horizontal="right" vertical="top" wrapText="1"/>
    </xf>
    <xf numFmtId="49" fontId="2" fillId="2" borderId="6" applyAlignment="1" pivotButton="0" quotePrefix="0" xfId="0">
      <alignment vertical="top" wrapText="1"/>
    </xf>
    <xf numFmtId="2" fontId="0" fillId="0" borderId="6" applyAlignment="1" pivotButton="0" quotePrefix="0" xfId="0">
      <alignment horizontal="right" vertical="top" wrapText="1"/>
    </xf>
    <xf numFmtId="165" fontId="0" fillId="6" borderId="6" applyAlignment="1" pivotButton="0" quotePrefix="0" xfId="0">
      <alignment horizontal="righ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2" fontId="0" fillId="0" borderId="1" applyAlignment="1" pivotButton="0" quotePrefix="0" xfId="0">
      <alignment horizontal="right" vertical="top" wrapText="1"/>
    </xf>
    <xf numFmtId="0" fontId="9" fillId="2" borderId="1" applyAlignment="1" pivotButton="0" quotePrefix="0" xfId="0">
      <alignment vertical="top" wrapText="1"/>
    </xf>
    <xf numFmtId="49" fontId="10" fillId="5" borderId="1" applyAlignment="1" pivotButton="0" quotePrefix="0" xfId="0">
      <alignment horizontal="center" vertical="top" wrapText="1"/>
    </xf>
    <xf numFmtId="1" fontId="0" fillId="10" borderId="1" applyAlignment="1" pivotButton="0" quotePrefix="0" xfId="0">
      <alignment horizontal="right" vertical="top" wrapText="1"/>
    </xf>
    <xf numFmtId="0" fontId="9" fillId="2" borderId="7" applyAlignment="1" pivotButton="0" quotePrefix="0" xfId="0">
      <alignment vertical="top" wrapText="1"/>
    </xf>
    <xf numFmtId="49" fontId="10" fillId="5" borderId="7" applyAlignment="1" pivotButton="0" quotePrefix="0" xfId="0">
      <alignment horizontal="center" vertical="top" wrapText="1"/>
    </xf>
    <xf numFmtId="1" fontId="0" fillId="0" borderId="7" applyAlignment="1" pivotButton="0" quotePrefix="0" xfId="0">
      <alignment horizontal="right" vertical="top" wrapText="1"/>
    </xf>
    <xf numFmtId="1" fontId="0" fillId="3" borderId="7" applyAlignment="1" pivotButton="0" quotePrefix="0" xfId="0">
      <alignment horizontal="right" vertical="top" wrapText="1"/>
    </xf>
    <xf numFmtId="0" fontId="9" fillId="2" borderId="5" applyAlignment="1" pivotButton="0" quotePrefix="0" xfId="0">
      <alignment vertical="top" wrapText="1"/>
    </xf>
    <xf numFmtId="49" fontId="10" fillId="5" borderId="5" applyAlignment="1" pivotButton="0" quotePrefix="0" xfId="0">
      <alignment horizontal="center" vertical="top" wrapText="1"/>
    </xf>
    <xf numFmtId="1" fontId="0" fillId="0" borderId="5" applyAlignment="1" pivotButton="0" quotePrefix="0" xfId="0">
      <alignment horizontal="right" vertical="top" wrapText="1"/>
    </xf>
    <xf numFmtId="1" fontId="0" fillId="3" borderId="5" applyAlignment="1" pivotButton="0" quotePrefix="0" xfId="0">
      <alignment horizontal="right" vertical="top" wrapText="1"/>
    </xf>
    <xf numFmtId="0" fontId="9" fillId="2" borderId="6" applyAlignment="1" pivotButton="0" quotePrefix="0" xfId="0">
      <alignment vertical="top" wrapText="1"/>
    </xf>
    <xf numFmtId="49" fontId="10" fillId="5" borderId="6" applyAlignment="1" pivotButton="0" quotePrefix="0" xfId="0">
      <alignment horizontal="center" vertical="top" wrapText="1"/>
    </xf>
    <xf numFmtId="1" fontId="0" fillId="0" borderId="6" applyAlignment="1" pivotButton="0" quotePrefix="0" xfId="0">
      <alignment horizontal="right" vertical="top" wrapText="1"/>
    </xf>
    <xf numFmtId="1" fontId="0" fillId="10" borderId="6" applyAlignment="1" pivotButton="0" quotePrefix="0" xfId="0">
      <alignment horizontal="right" vertical="top" wrapText="1"/>
    </xf>
    <xf numFmtId="49" fontId="9" fillId="2" borderId="1" applyAlignment="1" pivotButton="0" quotePrefix="0" xfId="0">
      <alignment vertical="top" wrapText="1"/>
    </xf>
    <xf numFmtId="1" fontId="0" fillId="6" borderId="1" applyAlignment="1" pivotButton="0" quotePrefix="0" xfId="0">
      <alignment horizontal="right" vertical="top" wrapText="1"/>
    </xf>
    <xf numFmtId="166" fontId="0" fillId="0" borderId="1" applyAlignment="1" pivotButton="0" quotePrefix="0" xfId="0">
      <alignment horizontal="right" vertical="top" wrapText="1"/>
    </xf>
    <xf numFmtId="49" fontId="9" fillId="2" borderId="7" applyAlignment="1" pivotButton="0" quotePrefix="0" xfId="0">
      <alignment vertical="top" wrapText="1"/>
    </xf>
    <xf numFmtId="1" fontId="0" fillId="6" borderId="7" applyAlignment="1" pivotButton="0" quotePrefix="0" xfId="0">
      <alignment horizontal="right" vertical="top" wrapText="1"/>
    </xf>
    <xf numFmtId="0" fontId="2" fillId="2" borderId="15" applyAlignment="1" pivotButton="0" quotePrefix="0" xfId="0">
      <alignment vertical="top" wrapText="1"/>
    </xf>
    <xf numFmtId="0" fontId="3" fillId="5" borderId="16" applyAlignment="1" pivotButton="0" quotePrefix="0" xfId="0">
      <alignment vertical="top" wrapText="1"/>
    </xf>
    <xf numFmtId="1" fontId="0" fillId="0" borderId="17" applyAlignment="1" pivotButton="0" quotePrefix="0" xfId="0">
      <alignment horizontal="right" vertical="top" wrapText="1"/>
    </xf>
    <xf numFmtId="1" fontId="0" fillId="0" borderId="15" applyAlignment="1" pivotButton="0" quotePrefix="0" xfId="0">
      <alignment horizontal="right" vertical="top" wrapText="1"/>
    </xf>
    <xf numFmtId="166" fontId="0" fillId="0" borderId="11" applyAlignment="1" pivotButton="0" quotePrefix="0" xfId="0">
      <alignment horizontal="right" vertical="top" wrapText="1"/>
    </xf>
    <xf numFmtId="0" fontId="2" fillId="8" borderId="4" applyAlignment="1" pivotButton="0" quotePrefix="0" xfId="0">
      <alignment vertical="top" wrapText="1"/>
    </xf>
    <xf numFmtId="49" fontId="8" fillId="8" borderId="4" applyAlignment="1" pivotButton="0" quotePrefix="0" xfId="0">
      <alignment horizontal="right" vertical="top" wrapText="1"/>
    </xf>
    <xf numFmtId="0" fontId="2" fillId="8" borderId="1" applyAlignment="1" pivotButton="0" quotePrefix="0" xfId="0">
      <alignment vertical="top" wrapText="1"/>
    </xf>
    <xf numFmtId="49" fontId="8" fillId="8" borderId="1" applyAlignment="1" pivotButton="0" quotePrefix="0" xfId="0">
      <alignment horizontal="right" vertical="top" wrapText="1"/>
    </xf>
    <xf numFmtId="0" fontId="6" fillId="9" borderId="11" applyAlignment="1" pivotButton="0" quotePrefix="0" xfId="0">
      <alignment vertical="top" wrapText="1"/>
    </xf>
    <xf numFmtId="49" fontId="6" fillId="9" borderId="12" applyAlignment="1" pivotButton="0" quotePrefix="0" xfId="0">
      <alignment vertical="top" wrapText="1"/>
    </xf>
    <xf numFmtId="0" fontId="7" fillId="9" borderId="11" applyAlignment="1" pivotButton="0" quotePrefix="0" xfId="0">
      <alignment vertical="top" wrapText="1"/>
    </xf>
    <xf numFmtId="0" fontId="2" fillId="2" borderId="19" applyAlignment="1" pivotButton="0" quotePrefix="0" xfId="0">
      <alignment vertical="top" wrapText="1"/>
    </xf>
    <xf numFmtId="0" fontId="3" fillId="5" borderId="20" applyAlignment="1" pivotButton="0" quotePrefix="0" xfId="0">
      <alignment vertical="top" wrapText="1"/>
    </xf>
    <xf numFmtId="1" fontId="0" fillId="0" borderId="21" applyAlignment="1" pivotButton="0" quotePrefix="0" xfId="0">
      <alignment horizontal="right" vertical="top" wrapText="1"/>
    </xf>
    <xf numFmtId="1" fontId="0" fillId="0" borderId="22" applyAlignment="1" pivotButton="0" quotePrefix="0" xfId="0">
      <alignment horizontal="right" vertical="top" wrapText="1"/>
    </xf>
    <xf numFmtId="1" fontId="0" fillId="0" borderId="18" applyAlignment="1" pivotButton="0" quotePrefix="0" xfId="0">
      <alignment horizontal="right" vertical="top" wrapText="1"/>
    </xf>
    <xf numFmtId="49" fontId="3" fillId="5" borderId="16" applyAlignment="1" pivotButton="0" quotePrefix="0" xfId="0">
      <alignment vertical="top" wrapText="1"/>
    </xf>
    <xf numFmtId="1" fontId="0" fillId="0" borderId="23" applyAlignment="1" pivotButton="0" quotePrefix="0" xfId="0">
      <alignment horizontal="right" vertical="top" wrapText="1"/>
    </xf>
    <xf numFmtId="1" fontId="0" fillId="10" borderId="24" applyAlignment="1" pivotButton="0" quotePrefix="0" xfId="0">
      <alignment horizontal="right" vertical="top" wrapText="1"/>
    </xf>
    <xf numFmtId="1" fontId="0" fillId="0" borderId="25" applyAlignment="1" pivotButton="0" quotePrefix="0" xfId="0">
      <alignment horizontal="right" vertical="top" wrapText="1"/>
    </xf>
    <xf numFmtId="1" fontId="0" fillId="0" borderId="26" applyAlignment="1" pivotButton="0" quotePrefix="0" xfId="0">
      <alignment horizontal="right" vertical="top" wrapText="1"/>
    </xf>
    <xf numFmtId="1" fontId="0" fillId="0" borderId="27" applyAlignment="1" pivotButton="0" quotePrefix="0" xfId="0">
      <alignment horizontal="right" vertical="top" wrapText="1"/>
    </xf>
    <xf numFmtId="1" fontId="0" fillId="0" borderId="7" applyAlignment="1" pivotButton="0" quotePrefix="0" xfId="0">
      <alignment horizontal="left" vertical="top" wrapText="1"/>
    </xf>
    <xf numFmtId="0" fontId="0" fillId="0" borderId="7" applyAlignment="1" pivotButton="0" quotePrefix="0" xfId="0">
      <alignment horizontal="left" vertical="top" wrapText="1"/>
    </xf>
    <xf numFmtId="1" fontId="0" fillId="7" borderId="5" applyAlignment="1" pivotButton="0" quotePrefix="0" xfId="0">
      <alignment horizontal="right" vertical="top" wrapText="1"/>
    </xf>
    <xf numFmtId="0" fontId="0" fillId="0" borderId="6" applyAlignment="1" pivotButton="0" quotePrefix="0" xfId="0">
      <alignment horizontal="left" vertical="top" wrapText="1"/>
    </xf>
    <xf numFmtId="1" fontId="0" fillId="3" borderId="6" applyAlignment="1" pivotButton="0" quotePrefix="0" xfId="0">
      <alignment horizontal="right" vertical="top" wrapText="1"/>
    </xf>
    <xf numFmtId="0" fontId="6" fillId="9" borderId="7" applyAlignment="1" pivotButton="0" quotePrefix="0" xfId="0">
      <alignment vertical="top" wrapText="1"/>
    </xf>
    <xf numFmtId="49" fontId="6" fillId="9" borderId="7" applyAlignment="1" pivotButton="0" quotePrefix="0" xfId="0">
      <alignment vertical="top" wrapText="1"/>
    </xf>
    <xf numFmtId="1" fontId="3" fillId="5" borderId="1" applyAlignment="1" pivotButton="0" quotePrefix="0" xfId="0">
      <alignment horizontal="left" vertical="top" wrapText="1"/>
    </xf>
    <xf numFmtId="1" fontId="3" fillId="5" borderId="7" applyAlignment="1" pivotButton="0" quotePrefix="0" xfId="0">
      <alignment horizontal="left" vertical="top" wrapText="1"/>
    </xf>
    <xf numFmtId="1" fontId="0" fillId="10" borderId="22" applyAlignment="1" pivotButton="0" quotePrefix="0" xfId="0">
      <alignment horizontal="right" vertical="top" wrapText="1"/>
    </xf>
    <xf numFmtId="1" fontId="0" fillId="7" borderId="7" applyAlignment="1" pivotButton="0" quotePrefix="0" xfId="0">
      <alignment horizontal="right" vertical="top" wrapText="1"/>
    </xf>
    <xf numFmtId="1" fontId="3" fillId="5" borderId="5" applyAlignment="1" pivotButton="0" quotePrefix="0" xfId="0">
      <alignment horizontal="left" vertical="top" wrapText="1"/>
    </xf>
    <xf numFmtId="1" fontId="0" fillId="3" borderId="28" applyAlignment="1" pivotButton="0" quotePrefix="0" xfId="0">
      <alignment horizontal="right" vertical="top" wrapText="1"/>
    </xf>
    <xf numFmtId="1" fontId="0" fillId="7" borderId="29" applyAlignment="1" pivotButton="0" quotePrefix="0" xfId="0">
      <alignment horizontal="right" vertical="top" wrapText="1"/>
    </xf>
    <xf numFmtId="166" fontId="0" fillId="0" borderId="30" applyAlignment="1" pivotButton="0" quotePrefix="0" xfId="0">
      <alignment horizontal="right" vertical="top" wrapText="1"/>
    </xf>
    <xf numFmtId="1" fontId="0" fillId="0" borderId="30" applyAlignment="1" pivotButton="0" quotePrefix="0" xfId="0">
      <alignment horizontal="right" vertical="top" wrapText="1"/>
    </xf>
    <xf numFmtId="1" fontId="0" fillId="10" borderId="31" applyAlignment="1" pivotButton="0" quotePrefix="0" xfId="0">
      <alignment horizontal="right" vertical="top" wrapText="1"/>
    </xf>
    <xf numFmtId="1" fontId="0" fillId="10" borderId="32" applyAlignment="1" pivotButton="0" quotePrefix="0" xfId="0">
      <alignment horizontal="right" vertical="top" wrapText="1"/>
    </xf>
    <xf numFmtId="1" fontId="0" fillId="10" borderId="33" applyAlignment="1" pivotButton="0" quotePrefix="0" xfId="0">
      <alignment horizontal="right" vertical="top" wrapText="1"/>
    </xf>
    <xf numFmtId="1" fontId="0" fillId="3" borderId="34" applyAlignment="1" pivotButton="0" quotePrefix="0" xfId="0">
      <alignment horizontal="right" vertical="top" wrapText="1"/>
    </xf>
    <xf numFmtId="0" fontId="6" fillId="9" borderId="5" applyAlignment="1" pivotButton="0" quotePrefix="0" xfId="0">
      <alignment vertical="top" wrapText="1"/>
    </xf>
    <xf numFmtId="49" fontId="0" fillId="0" borderId="1" applyAlignment="1" pivotButton="0" quotePrefix="0" xfId="0">
      <alignment horizontal="left" vertical="top" wrapText="1"/>
    </xf>
    <xf numFmtId="49" fontId="3" fillId="5" borderId="1" applyAlignment="1" pivotButton="0" quotePrefix="0" xfId="0">
      <alignment horizontal="right" vertical="top" wrapText="1"/>
    </xf>
    <xf numFmtId="49" fontId="3" fillId="5" borderId="1" applyAlignment="1" pivotButton="0" quotePrefix="0" xfId="0">
      <alignment horizontal="left" vertical="top" wrapText="1"/>
    </xf>
    <xf numFmtId="49" fontId="2" fillId="2" borderId="7" applyAlignment="1" pivotButton="0" quotePrefix="0" xfId="0">
      <alignment vertical="top" wrapText="1"/>
    </xf>
    <xf numFmtId="49" fontId="3" fillId="5" borderId="7" applyAlignment="1" pivotButton="0" quotePrefix="0" xfId="0">
      <alignment horizontal="left" vertical="top" wrapText="1"/>
    </xf>
    <xf numFmtId="49" fontId="3" fillId="5" borderId="5" applyAlignment="1" pivotButton="0" quotePrefix="0" xfId="0">
      <alignment horizontal="right" vertical="top" wrapText="1"/>
    </xf>
    <xf numFmtId="0" fontId="0" fillId="0" borderId="5" applyAlignment="1" pivotButton="0" quotePrefix="0" xfId="0">
      <alignment horizontal="left" vertical="top" wrapText="1"/>
    </xf>
    <xf numFmtId="1" fontId="0" fillId="0" borderId="8" applyAlignment="1" pivotButton="0" quotePrefix="0" xfId="0">
      <alignment horizontal="right" vertical="top" wrapText="1"/>
    </xf>
    <xf numFmtId="1" fontId="0" fillId="10" borderId="5" applyAlignment="1" pivotButton="0" quotePrefix="0" xfId="0">
      <alignment horizontal="right" vertical="top" wrapText="1"/>
    </xf>
    <xf numFmtId="1" fontId="0" fillId="0" borderId="35" applyAlignment="1" pivotButton="0" quotePrefix="0" xfId="0">
      <alignment horizontal="right" vertical="top" wrapText="1"/>
    </xf>
    <xf numFmtId="1" fontId="0" fillId="0" borderId="36" applyAlignment="1" pivotButton="0" quotePrefix="0" xfId="0">
      <alignment horizontal="right" vertical="top" wrapText="1"/>
    </xf>
    <xf numFmtId="1" fontId="0" fillId="0" borderId="24" applyAlignment="1" pivotButton="0" quotePrefix="0" xfId="0">
      <alignment horizontal="right" vertical="top" wrapText="1"/>
    </xf>
    <xf numFmtId="1" fontId="0" fillId="10" borderId="29" applyAlignment="1" pivotButton="0" quotePrefix="0" xfId="0">
      <alignment horizontal="right" vertical="top" wrapText="1"/>
    </xf>
    <xf numFmtId="1" fontId="0" fillId="0" borderId="37" applyAlignment="1" pivotButton="0" quotePrefix="0" xfId="0">
      <alignment horizontal="right" vertical="top" wrapText="1"/>
    </xf>
    <xf numFmtId="1" fontId="0" fillId="0" borderId="32" applyAlignment="1" pivotButton="0" quotePrefix="0" xfId="0">
      <alignment horizontal="right" vertical="top" wrapText="1"/>
    </xf>
    <xf numFmtId="1" fontId="0" fillId="0" borderId="38" applyAlignment="1" pivotButton="0" quotePrefix="0" xfId="0">
      <alignment horizontal="right" vertical="top" wrapText="1"/>
    </xf>
    <xf numFmtId="1" fontId="0" fillId="0" borderId="39" applyAlignment="1" pivotButton="0" quotePrefix="0" xfId="0">
      <alignment horizontal="right" vertical="top" wrapText="1"/>
    </xf>
    <xf numFmtId="1" fontId="0" fillId="0" borderId="28" applyAlignment="1" pivotButton="0" quotePrefix="0" xfId="0">
      <alignment horizontal="right" vertical="top" wrapText="1"/>
    </xf>
    <xf numFmtId="1" fontId="0" fillId="0" borderId="40" applyAlignment="1" pivotButton="0" quotePrefix="0" xfId="0">
      <alignment horizontal="right" vertical="top" wrapText="1"/>
    </xf>
    <xf numFmtId="0" fontId="2" fillId="2" borderId="1" applyAlignment="1" pivotButton="0" quotePrefix="0" xfId="0">
      <alignment horizontal="left" vertical="top" wrapText="1"/>
    </xf>
    <xf numFmtId="49" fontId="2" fillId="2" borderId="1" applyAlignment="1" pivotButton="0" quotePrefix="0" xfId="0">
      <alignment horizontal="left" vertical="top" wrapText="1"/>
    </xf>
    <xf numFmtId="0" fontId="2" fillId="2" borderId="2" applyAlignment="1" pivotButton="0" quotePrefix="0" xfId="0">
      <alignment horizontal="left" vertical="top" wrapText="1"/>
    </xf>
    <xf numFmtId="0" fontId="3" fillId="3" borderId="2" applyAlignment="1" pivotButton="0" quotePrefix="0" xfId="0">
      <alignment horizontal="left" vertical="top" wrapText="1"/>
    </xf>
    <xf numFmtId="49" fontId="3" fillId="4" borderId="2" applyAlignment="1" pivotButton="0" quotePrefix="0" xfId="0">
      <alignment horizontal="left" vertical="top" wrapText="1"/>
    </xf>
    <xf numFmtId="0" fontId="2" fillId="2" borderId="7" applyAlignment="1" pivotButton="0" quotePrefix="0" xfId="0">
      <alignment horizontal="left" vertical="top" wrapText="1"/>
    </xf>
    <xf numFmtId="0" fontId="2" fillId="2" borderId="5" applyAlignment="1" pivotButton="0" quotePrefix="0" xfId="0">
      <alignment horizontal="left" vertical="top" wrapText="1"/>
    </xf>
    <xf numFmtId="1" fontId="0" fillId="0" borderId="5" applyAlignment="1" pivotButton="0" quotePrefix="0" xfId="0">
      <alignment horizontal="left" vertical="top" wrapText="1"/>
    </xf>
    <xf numFmtId="2" fontId="0" fillId="0" borderId="5" applyAlignment="1" pivotButton="0" quotePrefix="0" xfId="0">
      <alignment horizontal="left" vertical="top" wrapText="1"/>
    </xf>
    <xf numFmtId="0" fontId="2" fillId="2" borderId="6" applyAlignment="1" pivotButton="0" quotePrefix="0" xfId="0">
      <alignment horizontal="left" vertical="top" wrapText="1"/>
    </xf>
    <xf numFmtId="1" fontId="0" fillId="0" borderId="6" applyAlignment="1" pivotButton="0" quotePrefix="0" xfId="0">
      <alignment horizontal="left" vertical="top" wrapText="1"/>
    </xf>
    <xf numFmtId="165" fontId="0" fillId="0" borderId="1" applyAlignment="1" pivotButton="0" quotePrefix="0" xfId="0">
      <alignment horizontal="left" vertical="top" wrapText="1"/>
    </xf>
    <xf numFmtId="1" fontId="0" fillId="0" borderId="18" applyAlignment="1" pivotButton="0" quotePrefix="0" xfId="0">
      <alignment horizontal="left" vertical="top" wrapText="1"/>
    </xf>
    <xf numFmtId="1" fontId="0" fillId="0" borderId="11" applyAlignment="1" pivotButton="0" quotePrefix="0" xfId="0">
      <alignment horizontal="left" vertical="top" wrapText="1"/>
    </xf>
    <xf numFmtId="0" fontId="2" fillId="2" borderId="8" applyAlignment="1" pivotButton="0" quotePrefix="0" xfId="0">
      <alignment horizontal="left" vertical="top" wrapText="1"/>
    </xf>
    <xf numFmtId="1" fontId="0" fillId="0" borderId="8" applyAlignment="1" pivotButton="0" quotePrefix="0" xfId="0">
      <alignment horizontal="left" vertical="top" wrapText="1"/>
    </xf>
    <xf numFmtId="1" fontId="0" fillId="11" borderId="1" applyAlignment="1" pivotButton="0" quotePrefix="0" xfId="0">
      <alignment horizontal="right" vertical="top" wrapText="1"/>
    </xf>
    <xf numFmtId="1" fontId="0" fillId="11" borderId="5" applyAlignment="1" pivotButton="0" quotePrefix="0" xfId="0">
      <alignment horizontal="right" vertical="top" wrapText="1"/>
    </xf>
    <xf numFmtId="0" fontId="1" fillId="0" borderId="5" applyAlignment="1" pivotButton="0" quotePrefix="0" xfId="0">
      <alignment horizontal="center" vertical="center"/>
    </xf>
    <xf numFmtId="0" fontId="0" fillId="0" borderId="0" applyAlignment="1" pivotButton="0" quotePrefix="0" xfId="0">
      <alignment vertical="top" wrapText="1"/>
    </xf>
    <xf numFmtId="49" fontId="0" fillId="6" borderId="1" applyAlignment="1" pivotButton="0" quotePrefix="0" xfId="0">
      <alignment vertical="top" wrapText="1"/>
    </xf>
    <xf numFmtId="0" fontId="0" fillId="0" borderId="1" pivotButton="0" quotePrefix="0" xfId="0"/>
    <xf numFmtId="0" fontId="0" fillId="9" borderId="1" pivotButton="0" quotePrefix="0" xfId="0"/>
    <xf numFmtId="49" fontId="0" fillId="9" borderId="1" pivotButton="0" quotePrefix="0" xfId="0"/>
    <xf numFmtId="49" fontId="4" fillId="0" borderId="5" applyAlignment="1" pivotButton="0" quotePrefix="0" xfId="0">
      <alignment horizontal="right" vertical="top" wrapText="1"/>
    </xf>
    <xf numFmtId="49" fontId="4" fillId="0" borderId="7" applyAlignment="1" pivotButton="0" quotePrefix="0" xfId="0">
      <alignment vertical="top" wrapText="1"/>
    </xf>
    <xf numFmtId="0" fontId="0" fillId="0" borderId="7" pivotButton="0" quotePrefix="0" xfId="0"/>
    <xf numFmtId="49" fontId="4" fillId="0" borderId="5" applyAlignment="1" pivotButton="0" quotePrefix="0" xfId="0">
      <alignment vertical="top" wrapText="1"/>
    </xf>
    <xf numFmtId="0" fontId="0" fillId="3" borderId="1" applyAlignment="1" pivotButton="0" quotePrefix="0" xfId="0">
      <alignment horizontal="left" vertical="top" wrapText="1"/>
    </xf>
    <xf numFmtId="49" fontId="0" fillId="6" borderId="1" applyAlignment="1" pivotButton="0" quotePrefix="0" xfId="0">
      <alignment horizontal="left" vertical="top" wrapText="1"/>
    </xf>
    <xf numFmtId="0" fontId="0" fillId="6" borderId="1" applyAlignment="1" pivotButton="0" quotePrefix="0" xfId="0">
      <alignment horizontal="left" vertical="top" wrapText="1"/>
    </xf>
    <xf numFmtId="49" fontId="5" fillId="8" borderId="6" applyAlignment="1" pivotButton="0" quotePrefix="0" xfId="0">
      <alignment horizontal="center" vertical="top" wrapText="1"/>
    </xf>
    <xf numFmtId="0" fontId="0" fillId="0" borderId="6" pivotButton="0" quotePrefix="0" xfId="0"/>
    <xf numFmtId="49" fontId="0" fillId="3" borderId="5" applyAlignment="1" pivotButton="0" quotePrefix="0" xfId="0">
      <alignment horizontal="center" vertical="top" wrapText="1"/>
    </xf>
    <xf numFmtId="49" fontId="0" fillId="7" borderId="5" applyAlignment="1" pivotButton="0" quotePrefix="0" xfId="0">
      <alignment horizontal="center" vertical="top" wrapText="1"/>
    </xf>
    <xf numFmtId="49" fontId="0" fillId="6" borderId="5" applyAlignment="1" pivotButton="0" quotePrefix="0" xfId="0">
      <alignment horizontal="center" vertical="top" wrapText="1"/>
    </xf>
    <xf numFmtId="49" fontId="0" fillId="9" borderId="6" applyAlignment="1" pivotButton="0" quotePrefix="0" xfId="0">
      <alignment wrapText="1"/>
    </xf>
    <xf numFmtId="49" fontId="5" fillId="8" borderId="5" applyAlignment="1" pivotButton="0" quotePrefix="0" xfId="0">
      <alignment horizontal="left" vertical="top" wrapText="1"/>
    </xf>
    <xf numFmtId="49" fontId="5" fillId="8" borderId="5" applyAlignment="1" pivotButton="0" quotePrefix="0" xfId="0">
      <alignment vertical="top" wrapText="1"/>
    </xf>
    <xf numFmtId="49" fontId="0" fillId="9" borderId="1" applyAlignment="1" pivotButton="0" quotePrefix="0" xfId="0">
      <alignment wrapText="1"/>
    </xf>
    <xf numFmtId="49" fontId="0" fillId="9" borderId="10" applyAlignment="1" pivotButton="0" quotePrefix="0" xfId="0">
      <alignment wrapText="1"/>
    </xf>
    <xf numFmtId="0" fontId="0" fillId="0" borderId="18" pivotButton="0" quotePrefix="0" xfId="0"/>
    <xf numFmtId="49" fontId="5" fillId="8" borderId="1" applyAlignment="1" pivotButton="0" quotePrefix="0" xfId="0">
      <alignment vertical="top" wrapText="1"/>
    </xf>
    <xf numFmtId="49" fontId="5" fillId="8" borderId="4" applyAlignment="1" pivotButton="0" quotePrefix="0" xfId="0">
      <alignment horizontal="left" vertical="top" wrapText="1"/>
    </xf>
    <xf numFmtId="0" fontId="0" fillId="0" borderId="4" pivotButton="0" quotePrefix="0" xfId="0"/>
    <xf numFmtId="49" fontId="0" fillId="6" borderId="7" applyAlignment="1" pivotButton="0" quotePrefix="0" xfId="0">
      <alignment horizontal="left" vertical="top" wrapText="1"/>
    </xf>
    <xf numFmtId="49" fontId="0" fillId="6" borderId="5" applyAlignment="1" pivotButton="0" quotePrefix="0" xfId="0">
      <alignment horizontal="left" vertical="top" wrapText="1"/>
    </xf>
    <xf numFmtId="0" fontId="0" fillId="6" borderId="6" applyAlignment="1" pivotButton="0" quotePrefix="0" xfId="0">
      <alignment horizontal="left" vertical="top" wrapText="1"/>
    </xf>
    <xf numFmtId="0" fontId="0" fillId="6" borderId="5" applyAlignment="1" pivotButton="0" quotePrefix="0" xfId="0">
      <alignment horizontal="left" vertical="top" wrapText="1"/>
    </xf>
    <xf numFmtId="49" fontId="0" fillId="9" borderId="7" applyAlignment="1" pivotButton="0" quotePrefix="0" xfId="0">
      <alignment wrapText="1"/>
    </xf>
    <xf numFmtId="0" fontId="0" fillId="0" borderId="0" pivotButton="0" quotePrefix="0" xfId="0"/>
  </cellXfs>
  <cellStyles count="1">
    <cellStyle name="Standard"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fitToPage="1"/>
  </sheetPr>
  <dimension ref="A1:L6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overview</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C11&amp;" / "&amp;C12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80.25" customHeight="1" s="206">
      <c r="A4" s="6" t="n"/>
      <c r="B4" s="7" t="inlineStr">
        <is>
          <t>Information</t>
        </is>
      </c>
      <c r="C4" s="8" t="inlineStr">
        <is>
          <t>This column contains general values (like definitions and sources)</t>
        </is>
      </c>
      <c r="D4" s="8" t="inlineStr">
        <is>
          <t>This column is important for the correct calculation</t>
        </is>
      </c>
      <c r="E4" s="8" t="inlineStr">
        <is>
          <t>This column is important for the correct calculation</t>
        </is>
      </c>
      <c r="F4" s="8" t="inlineStr">
        <is>
          <t>This column is important for the correct calculation</t>
        </is>
      </c>
      <c r="G4" s="8" t="inlineStr">
        <is>
          <t>This column is important for the correct calculation</t>
        </is>
      </c>
      <c r="H4" s="8" t="inlineStr">
        <is>
          <t>This column only contains utilty values used to calculate the data on the left</t>
        </is>
      </c>
      <c r="I4" s="8" t="inlineStr">
        <is>
          <t>This column only contains utilty values used to calculate the data on the left</t>
        </is>
      </c>
      <c r="J4" s="8" t="inlineStr">
        <is>
          <t>This column only contains utilty values used to calculate the data on the left</t>
        </is>
      </c>
      <c r="K4" s="8" t="inlineStr">
        <is>
          <t>This column only contains utilty values used to calculate the data on the left</t>
        </is>
      </c>
      <c r="L4" s="9" t="inlineStr">
        <is>
          <t>This column only contains utilty values used to calculate the data on the left</t>
        </is>
      </c>
    </row>
    <row r="5" ht="20.1" customHeight="1" s="206">
      <c r="A5" s="10" t="n"/>
      <c r="B5" s="11" t="inlineStr">
        <is>
          <t>Editing this spreadsheet</t>
        </is>
      </c>
      <c r="C5" s="191" t="inlineStr">
        <is>
          <t>On a blue background, you can edit values and formulas</t>
        </is>
      </c>
      <c r="L5" s="13" t="n"/>
    </row>
    <row r="6" ht="20.1" customHeight="1" s="206">
      <c r="A6" s="10" t="n"/>
      <c r="B6" s="14" t="n"/>
      <c r="C6" s="190" t="inlineStr">
        <is>
          <t>On a green background, only change the formula (normally the formula should be right though)</t>
        </is>
      </c>
      <c r="L6" s="13" t="n"/>
    </row>
    <row r="7" ht="20.1" customHeight="1" s="206">
      <c r="A7" s="10" t="n"/>
      <c r="B7" s="14" t="n"/>
      <c r="C7" s="189" t="inlineStr">
        <is>
          <t>On a yellow background, don't change anything!</t>
        </is>
      </c>
      <c r="L7" s="13" t="n"/>
    </row>
    <row r="8" ht="20.1" customHeight="1" s="206">
      <c r="A8" s="15" t="n"/>
      <c r="B8" s="16" t="n"/>
      <c r="C8" s="187" t="inlineStr">
        <is>
          <t>On a dark grey background, you find important instructions</t>
        </is>
      </c>
      <c r="D8" s="188" t="n"/>
      <c r="E8" s="188" t="n"/>
      <c r="F8" s="188" t="n"/>
      <c r="G8" s="188" t="n"/>
      <c r="H8" s="188" t="n"/>
      <c r="I8" s="188" t="n"/>
      <c r="J8" s="188" t="n"/>
      <c r="K8" s="188" t="n"/>
      <c r="L8" s="13" t="n"/>
    </row>
    <row r="9" ht="20.1" customHeight="1" s="206">
      <c r="A9" s="1" t="n"/>
      <c r="B9" s="18" t="n"/>
      <c r="C9" s="19" t="n"/>
      <c r="D9" s="13" t="n"/>
      <c r="E9" s="13" t="n"/>
      <c r="F9" s="13" t="n"/>
      <c r="G9" s="13" t="n"/>
      <c r="H9" s="13" t="n"/>
      <c r="I9" s="13" t="n"/>
      <c r="J9" s="13" t="n"/>
      <c r="K9" s="13" t="n"/>
      <c r="L9" s="13" t="n"/>
    </row>
    <row r="10" ht="26.85" customHeight="1" s="206">
      <c r="A10" s="20" t="n"/>
      <c r="B10" s="21" t="inlineStr">
        <is>
          <t>Country</t>
        </is>
      </c>
      <c r="C10" s="178" t="n"/>
      <c r="D10" s="177" t="n"/>
      <c r="E10" s="177" t="n"/>
      <c r="F10" s="177" t="n"/>
      <c r="G10" s="177" t="n"/>
      <c r="H10" s="177" t="n"/>
      <c r="I10" s="177" t="n"/>
      <c r="J10" s="177" t="n"/>
      <c r="K10" s="177" t="n"/>
      <c r="L10" s="22" t="n"/>
    </row>
    <row r="11" ht="20.1" customHeight="1" s="206">
      <c r="A11" s="2" t="inlineStr">
        <is>
          <t>na</t>
        </is>
      </c>
      <c r="B11" s="23" t="inlineStr">
        <is>
          <t>Acronym (e.g. "DE")</t>
        </is>
      </c>
      <c r="C11" s="176" t="inlineStr">
        <is>
          <t>GB</t>
        </is>
      </c>
      <c r="D11" s="177" t="n"/>
      <c r="E11" s="177" t="n"/>
      <c r="F11" s="177" t="n"/>
      <c r="G11" s="177" t="n"/>
      <c r="H11" s="177" t="n"/>
      <c r="I11" s="177" t="n"/>
      <c r="J11" s="177" t="n"/>
      <c r="K11" s="177" t="n"/>
      <c r="L11" s="13" t="n"/>
    </row>
    <row r="12" ht="20.1" customHeight="1" s="206">
      <c r="A12" s="2" t="inlineStr">
        <is>
          <t>nn</t>
        </is>
      </c>
      <c r="B12" s="23" t="inlineStr">
        <is>
          <t>Name</t>
        </is>
      </c>
      <c r="C12" s="176" t="inlineStr">
        <is>
          <t>United Kingdom of Great Britain and Northern Ireland</t>
        </is>
      </c>
      <c r="D12" s="177" t="n"/>
      <c r="E12" s="177" t="n"/>
      <c r="F12" s="177" t="n"/>
      <c r="G12" s="177" t="n"/>
      <c r="H12" s="177" t="n"/>
      <c r="I12" s="177" t="n"/>
      <c r="J12" s="177" t="n"/>
      <c r="K12" s="177" t="n"/>
      <c r="L12" s="13" t="n"/>
    </row>
    <row r="13" ht="20.1" customHeight="1" s="206">
      <c r="A13" s="2" t="inlineStr">
        <is>
          <t>nd</t>
        </is>
      </c>
      <c r="B13" s="23" t="inlineStr">
        <is>
          <t>Date when the sheets were generated</t>
        </is>
      </c>
      <c r="C13" s="176" t="inlineStr">
        <is>
          <t>2026-05-25 17:03</t>
        </is>
      </c>
      <c r="D13" s="177" t="n"/>
      <c r="E13" s="177" t="n"/>
      <c r="F13" s="177" t="n"/>
      <c r="G13" s="177" t="n"/>
      <c r="H13" s="177" t="n"/>
      <c r="I13" s="177" t="n"/>
      <c r="J13" s="177" t="n"/>
      <c r="K13" s="177" t="n"/>
      <c r="L13" s="13" t="n"/>
    </row>
    <row r="14" ht="20.1" customHeight="1" s="206">
      <c r="A14" s="1" t="n"/>
      <c r="B14" s="18" t="n"/>
      <c r="C14" s="19" t="n"/>
      <c r="D14" s="13" t="n"/>
      <c r="E14" s="13" t="n"/>
      <c r="F14" s="13" t="n"/>
      <c r="G14" s="13" t="n"/>
      <c r="H14" s="13" t="n"/>
      <c r="I14" s="13" t="n"/>
      <c r="J14" s="13" t="n"/>
      <c r="K14" s="13" t="n"/>
      <c r="L14" s="13" t="n"/>
    </row>
    <row r="15" ht="26.85" customHeight="1" s="206">
      <c r="A15" s="20" t="n"/>
      <c r="B15" s="21" t="inlineStr">
        <is>
          <t>Estimation</t>
        </is>
      </c>
      <c r="C15" s="179" t="inlineStr">
        <is>
          <t>This is an estimation of the tipping point</t>
        </is>
      </c>
      <c r="D15" s="177" t="n"/>
      <c r="E15" s="177" t="n"/>
      <c r="F15" s="177" t="n"/>
      <c r="G15" s="177" t="n"/>
      <c r="H15" s="177" t="n"/>
      <c r="I15" s="177" t="n"/>
      <c r="J15" s="177" t="n"/>
      <c r="K15" s="177" t="n"/>
      <c r="L15" s="22" t="n"/>
    </row>
    <row r="16" ht="20.1" customHeight="1" s="206">
      <c r="A16" s="24" t="n"/>
      <c r="B16" s="25" t="n"/>
      <c r="C16" s="26" t="n"/>
      <c r="D16" s="26" t="n"/>
      <c r="E16" s="26" t="n"/>
      <c r="F16" s="26" t="n"/>
      <c r="G16" s="26" t="n"/>
      <c r="H16" s="13" t="n"/>
      <c r="I16" s="13" t="n"/>
      <c r="J16" s="13" t="n"/>
      <c r="K16" s="13" t="n"/>
      <c r="L16" s="13" t="n"/>
    </row>
    <row r="17" ht="20.1" customHeight="1" s="206">
      <c r="A17" s="10" t="n"/>
      <c r="B17" s="11" t="inlineStr">
        <is>
          <t>Current population</t>
        </is>
      </c>
      <c r="C17" s="27">
        <f t="array" ref="C17">H17+I17</f>
        <v/>
      </c>
      <c r="D17" s="28">
        <f t="array" ref="D17">C34</f>
        <v/>
      </c>
      <c r="E17" s="180" t="inlineStr">
        <is>
          <t>pn, pm</t>
        </is>
      </c>
      <c r="H17" s="29">
        <f t="array" ref="H17">population!H109</f>
        <v/>
      </c>
      <c r="I17" s="29">
        <f t="array" ref="I17">population!I109</f>
        <v/>
      </c>
      <c r="J17" s="13" t="n"/>
      <c r="K17" s="13" t="n"/>
      <c r="L17" s="13" t="n"/>
    </row>
    <row r="18" ht="20.1" customHeight="1" s="206">
      <c r="A18" s="15" t="n"/>
      <c r="B18" s="30" t="inlineStr">
        <is>
          <t>Gap native - migrant</t>
        </is>
      </c>
      <c r="C18" s="31">
        <f t="array" ref="C18">H17-I17</f>
        <v/>
      </c>
      <c r="D18" s="32">
        <f t="array" ref="D18">C18/C17</f>
        <v/>
      </c>
      <c r="E18" s="17" t="n"/>
      <c r="F18" s="17" t="n"/>
      <c r="G18" s="17" t="n"/>
      <c r="H18" s="13" t="n"/>
      <c r="I18" s="13" t="n"/>
      <c r="J18" s="13" t="n"/>
      <c r="K18" s="13" t="n"/>
      <c r="L18" s="13" t="n"/>
    </row>
    <row r="19" ht="20.1" customHeight="1" s="206">
      <c r="A19" s="1" t="n"/>
      <c r="B19" s="23" t="inlineStr">
        <is>
          <t>Birth / year according to population</t>
        </is>
      </c>
      <c r="C19" s="13" t="n"/>
      <c r="D19" s="13" t="n"/>
      <c r="E19" s="13" t="n"/>
      <c r="F19" s="13" t="n"/>
      <c r="G19" s="13" t="n"/>
      <c r="H19" s="29">
        <f t="array" ref="H19">population!H9</f>
        <v/>
      </c>
      <c r="I19" s="29">
        <f t="array" ref="I19">population!I9</f>
        <v/>
      </c>
      <c r="J19" s="13" t="n"/>
      <c r="K19" s="13" t="n"/>
      <c r="L19" s="13" t="n"/>
    </row>
    <row r="20" ht="20.1" customHeight="1" s="206">
      <c r="A20" s="24" t="n"/>
      <c r="B20" s="33" t="inlineStr">
        <is>
          <t>Birth / year according to fertility</t>
        </is>
      </c>
      <c r="C20" s="26" t="n"/>
      <c r="D20" s="26" t="n"/>
      <c r="E20" s="26" t="n"/>
      <c r="F20" s="26" t="n"/>
      <c r="G20" s="26" t="n"/>
      <c r="H20" s="29">
        <f t="array" ref="H20">births!H11</f>
        <v/>
      </c>
      <c r="I20" s="29">
        <f t="array" ref="I20">births!I11</f>
        <v/>
      </c>
      <c r="J20" s="13" t="n"/>
      <c r="K20" s="13" t="n"/>
      <c r="L20" s="13" t="n"/>
    </row>
    <row r="21" ht="20.1" customHeight="1" s="206">
      <c r="A21" s="10" t="n"/>
      <c r="B21" s="11" t="inlineStr">
        <is>
          <t>Birth / year used for estimation</t>
        </is>
      </c>
      <c r="C21" s="12" t="n"/>
      <c r="D21" s="180" t="inlineStr">
        <is>
          <t>We prefer the number of births according to the fertility</t>
        </is>
      </c>
      <c r="H21" s="29">
        <f t="array" ref="H21">IF(ISNUMBER(H20),H20,H19)</f>
        <v/>
      </c>
      <c r="I21" s="29">
        <f t="array" ref="I21">IF(ISNUMBER(I20),I20,I19)</f>
        <v/>
      </c>
      <c r="J21" s="13" t="n"/>
      <c r="K21" s="13" t="n"/>
      <c r="L21" s="13" t="n"/>
    </row>
    <row r="22" ht="20.1" customHeight="1" s="206">
      <c r="A22" s="15" t="n"/>
      <c r="B22" s="30" t="inlineStr">
        <is>
          <t>Deaths / year</t>
        </is>
      </c>
      <c r="C22" s="17" t="n"/>
      <c r="D22" s="17" t="n"/>
      <c r="E22" s="17" t="n"/>
      <c r="F22" s="17" t="n"/>
      <c r="G22" s="17" t="n"/>
      <c r="H22" s="29">
        <f t="array" ref="H22">-deaths!H107</f>
        <v/>
      </c>
      <c r="I22" s="29">
        <f t="array" ref="I22">-deaths!I107</f>
        <v/>
      </c>
      <c r="J22" s="13" t="n"/>
      <c r="K22" s="13" t="n"/>
      <c r="L22" s="13" t="n"/>
    </row>
    <row r="23" ht="20.1" customHeight="1" s="206">
      <c r="A23" s="24" t="n"/>
      <c r="B23" s="33" t="inlineStr">
        <is>
          <t>Migration balance / year</t>
        </is>
      </c>
      <c r="C23" s="26" t="n"/>
      <c r="D23" s="26" t="n"/>
      <c r="E23" s="26" t="n"/>
      <c r="F23" s="26" t="n"/>
      <c r="G23" s="26" t="n"/>
      <c r="H23" s="29">
        <f t="array" ref="H23">migration!H9</f>
        <v/>
      </c>
      <c r="I23" s="29">
        <f t="array" ref="I23">migration!I9</f>
        <v/>
      </c>
      <c r="J23" s="13" t="n"/>
      <c r="K23" s="13" t="n"/>
      <c r="L23" s="13" t="n"/>
    </row>
    <row r="24" ht="20.1" customHeight="1" s="206">
      <c r="A24" s="10" t="n"/>
      <c r="B24" s="11" t="inlineStr">
        <is>
          <t>Population delta / year</t>
        </is>
      </c>
      <c r="C24" s="27">
        <f t="array" ref="C24">I24-H24</f>
        <v/>
      </c>
      <c r="D24" s="28">
        <f t="array" ref="D24">C24/C17</f>
        <v/>
      </c>
      <c r="E24" s="180" t="inlineStr">
        <is>
          <t>dn, dm</t>
        </is>
      </c>
      <c r="H24" s="29">
        <f t="array" ref="H24">H21+H22+H23</f>
        <v/>
      </c>
      <c r="I24" s="29">
        <f t="array" ref="I24">I21+I22+I23</f>
        <v/>
      </c>
      <c r="J24" s="13" t="n"/>
      <c r="K24" s="13" t="n"/>
      <c r="L24" s="13" t="n"/>
    </row>
    <row r="25" ht="20.1" customHeight="1" s="206">
      <c r="A25" s="10" t="n"/>
      <c r="B25" s="14" t="n"/>
      <c r="C25" s="12" t="n"/>
      <c r="D25" s="12" t="n"/>
      <c r="E25" s="12" t="n"/>
      <c r="F25" s="12" t="n"/>
      <c r="G25" s="12" t="n"/>
      <c r="H25" s="13" t="n"/>
      <c r="I25" s="13" t="n"/>
      <c r="J25" s="13" t="n"/>
      <c r="K25" s="13" t="n"/>
      <c r="L25" s="13" t="n"/>
    </row>
    <row r="26" ht="32.1" customHeight="1" s="206">
      <c r="A26" s="10" t="n"/>
      <c r="B26" s="11" t="inlineStr">
        <is>
          <t>Years until  33% share of migrants</t>
        </is>
      </c>
      <c r="C26" s="34">
        <f t="array" ref="C26">(H$17-2*I$17)/(2*I$24-H$24)</f>
        <v/>
      </c>
      <c r="D26" s="183" t="inlineStr">
        <is>
          <t>y = (pn - 2*pm) / (2*dm - dn)</t>
        </is>
      </c>
      <c r="H26" s="13" t="n"/>
      <c r="I26" s="13" t="n"/>
      <c r="J26" s="13" t="n"/>
      <c r="K26" s="13" t="n"/>
      <c r="L26" s="13" t="n"/>
    </row>
    <row r="27" ht="32.1" customHeight="1" s="206">
      <c r="A27" s="10" t="n"/>
      <c r="B27" s="11" t="inlineStr">
        <is>
          <t>Estimated tipping point for  33% share of migrants</t>
        </is>
      </c>
      <c r="C27" s="27">
        <f t="array" ref="C27">C$33+C26</f>
        <v/>
      </c>
      <c r="D27" s="12" t="n"/>
      <c r="E27" s="12" t="n"/>
      <c r="F27" s="12" t="n"/>
      <c r="G27" s="12" t="n"/>
      <c r="H27" s="13" t="n"/>
      <c r="I27" s="13" t="n"/>
      <c r="J27" s="13" t="n"/>
      <c r="K27" s="13" t="n"/>
      <c r="L27" s="13" t="n"/>
    </row>
    <row r="28" ht="32.1" customHeight="1" s="206">
      <c r="A28" s="10" t="n"/>
      <c r="B28" s="11" t="inlineStr">
        <is>
          <t>Years until  50% share of migrants</t>
        </is>
      </c>
      <c r="C28" s="34">
        <f t="array" ref="C28">(H$17-I$17)/(I$24-H$24)</f>
        <v/>
      </c>
      <c r="D28" s="183" t="inlineStr">
        <is>
          <t>y = (pn - pm) / (dm - dn)</t>
        </is>
      </c>
      <c r="H28" s="13" t="n"/>
      <c r="I28" s="13" t="n"/>
      <c r="J28" s="13" t="n"/>
      <c r="K28" s="13" t="n"/>
      <c r="L28" s="13" t="n"/>
    </row>
    <row r="29" ht="32.1" customHeight="1" s="206">
      <c r="A29" s="15" t="n"/>
      <c r="B29" s="30" t="inlineStr">
        <is>
          <t>Estimated tipping point for  50% share of migrants</t>
        </is>
      </c>
      <c r="C29" s="31">
        <f t="array" ref="C29">C$33+C28</f>
        <v/>
      </c>
      <c r="D29" s="17" t="n"/>
      <c r="E29" s="17" t="n"/>
      <c r="F29" s="17" t="n"/>
      <c r="G29" s="17" t="n"/>
      <c r="H29" s="13" t="n"/>
      <c r="I29" s="13" t="n"/>
      <c r="J29" s="13" t="n"/>
      <c r="K29" s="13" t="n"/>
      <c r="L29" s="13" t="n"/>
    </row>
    <row r="30" ht="20.1" customHeight="1" s="206">
      <c r="A30" s="1" t="n"/>
      <c r="B30" s="18" t="n"/>
      <c r="C30" s="13" t="n"/>
      <c r="D30" s="13" t="n"/>
      <c r="E30" s="13" t="n"/>
      <c r="F30" s="13" t="n"/>
      <c r="G30" s="13" t="n"/>
      <c r="H30" s="13" t="n"/>
      <c r="I30" s="13" t="n"/>
      <c r="J30" s="13" t="n"/>
      <c r="K30" s="13" t="n"/>
      <c r="L30" s="13" t="n"/>
    </row>
    <row r="31" ht="26.85" customHeight="1" s="206">
      <c r="A31" s="20" t="n"/>
      <c r="B31" s="21" t="inlineStr">
        <is>
          <t>Indicators</t>
        </is>
      </c>
      <c r="C31" s="179" t="inlineStr">
        <is>
          <t>This indicators are used to find differences between countries and thus show where the data collection might be wrong</t>
        </is>
      </c>
      <c r="D31" s="177" t="n"/>
      <c r="E31" s="177" t="n"/>
      <c r="F31" s="177" t="n"/>
      <c r="G31" s="177" t="n"/>
      <c r="H31" s="177" t="n"/>
      <c r="I31" s="177" t="n"/>
      <c r="J31" s="177" t="n"/>
      <c r="K31" s="177" t="n"/>
      <c r="L31" s="22" t="n"/>
    </row>
    <row r="32" ht="20.1" customHeight="1" s="206">
      <c r="A32" s="1" t="n"/>
      <c r="B32" s="18" t="n"/>
      <c r="C32" s="13" t="n"/>
      <c r="D32" s="13" t="n"/>
      <c r="E32" s="13" t="n"/>
      <c r="F32" s="13" t="n"/>
      <c r="G32" s="13" t="n"/>
      <c r="H32" s="13" t="n"/>
      <c r="I32" s="13" t="n"/>
      <c r="J32" s="13" t="n"/>
      <c r="K32" s="13" t="n"/>
      <c r="L32" s="13" t="n"/>
    </row>
    <row r="33" ht="20.1" customHeight="1" s="206">
      <c r="A33" s="1" t="n"/>
      <c r="B33" s="23" t="inlineStr">
        <is>
          <t>Year of the population numbers</t>
        </is>
      </c>
      <c r="C33" s="29">
        <f t="array" ref="C33">population!C7</f>
        <v/>
      </c>
      <c r="D33" s="13" t="n"/>
      <c r="E33" s="13" t="n"/>
      <c r="F33" s="13" t="n"/>
      <c r="G33" s="13" t="n"/>
      <c r="H33" s="13" t="n"/>
      <c r="I33" s="13" t="n"/>
      <c r="J33" s="13" t="n"/>
      <c r="K33" s="13" t="n"/>
      <c r="L33" s="13" t="n"/>
    </row>
    <row r="34" ht="20.1" customHeight="1" s="206">
      <c r="A34" s="24" t="n"/>
      <c r="B34" s="33" t="inlineStr">
        <is>
          <t>Share of migrant population</t>
        </is>
      </c>
      <c r="C34" s="35">
        <f t="array" ref="C34">population!I109/population!C109</f>
        <v/>
      </c>
      <c r="D34" s="181" t="inlineStr">
        <is>
          <t>&gt; 20% normally</t>
        </is>
      </c>
      <c r="E34" s="182" t="n"/>
      <c r="F34" s="182" t="n"/>
      <c r="G34" s="182" t="n"/>
      <c r="H34" s="13" t="n"/>
      <c r="I34" s="13" t="n"/>
      <c r="J34" s="13" t="n"/>
      <c r="K34" s="13" t="n"/>
      <c r="L34" s="13" t="n"/>
    </row>
    <row r="35" ht="20.1" customHeight="1" s="206">
      <c r="A35" s="10" t="n"/>
      <c r="B35" s="11" t="inlineStr">
        <is>
          <t>Births per 1 mio. women (15-49)</t>
        </is>
      </c>
      <c r="C35" s="28">
        <f t="array" ref="C35">I35/H35-1</f>
        <v/>
      </c>
      <c r="D35" s="183" t="inlineStr">
        <is>
          <t>&gt; 30% normally</t>
        </is>
      </c>
      <c r="H35" s="36">
        <f t="array" ref="H35">births!H11/births!D9*1000000</f>
        <v/>
      </c>
      <c r="I35" s="36">
        <f t="array" ref="I35">births!I11/births!F9*1000000</f>
        <v/>
      </c>
      <c r="J35" s="13" t="n"/>
      <c r="K35" s="13" t="n"/>
      <c r="L35" s="13" t="n"/>
    </row>
    <row r="36" ht="20.1" customHeight="1" s="206">
      <c r="A36" s="10" t="n"/>
      <c r="B36" s="11" t="inlineStr">
        <is>
          <t>Births per 1 mio. population</t>
        </is>
      </c>
      <c r="C36" s="28">
        <f t="array" ref="C36">I36/H36-1</f>
        <v/>
      </c>
      <c r="D36" s="183" t="inlineStr">
        <is>
          <t>&gt; 50% normally due to younger migrant population</t>
        </is>
      </c>
      <c r="H36" s="27">
        <f t="array" ref="H36">births!H11/population!H109*1000000</f>
        <v/>
      </c>
      <c r="I36" s="27">
        <f t="array" ref="I36">births!I11/population!I109*1000000</f>
        <v/>
      </c>
      <c r="J36" s="13" t="n"/>
      <c r="K36" s="13" t="n"/>
      <c r="L36" s="13" t="n"/>
    </row>
    <row r="37" ht="20.1" customHeight="1" s="206">
      <c r="A37" s="10" t="n"/>
      <c r="B37" s="11" t="inlineStr">
        <is>
          <t>Deaths per 1 mio. population</t>
        </is>
      </c>
      <c r="C37" s="28">
        <f t="array" ref="C37">I37/H37-1</f>
        <v/>
      </c>
      <c r="D37" s="183" t="inlineStr">
        <is>
          <t>&lt; 0% normally due to younger migrant population</t>
        </is>
      </c>
      <c r="H37" s="27">
        <f t="array" ref="H37">deaths!H$107/population!H$109*1000000</f>
        <v/>
      </c>
      <c r="I37" s="27">
        <f t="array" ref="I37">deaths!I$107/population!I$109*1000000</f>
        <v/>
      </c>
      <c r="J37" s="13" t="n"/>
      <c r="K37" s="13" t="n"/>
      <c r="L37" s="13" t="n"/>
    </row>
    <row r="38" ht="20.1" customHeight="1" s="206">
      <c r="A38" s="10" t="n"/>
      <c r="B38" s="11" t="inlineStr">
        <is>
          <t>Migration balance per 1 mio. of group</t>
        </is>
      </c>
      <c r="C38" s="12" t="n"/>
      <c r="D38" s="12" t="n"/>
      <c r="E38" s="12" t="n"/>
      <c r="F38" s="12" t="n"/>
      <c r="G38" s="12" t="n"/>
      <c r="H38" s="27">
        <f t="array" ref="H38">migration!H111/population!H109*1000000</f>
        <v/>
      </c>
      <c r="I38" s="27">
        <f t="array" ref="I38">migration!I111/population!I109*1000000</f>
        <v/>
      </c>
      <c r="J38" s="13" t="n"/>
      <c r="K38" s="13" t="n"/>
      <c r="L38" s="13" t="n"/>
    </row>
    <row r="39" ht="20.1" customHeight="1" s="206">
      <c r="A39" s="10" t="n"/>
      <c r="B39" s="11" t="inlineStr">
        <is>
          <t>Migration balance in % of population</t>
        </is>
      </c>
      <c r="C39" s="12" t="n"/>
      <c r="D39" s="12" t="n"/>
      <c r="E39" s="12" t="n"/>
      <c r="F39" s="12" t="n"/>
      <c r="G39" s="12" t="n"/>
      <c r="H39" s="37">
        <f t="array" ref="H39">migration!H111/population!C109</f>
        <v/>
      </c>
      <c r="I39" s="37">
        <f t="array" ref="I39">migration!I111/population!D109</f>
        <v/>
      </c>
      <c r="J39" s="13" t="n"/>
      <c r="K39" s="13" t="n"/>
      <c r="L39" s="13" t="n"/>
    </row>
    <row r="40" ht="20.1" customHeight="1" s="206">
      <c r="A40" s="15" t="n"/>
      <c r="B40" s="16" t="n"/>
      <c r="C40" s="17" t="n"/>
      <c r="D40" s="17" t="n"/>
      <c r="E40" s="17" t="n"/>
      <c r="F40" s="17" t="n"/>
      <c r="G40" s="17" t="n"/>
      <c r="H40" s="17" t="n"/>
      <c r="I40" s="17" t="n"/>
      <c r="J40" s="13" t="n"/>
      <c r="K40" s="13" t="n"/>
      <c r="L40" s="13" t="n"/>
    </row>
    <row r="41" ht="20.1" customHeight="1" s="206">
      <c r="A41" s="1" t="n"/>
      <c r="B41" s="18" t="n"/>
      <c r="C41" s="13" t="n"/>
      <c r="D41" s="13" t="n"/>
      <c r="E41" s="13" t="n"/>
      <c r="F41" s="13" t="n"/>
      <c r="G41" s="13" t="n"/>
      <c r="H41" s="13" t="n"/>
      <c r="I41" s="13" t="n"/>
      <c r="J41" s="13" t="n"/>
      <c r="K41" s="13" t="n"/>
      <c r="L41" s="13" t="n"/>
    </row>
    <row r="42" ht="20.1" customHeight="1" s="206">
      <c r="A42" s="1" t="n"/>
      <c r="B42" s="18" t="n"/>
      <c r="C42" s="13" t="n"/>
      <c r="D42" s="13" t="n"/>
      <c r="E42" s="13" t="n"/>
      <c r="F42" s="13" t="n"/>
      <c r="G42" s="13" t="n"/>
      <c r="H42" s="13" t="n"/>
      <c r="I42" s="13" t="n"/>
      <c r="J42" s="13" t="n"/>
      <c r="K42" s="13" t="n"/>
      <c r="L42" s="13" t="n"/>
    </row>
    <row r="43" ht="20.1" customHeight="1" s="206">
      <c r="A43" s="1" t="n"/>
      <c r="B43" s="18" t="n"/>
      <c r="C43" s="13" t="n"/>
      <c r="D43" s="13" t="n"/>
      <c r="E43" s="13" t="n"/>
      <c r="F43" s="13" t="n"/>
      <c r="G43" s="13" t="n"/>
      <c r="H43" s="13" t="n"/>
      <c r="I43" s="13" t="n"/>
      <c r="J43" s="13" t="n"/>
      <c r="K43" s="13" t="n"/>
      <c r="L43" s="13" t="n"/>
    </row>
    <row r="44" ht="20.1" customHeight="1" s="206">
      <c r="A44" s="1" t="n"/>
      <c r="B44" s="18" t="n"/>
      <c r="C44" s="13" t="n"/>
      <c r="D44" s="13" t="n"/>
      <c r="E44" s="13" t="n"/>
      <c r="F44" s="13" t="n"/>
      <c r="G44" s="13" t="n"/>
      <c r="H44" s="13" t="n"/>
      <c r="I44" s="13" t="n"/>
      <c r="J44" s="13" t="n"/>
      <c r="K44" s="13" t="n"/>
      <c r="L44" s="13" t="n"/>
    </row>
    <row r="45" ht="20.1" customHeight="1" s="206">
      <c r="A45" s="1" t="n"/>
      <c r="B45" s="18" t="n"/>
      <c r="C45" s="13" t="n"/>
      <c r="D45" s="13" t="n"/>
      <c r="E45" s="13" t="n"/>
      <c r="F45" s="13" t="n"/>
      <c r="G45" s="13" t="n"/>
      <c r="H45" s="13" t="n"/>
      <c r="I45" s="13" t="n"/>
      <c r="J45" s="13" t="n"/>
      <c r="K45" s="13" t="n"/>
      <c r="L45" s="13" t="n"/>
    </row>
    <row r="46" ht="20.1" customHeight="1" s="206">
      <c r="A46" s="1" t="n"/>
      <c r="B46" s="18" t="n"/>
      <c r="C46" s="13" t="n"/>
      <c r="D46" s="13" t="n"/>
      <c r="E46" s="13" t="n"/>
      <c r="F46" s="13" t="n"/>
      <c r="G46" s="13" t="n"/>
      <c r="H46" s="13" t="n"/>
      <c r="I46" s="13" t="n"/>
      <c r="J46" s="13" t="n"/>
      <c r="K46" s="13" t="n"/>
      <c r="L46" s="13" t="n"/>
    </row>
    <row r="47" ht="26.85" customHeight="1" s="206">
      <c r="A47" s="20" t="n"/>
      <c r="B47" s="21" t="inlineStr">
        <is>
          <t>Migration Background</t>
        </is>
      </c>
      <c r="C47" s="179" t="inlineStr">
        <is>
          <t>How is the "Migration Background" defined in this country?</t>
        </is>
      </c>
      <c r="D47" s="177" t="n"/>
      <c r="E47" s="177" t="n"/>
      <c r="F47" s="177" t="n"/>
      <c r="G47" s="177" t="n"/>
      <c r="H47" s="177" t="n"/>
      <c r="I47" s="177" t="n"/>
      <c r="J47" s="177" t="n"/>
      <c r="K47" s="177" t="n"/>
      <c r="L47" s="22" t="n"/>
    </row>
    <row r="48" ht="20.1" customHeight="1" s="206">
      <c r="A48" s="24" t="n"/>
      <c r="B48" s="18" t="n"/>
      <c r="C48" s="13" t="n"/>
      <c r="D48" s="13" t="n"/>
      <c r="E48" s="13" t="n"/>
      <c r="F48" s="13" t="n"/>
      <c r="G48" s="13" t="n"/>
      <c r="H48" s="13" t="n"/>
      <c r="I48" s="13" t="n"/>
      <c r="J48" s="13" t="n"/>
      <c r="K48" s="13" t="n"/>
      <c r="L48" s="13" t="n"/>
    </row>
    <row r="49" ht="20.1" customHeight="1" s="206">
      <c r="A49" s="38" t="inlineStr">
        <is>
          <t>i</t>
        </is>
      </c>
      <c r="B49" s="23" t="inlineStr">
        <is>
          <t>Definition of the 'migration background'</t>
        </is>
      </c>
      <c r="C49" s="186" t="inlineStr">
        <is>
          <t>Foreign-born (born outside the UK) = Migrant; UK-born = Native</t>
        </is>
      </c>
      <c r="D49" s="177" t="n"/>
      <c r="E49" s="177" t="n"/>
      <c r="F49" s="177" t="n"/>
      <c r="G49" s="177" t="n"/>
      <c r="H49" s="177" t="n"/>
      <c r="I49" s="177" t="n"/>
      <c r="J49" s="177" t="n"/>
      <c r="K49" s="177" t="n"/>
      <c r="L49" s="13" t="n"/>
    </row>
    <row r="50" ht="20.1" customHeight="1" s="206">
      <c r="A50" s="10" t="n"/>
      <c r="B50" s="18" t="n"/>
      <c r="C50" s="13" t="n"/>
      <c r="D50" s="13" t="n"/>
      <c r="E50" s="13" t="n"/>
      <c r="F50" s="13" t="n"/>
      <c r="G50" s="13" t="n"/>
      <c r="H50" s="13" t="n"/>
      <c r="I50" s="13" t="n"/>
      <c r="J50" s="13" t="n"/>
      <c r="K50" s="13" t="n"/>
      <c r="L50" s="13" t="n"/>
    </row>
    <row r="51" ht="20.1" customHeight="1" s="206">
      <c r="A51" s="38" t="inlineStr">
        <is>
          <t>is</t>
        </is>
      </c>
      <c r="B51" s="23" t="inlineStr">
        <is>
          <t>Source of the data (verbal)</t>
        </is>
      </c>
      <c r="C51" s="184" t="inlineStr">
        <is>
          <t>https://www.ons.gov.uk/peoplepopulationandcommunity/populationandmigration/internationalmigration/bulletins/ukpopulationbycountryofbirthandnationality; downloaded 2026-04-13</t>
        </is>
      </c>
      <c r="D51" s="177" t="n"/>
      <c r="E51" s="177" t="n"/>
      <c r="F51" s="177" t="n"/>
      <c r="G51" s="177" t="n"/>
      <c r="H51" s="177" t="n"/>
      <c r="I51" s="177" t="n"/>
      <c r="J51" s="177" t="n"/>
      <c r="K51" s="177" t="n"/>
      <c r="L51" s="13" t="n"/>
    </row>
    <row r="52" ht="20.1" customHeight="1" s="206">
      <c r="A52" s="15" t="n"/>
      <c r="B52" s="23" t="inlineStr">
        <is>
          <t>URLs, where the data was found</t>
        </is>
      </c>
      <c r="C52" s="185" t="inlineStr">
        <is>
          <t>https://www.statistik.at/statistiken/bevoelkerung-und-soziales/bevoelkerung/migration-und-einbuergerung/migrationshintergrund, https://www.statistik.at/fileadmin/pages/435/Tabellensammlung_Migrationshintergrund_2025.ods, https://www.statistik.at/fileadmin/publications/Migration-Integration_2025.pdf</t>
        </is>
      </c>
      <c r="D52" s="177" t="n"/>
      <c r="E52" s="177" t="n"/>
      <c r="F52" s="177" t="n"/>
      <c r="G52" s="177" t="n"/>
      <c r="H52" s="177" t="n"/>
      <c r="I52" s="177" t="n"/>
      <c r="J52" s="177" t="n"/>
      <c r="K52" s="177" t="n"/>
      <c r="L52" s="13" t="n"/>
    </row>
    <row r="53" ht="20.1" customHeight="1" s="206">
      <c r="A53" s="24" t="n"/>
      <c r="B53" s="33" t="inlineStr">
        <is>
          <t>Date, when the data was downloaded</t>
        </is>
      </c>
      <c r="C53" s="185" t="inlineStr">
        <is>
          <t>2026-05-20</t>
        </is>
      </c>
      <c r="D53" s="177" t="n"/>
      <c r="E53" s="177" t="n"/>
      <c r="F53" s="177" t="n"/>
      <c r="G53" s="177" t="n"/>
      <c r="H53" s="177" t="n"/>
      <c r="I53" s="177" t="n"/>
      <c r="J53" s="177" t="n"/>
      <c r="K53" s="177" t="n"/>
      <c r="L53" s="13" t="n"/>
    </row>
    <row r="54" ht="20.1" customHeight="1" s="206">
      <c r="A54" s="10" t="n"/>
      <c r="B54" s="11" t="inlineStr">
        <is>
          <t>Manual remarks (not for AI!)</t>
        </is>
      </c>
      <c r="C54" s="186" t="n"/>
      <c r="D54" s="177" t="n"/>
      <c r="E54" s="177" t="n"/>
      <c r="F54" s="177" t="n"/>
      <c r="G54" s="177" t="n"/>
      <c r="H54" s="177" t="n"/>
      <c r="I54" s="177" t="n"/>
      <c r="J54" s="177" t="n"/>
      <c r="K54" s="177" t="n"/>
      <c r="L54" s="13" t="n"/>
    </row>
    <row r="55" ht="20.1" customHeight="1" s="206">
      <c r="A55" s="10" t="n"/>
      <c r="B55" s="11" t="inlineStr">
        <is>
          <t>Remarks of the AI (e.g. calculation)</t>
        </is>
      </c>
      <c r="C55" s="186" t="inlineStr">
        <is>
          <t>MH-Anteil gesamt 2025 (Mikrozensus-Jahresdurchschnitt): 28,2 % (2.553,6 von 9.043,7 Tsd. in Privathaushalten). Davon 1. Generation 1.901,2 Tsd., 2. Generation 652,4 Tsd. Für die Pop-Aufschlüsselung wurde der MH-Anteil pro 5-Jahres-Altersgruppe × Geschlecht auf die POPREG-Einzelaltersstruktur (Stichtag 01.01.2025) angewandt. Siehe population!B115 für Methodik-Details.</t>
        </is>
      </c>
      <c r="D55" s="177" t="n"/>
      <c r="E55" s="177" t="n"/>
      <c r="F55" s="177" t="n"/>
      <c r="G55" s="177" t="n"/>
      <c r="H55" s="177" t="n"/>
      <c r="I55" s="177" t="n"/>
      <c r="J55" s="177" t="n"/>
      <c r="K55" s="177" t="n"/>
      <c r="L55" s="13" t="n"/>
    </row>
    <row r="56" ht="20.1" customHeight="1" s="206">
      <c r="A56" s="10" t="n"/>
      <c r="B56" s="11" t="inlineStr">
        <is>
          <t>Internal remarks</t>
        </is>
      </c>
      <c r="C56" s="186" t="n"/>
      <c r="D56" s="177" t="n"/>
      <c r="E56" s="177" t="n"/>
      <c r="F56" s="177" t="n"/>
      <c r="G56" s="177" t="n"/>
      <c r="H56" s="177" t="n"/>
      <c r="I56" s="177" t="n"/>
      <c r="J56" s="177" t="n"/>
      <c r="K56" s="177" t="n"/>
      <c r="L56" s="13" t="n"/>
    </row>
    <row r="57" ht="20.1" customHeight="1" s="206">
      <c r="A57" s="15" t="n"/>
      <c r="B57" s="16" t="n"/>
      <c r="C57" s="13" t="n"/>
      <c r="D57" s="13" t="n"/>
      <c r="E57" s="13" t="n"/>
      <c r="F57" s="13" t="n"/>
      <c r="G57" s="13" t="n"/>
      <c r="H57" s="13" t="n"/>
      <c r="I57" s="13" t="n"/>
      <c r="J57" s="13" t="n"/>
      <c r="K57" s="13" t="n"/>
      <c r="L57" s="13" t="n"/>
    </row>
    <row r="58" ht="26.85" customHeight="1" s="206">
      <c r="A58" s="20" t="n"/>
      <c r="B58" s="21" t="inlineStr">
        <is>
          <t>Life Expectancy</t>
        </is>
      </c>
      <c r="C58" s="179" t="inlineStr">
        <is>
          <t>What is the avarage life expectancy in this country?</t>
        </is>
      </c>
      <c r="D58" s="177" t="n"/>
      <c r="E58" s="177" t="n"/>
      <c r="F58" s="177" t="n"/>
      <c r="G58" s="177" t="n"/>
      <c r="H58" s="177" t="n"/>
      <c r="I58" s="177" t="n"/>
      <c r="J58" s="177" t="n"/>
      <c r="K58" s="177" t="n"/>
      <c r="L58" s="22" t="n"/>
    </row>
    <row r="59" ht="20.1" customHeight="1" s="206">
      <c r="A59" s="24" t="n"/>
      <c r="B59" s="25" t="n"/>
      <c r="C59" s="26" t="n"/>
      <c r="D59" s="26" t="n"/>
      <c r="E59" s="26" t="n"/>
      <c r="F59" s="26" t="n"/>
      <c r="G59" s="26" t="n"/>
      <c r="H59" s="26" t="n"/>
      <c r="I59" s="26" t="n"/>
      <c r="J59" s="26" t="n"/>
      <c r="K59" s="26" t="n"/>
      <c r="L59" s="13" t="n"/>
    </row>
    <row r="60" ht="20.1" customHeight="1" s="206">
      <c r="A60" s="38" t="inlineStr">
        <is>
          <t>l</t>
        </is>
      </c>
      <c r="B60" s="11" t="inlineStr">
        <is>
          <t>Life expectancy</t>
        </is>
      </c>
      <c r="C60" s="39" t="n">
        <v>81.13724412550521</v>
      </c>
      <c r="D60" s="40" t="n">
        <v>83</v>
      </c>
      <c r="E60" s="40" t="n">
        <v>79.2</v>
      </c>
      <c r="F60" s="40" t="n">
        <v>83</v>
      </c>
      <c r="G60" s="40" t="n">
        <v>79.2</v>
      </c>
      <c r="H60" s="39">
        <f t="array" ref="H60">($D60*population!$D109+$E60*population!$E109)/population!H109</f>
        <v/>
      </c>
      <c r="I60" s="39">
        <f t="array" ref="I60">($F60*population!$F109+$G60*population!$G109)/population!I109</f>
        <v/>
      </c>
      <c r="J60" s="39">
        <f t="array" ref="J60">($D60*population!$D109+$F60*population!$F109)/population!J109</f>
        <v/>
      </c>
      <c r="K60" s="39">
        <f t="array" ref="K60">($E60*population!$E109+$G60*population!$G109)/population!K109</f>
        <v/>
      </c>
      <c r="L60" s="13" t="n"/>
    </row>
    <row r="61" ht="20.1" customHeight="1" s="206">
      <c r="A61" s="15" t="n"/>
      <c r="B61" s="16" t="n"/>
      <c r="C61" s="17" t="n"/>
      <c r="D61" s="17" t="n"/>
      <c r="E61" s="17" t="n"/>
      <c r="F61" s="17" t="n"/>
      <c r="G61" s="17" t="n"/>
      <c r="H61" s="17" t="n"/>
      <c r="I61" s="17" t="n"/>
      <c r="J61" s="17" t="n"/>
      <c r="K61" s="17" t="n"/>
      <c r="L61" s="13" t="n"/>
    </row>
    <row r="62" ht="20.1" customHeight="1" s="206">
      <c r="A62" s="2" t="inlineStr">
        <is>
          <t>ls</t>
        </is>
      </c>
      <c r="B62" s="23" t="inlineStr">
        <is>
          <t>Source of the data (verbal)</t>
        </is>
      </c>
      <c r="C62" s="184" t="inlineStr">
        <is>
          <t>expectancyhttps://www.ons.gov.uk/peoplepopulationandcommunity/birthsdeathsandmarriages/lifeexpectancies/bulletins/nationallifetablesunitedkingdom/2022to2024; downloaded 2026-04-13; no distinction between native/migrant available</t>
        </is>
      </c>
      <c r="D62" s="177" t="n"/>
      <c r="E62" s="177" t="n"/>
      <c r="F62" s="177" t="n"/>
      <c r="G62" s="177" t="n"/>
      <c r="H62" s="177" t="n"/>
      <c r="I62" s="177" t="n"/>
      <c r="J62" s="177" t="n"/>
      <c r="K62" s="177" t="n"/>
      <c r="L62" s="13" t="n"/>
    </row>
    <row r="63" ht="20.1" customHeight="1" s="206">
      <c r="A63" s="1" t="n"/>
      <c r="B63" s="23" t="inlineStr">
        <is>
          <t>URLs, where the data was found</t>
        </is>
      </c>
      <c r="C63" s="185" t="inlineStr">
        <is>
          <t>https://www.statistik.at/fileadmin/pages/413/Sterbetafel_2024_fuer_Oesterreich.ods</t>
        </is>
      </c>
      <c r="D63" s="177" t="n"/>
      <c r="E63" s="177" t="n"/>
      <c r="F63" s="177" t="n"/>
      <c r="G63" s="177" t="n"/>
      <c r="H63" s="177" t="n"/>
      <c r="I63" s="177" t="n"/>
      <c r="J63" s="177" t="n"/>
      <c r="K63" s="177" t="n"/>
      <c r="L63" s="13" t="n"/>
    </row>
    <row r="64" ht="20.1" customHeight="1" s="206">
      <c r="A64" s="24" t="n"/>
      <c r="B64" s="33" t="inlineStr">
        <is>
          <t>Date, when the data was downloaded</t>
        </is>
      </c>
      <c r="C64" s="185" t="inlineStr">
        <is>
          <t>2026-05-20</t>
        </is>
      </c>
      <c r="D64" s="177" t="n"/>
      <c r="E64" s="177" t="n"/>
      <c r="F64" s="177" t="n"/>
      <c r="G64" s="177" t="n"/>
      <c r="H64" s="177" t="n"/>
      <c r="I64" s="177" t="n"/>
      <c r="J64" s="177" t="n"/>
      <c r="K64" s="177" t="n"/>
      <c r="L64" s="13" t="n"/>
    </row>
    <row r="65" ht="20.1" customHeight="1" s="206">
      <c r="A65" s="10" t="n"/>
      <c r="B65" s="11" t="inlineStr">
        <is>
          <t>Manual remarks (not for AI!)</t>
        </is>
      </c>
      <c r="C65" s="186" t="n"/>
      <c r="D65" s="177" t="n"/>
      <c r="E65" s="177" t="n"/>
      <c r="F65" s="177" t="n"/>
      <c r="G65" s="177" t="n"/>
      <c r="H65" s="177" t="n"/>
      <c r="I65" s="177" t="n"/>
      <c r="J65" s="177" t="n"/>
      <c r="K65" s="177" t="n"/>
      <c r="L65" s="13" t="n"/>
    </row>
    <row r="66" ht="20.1" customHeight="1" s="206">
      <c r="A66" s="10" t="n"/>
      <c r="B66" s="11" t="inlineStr">
        <is>
          <t>Remarks of the AI (e.g. calculation)</t>
        </is>
      </c>
      <c r="C66" s="186" t="inlineStr">
        <is>
          <t>Periodensterbetafel STAT für Berichtsjahr 2024 (komplette Sterbetafel A2). Datei: Sterbetafel_2024_fuer_Oesterreich.ods, Sheet A2, Zeile x=0 (e0): Männer 79,84 Jahre, Frauen 84,32 Jahre. Methodisch (CLAUDE.md §Lebenserwartung): einheitliche e0 für Native und Migrant, d.h. D60=F60 und E60=G60. STAT-Sterbetafel bezieht sich auf Gesamtbevölkerung, keine MH-Differenzierung in der öffentlichen Sterbetafel. Annahme: gleiche Mortalität — eine bewusste Vereinfachung, die den Healthy-Migrant-Effekt in jungen Altersgruppen sowie die ggf. ungünstigere Sterbestatistik in alten Altersgruppen ignoriert.</t>
        </is>
      </c>
      <c r="D66" s="177" t="n"/>
      <c r="E66" s="177" t="n"/>
      <c r="F66" s="177" t="n"/>
      <c r="G66" s="177" t="n"/>
      <c r="H66" s="177" t="n"/>
      <c r="I66" s="177" t="n"/>
      <c r="J66" s="177" t="n"/>
      <c r="K66" s="177" t="n"/>
      <c r="L66" s="13" t="n"/>
    </row>
    <row r="67" ht="20.1" customHeight="1" s="206">
      <c r="A67" s="10" t="n"/>
      <c r="B67" s="11" t="inlineStr">
        <is>
          <t>Internal remarks</t>
        </is>
      </c>
      <c r="C67" s="186" t="n"/>
      <c r="D67" s="177" t="n"/>
      <c r="E67" s="177" t="n"/>
      <c r="F67" s="177" t="n"/>
      <c r="G67" s="177" t="n"/>
      <c r="H67" s="177" t="n"/>
      <c r="I67" s="177" t="n"/>
      <c r="J67" s="177" t="n"/>
      <c r="K67" s="177" t="n"/>
      <c r="L67" s="13" t="n"/>
    </row>
    <row r="68" ht="20.1" customHeight="1" s="206">
      <c r="A68" s="41" t="n"/>
      <c r="B68" s="42" t="n"/>
      <c r="C68" s="43" t="n"/>
      <c r="D68" s="44" t="n"/>
      <c r="E68" s="44" t="n"/>
      <c r="F68" s="44" t="n"/>
      <c r="G68" s="44" t="n"/>
      <c r="H68" s="44" t="n"/>
      <c r="I68" s="44" t="n"/>
      <c r="J68" s="44" t="n"/>
      <c r="K68" s="44" t="n"/>
      <c r="L68" s="44" t="n"/>
    </row>
  </sheetData>
  <mergeCells count="35">
    <mergeCell ref="C47:K47"/>
    <mergeCell ref="C54:K54"/>
    <mergeCell ref="C65:K65"/>
    <mergeCell ref="C63:K63"/>
    <mergeCell ref="C10:K10"/>
    <mergeCell ref="C55:K55"/>
    <mergeCell ref="C31:K31"/>
    <mergeCell ref="C56:K56"/>
    <mergeCell ref="C12:K12"/>
    <mergeCell ref="C51:K51"/>
    <mergeCell ref="D26:G26"/>
    <mergeCell ref="C11:K1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21"/>
  <sheetViews>
    <sheetView showGridLines="0" tabSelected="1"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population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Population</t>
        </is>
      </c>
      <c r="C5" s="192" t="inlineStr">
        <is>
          <t>This is the base line of the caclution</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2" t="inlineStr">
        <is>
          <t>py</t>
        </is>
      </c>
      <c r="B7" s="23" t="inlineStr">
        <is>
          <t>Year of the count of the population</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2" t="inlineStr">
        <is>
          <t>p00</t>
        </is>
      </c>
      <c r="B9" s="23" t="inlineStr">
        <is>
          <t>0 years</t>
        </is>
      </c>
      <c r="C9" s="55" t="n">
        <v>695775</v>
      </c>
      <c r="D9" s="56" t="n">
        <v>278389</v>
      </c>
      <c r="E9" s="56" t="n">
        <v>292147</v>
      </c>
      <c r="F9" s="56" t="n">
        <v>61110</v>
      </c>
      <c r="G9" s="56" t="n">
        <v>64129</v>
      </c>
      <c r="H9" s="55">
        <f t="array" ref="H9">E9+D9</f>
        <v/>
      </c>
      <c r="I9" s="55">
        <f t="array" ref="I9">G9+F9</f>
        <v/>
      </c>
      <c r="J9" s="55">
        <f t="array" ref="J9">D9+F9</f>
        <v/>
      </c>
      <c r="K9" s="55">
        <f t="array" ref="K9">E9+G9</f>
        <v/>
      </c>
      <c r="L9" s="57" t="n"/>
    </row>
    <row r="10" ht="20.1" customHeight="1" s="206">
      <c r="A10" s="2" t="inlineStr">
        <is>
          <t>p01</t>
        </is>
      </c>
      <c r="B10" s="23" t="inlineStr">
        <is>
          <t>1 years</t>
        </is>
      </c>
      <c r="C10" s="55" t="n">
        <v>694461</v>
      </c>
      <c r="D10" s="56" t="n">
        <v>277827</v>
      </c>
      <c r="E10" s="56" t="n">
        <v>291631</v>
      </c>
      <c r="F10" s="56" t="n">
        <v>60986</v>
      </c>
      <c r="G10" s="56" t="n">
        <v>64017</v>
      </c>
      <c r="H10" s="55">
        <f t="array" ref="H10">E10+D10</f>
        <v/>
      </c>
      <c r="I10" s="55">
        <f t="array" ref="I10">G10+F10</f>
        <v/>
      </c>
      <c r="J10" s="55">
        <f t="array" ref="J10">D10+F10</f>
        <v/>
      </c>
      <c r="K10" s="55">
        <f t="array" ref="K10">E10+G10</f>
        <v/>
      </c>
      <c r="L10" s="57" t="n"/>
    </row>
    <row r="11" ht="20.1" customHeight="1" s="206">
      <c r="A11" s="2" t="inlineStr">
        <is>
          <t>p02</t>
        </is>
      </c>
      <c r="B11" s="23" t="inlineStr">
        <is>
          <t>2 years</t>
        </is>
      </c>
      <c r="C11" s="55" t="n">
        <v>714364</v>
      </c>
      <c r="D11" s="56" t="n">
        <v>286011</v>
      </c>
      <c r="E11" s="56" t="n">
        <v>299767</v>
      </c>
      <c r="F11" s="56" t="n">
        <v>62783</v>
      </c>
      <c r="G11" s="56" t="n">
        <v>65803</v>
      </c>
      <c r="H11" s="55">
        <f t="array" ref="H11">E11+D11</f>
        <v/>
      </c>
      <c r="I11" s="55">
        <f t="array" ref="I11">G11+F11</f>
        <v/>
      </c>
      <c r="J11" s="55">
        <f t="array" ref="J11">D11+F11</f>
        <v/>
      </c>
      <c r="K11" s="55">
        <f t="array" ref="K11">E11+G11</f>
        <v/>
      </c>
      <c r="L11" s="57" t="n"/>
    </row>
    <row r="12" ht="20.1" customHeight="1" s="206">
      <c r="A12" s="2" t="inlineStr">
        <is>
          <t>p03</t>
        </is>
      </c>
      <c r="B12" s="23" t="inlineStr">
        <is>
          <t>3 years</t>
        </is>
      </c>
      <c r="C12" s="55" t="n">
        <v>726641</v>
      </c>
      <c r="D12" s="56" t="n">
        <v>290443</v>
      </c>
      <c r="E12" s="56" t="n">
        <v>305403</v>
      </c>
      <c r="F12" s="56" t="n">
        <v>63756</v>
      </c>
      <c r="G12" s="56" t="n">
        <v>67039</v>
      </c>
      <c r="H12" s="55">
        <f t="array" ref="H12">E12+D12</f>
        <v/>
      </c>
      <c r="I12" s="55">
        <f t="array" ref="I12">G12+F12</f>
        <v/>
      </c>
      <c r="J12" s="55">
        <f t="array" ref="J12">D12+F12</f>
        <v/>
      </c>
      <c r="K12" s="55">
        <f t="array" ref="K12">E12+G12</f>
        <v/>
      </c>
      <c r="L12" s="57" t="n"/>
    </row>
    <row r="13" ht="20.1" customHeight="1" s="206">
      <c r="A13" s="2" t="inlineStr">
        <is>
          <t>p04</t>
        </is>
      </c>
      <c r="B13" s="23" t="inlineStr">
        <is>
          <t>4 years</t>
        </is>
      </c>
      <c r="C13" s="55" t="n">
        <v>734371</v>
      </c>
      <c r="D13" s="56" t="n">
        <v>293973</v>
      </c>
      <c r="E13" s="56" t="n">
        <v>308211</v>
      </c>
      <c r="F13" s="56" t="n">
        <v>64531</v>
      </c>
      <c r="G13" s="56" t="n">
        <v>67656</v>
      </c>
      <c r="H13" s="55">
        <f t="array" ref="H13">E13+D13</f>
        <v/>
      </c>
      <c r="I13" s="55">
        <f t="array" ref="I13">G13+F13</f>
        <v/>
      </c>
      <c r="J13" s="55">
        <f t="array" ref="J13">D13+F13</f>
        <v/>
      </c>
      <c r="K13" s="55">
        <f t="array" ref="K13">E13+G13</f>
        <v/>
      </c>
      <c r="L13" s="57" t="n"/>
    </row>
    <row r="14" ht="20.1" customHeight="1" s="206">
      <c r="A14" s="2" t="inlineStr">
        <is>
          <t>p05</t>
        </is>
      </c>
      <c r="B14" s="23" t="inlineStr">
        <is>
          <t>5 years</t>
        </is>
      </c>
      <c r="C14" s="55" t="n">
        <v>748086</v>
      </c>
      <c r="D14" s="56" t="n">
        <v>299466</v>
      </c>
      <c r="E14" s="56" t="n">
        <v>313965</v>
      </c>
      <c r="F14" s="56" t="n">
        <v>65736</v>
      </c>
      <c r="G14" s="56" t="n">
        <v>68919</v>
      </c>
      <c r="H14" s="55">
        <f t="array" ref="H14">E14+D14</f>
        <v/>
      </c>
      <c r="I14" s="55">
        <f t="array" ref="I14">G14+F14</f>
        <v/>
      </c>
      <c r="J14" s="55">
        <f t="array" ref="J14">D14+F14</f>
        <v/>
      </c>
      <c r="K14" s="55">
        <f t="array" ref="K14">E14+G14</f>
        <v/>
      </c>
      <c r="L14" s="57" t="n"/>
    </row>
    <row r="15" ht="20.1" customHeight="1" s="206">
      <c r="A15" s="2" t="inlineStr">
        <is>
          <t>p06</t>
        </is>
      </c>
      <c r="B15" s="23" t="inlineStr">
        <is>
          <t>6 years</t>
        </is>
      </c>
      <c r="C15" s="55" t="n">
        <v>765068</v>
      </c>
      <c r="D15" s="56" t="n">
        <v>305795</v>
      </c>
      <c r="E15" s="56" t="n">
        <v>321561</v>
      </c>
      <c r="F15" s="56" t="n">
        <v>67125</v>
      </c>
      <c r="G15" s="56" t="n">
        <v>70587</v>
      </c>
      <c r="H15" s="55">
        <f t="array" ref="H15">E15+D15</f>
        <v/>
      </c>
      <c r="I15" s="55">
        <f t="array" ref="I15">G15+F15</f>
        <v/>
      </c>
      <c r="J15" s="55">
        <f t="array" ref="J15">D15+F15</f>
        <v/>
      </c>
      <c r="K15" s="55">
        <f t="array" ref="K15">E15+G15</f>
        <v/>
      </c>
      <c r="L15" s="57" t="n"/>
    </row>
    <row r="16" ht="20.1" customHeight="1" s="206">
      <c r="A16" s="2" t="inlineStr">
        <is>
          <t>p07</t>
        </is>
      </c>
      <c r="B16" s="23" t="inlineStr">
        <is>
          <t>7 years</t>
        </is>
      </c>
      <c r="C16" s="55" t="n">
        <v>761540</v>
      </c>
      <c r="D16" s="56" t="n">
        <v>304706</v>
      </c>
      <c r="E16" s="56" t="n">
        <v>319757</v>
      </c>
      <c r="F16" s="56" t="n">
        <v>66887</v>
      </c>
      <c r="G16" s="56" t="n">
        <v>70190</v>
      </c>
      <c r="H16" s="55">
        <f t="array" ref="H16">E16+D16</f>
        <v/>
      </c>
      <c r="I16" s="55">
        <f t="array" ref="I16">G16+F16</f>
        <v/>
      </c>
      <c r="J16" s="55">
        <f t="array" ref="J16">D16+F16</f>
        <v/>
      </c>
      <c r="K16" s="55">
        <f t="array" ref="K16">E16+G16</f>
        <v/>
      </c>
      <c r="L16" s="57" t="n"/>
    </row>
    <row r="17" ht="20.1" customHeight="1" s="206">
      <c r="A17" s="2" t="inlineStr">
        <is>
          <t>p08</t>
        </is>
      </c>
      <c r="B17" s="23" t="inlineStr">
        <is>
          <t>8 years</t>
        </is>
      </c>
      <c r="C17" s="55" t="n">
        <v>764884</v>
      </c>
      <c r="D17" s="56" t="n">
        <v>306078</v>
      </c>
      <c r="E17" s="56" t="n">
        <v>321127</v>
      </c>
      <c r="F17" s="56" t="n">
        <v>67188</v>
      </c>
      <c r="G17" s="56" t="n">
        <v>70491</v>
      </c>
      <c r="H17" s="55">
        <f t="array" ref="H17">E17+D17</f>
        <v/>
      </c>
      <c r="I17" s="55">
        <f t="array" ref="I17">G17+F17</f>
        <v/>
      </c>
      <c r="J17" s="55">
        <f t="array" ref="J17">D17+F17</f>
        <v/>
      </c>
      <c r="K17" s="55">
        <f t="array" ref="K17">E17+G17</f>
        <v/>
      </c>
      <c r="L17" s="57" t="n"/>
    </row>
    <row r="18" ht="20.1" customHeight="1" s="206">
      <c r="A18" s="2" t="inlineStr">
        <is>
          <t>p09</t>
        </is>
      </c>
      <c r="B18" s="23" t="inlineStr">
        <is>
          <t>9 years</t>
        </is>
      </c>
      <c r="C18" s="55" t="n">
        <v>780332</v>
      </c>
      <c r="D18" s="56" t="n">
        <v>312093</v>
      </c>
      <c r="E18" s="56" t="n">
        <v>327779</v>
      </c>
      <c r="F18" s="56" t="n">
        <v>68508</v>
      </c>
      <c r="G18" s="56" t="n">
        <v>71952</v>
      </c>
      <c r="H18" s="55">
        <f t="array" ref="H18">E18+D18</f>
        <v/>
      </c>
      <c r="I18" s="55">
        <f t="array" ref="I18">G18+F18</f>
        <v/>
      </c>
      <c r="J18" s="55">
        <f t="array" ref="J18">D18+F18</f>
        <v/>
      </c>
      <c r="K18" s="55">
        <f t="array" ref="K18">E18+G18</f>
        <v/>
      </c>
      <c r="L18" s="57" t="n"/>
    </row>
    <row r="19" ht="20.1" customHeight="1" s="206">
      <c r="A19" s="2" t="inlineStr">
        <is>
          <t>p10</t>
        </is>
      </c>
      <c r="B19" s="23" t="inlineStr">
        <is>
          <t>10 years</t>
        </is>
      </c>
      <c r="C19" s="55" t="n">
        <v>807081</v>
      </c>
      <c r="D19" s="56" t="n">
        <v>322939</v>
      </c>
      <c r="E19" s="56" t="n">
        <v>338867</v>
      </c>
      <c r="F19" s="56" t="n">
        <v>70889</v>
      </c>
      <c r="G19" s="56" t="n">
        <v>74386</v>
      </c>
      <c r="H19" s="55">
        <f t="array" ref="H19">E19+D19</f>
        <v/>
      </c>
      <c r="I19" s="55">
        <f t="array" ref="I19">G19+F19</f>
        <v/>
      </c>
      <c r="J19" s="55">
        <f t="array" ref="J19">D19+F19</f>
        <v/>
      </c>
      <c r="K19" s="55">
        <f t="array" ref="K19">E19+G19</f>
        <v/>
      </c>
      <c r="L19" s="57" t="n"/>
    </row>
    <row r="20" ht="20.1" customHeight="1" s="206">
      <c r="A20" s="2" t="inlineStr">
        <is>
          <t>p11</t>
        </is>
      </c>
      <c r="B20" s="23" t="inlineStr">
        <is>
          <t>11 years</t>
        </is>
      </c>
      <c r="C20" s="55" t="n">
        <v>807287</v>
      </c>
      <c r="D20" s="56" t="n">
        <v>322627</v>
      </c>
      <c r="E20" s="56" t="n">
        <v>339348</v>
      </c>
      <c r="F20" s="56" t="n">
        <v>70821</v>
      </c>
      <c r="G20" s="56" t="n">
        <v>74491</v>
      </c>
      <c r="H20" s="55">
        <f t="array" ref="H20">E20+D20</f>
        <v/>
      </c>
      <c r="I20" s="55">
        <f t="array" ref="I20">G20+F20</f>
        <v/>
      </c>
      <c r="J20" s="55">
        <f t="array" ref="J20">D20+F20</f>
        <v/>
      </c>
      <c r="K20" s="55">
        <f t="array" ref="K20">E20+G20</f>
        <v/>
      </c>
      <c r="L20" s="57" t="n"/>
    </row>
    <row r="21" ht="20.1" customHeight="1" s="206">
      <c r="A21" s="2" t="inlineStr">
        <is>
          <t>p12</t>
        </is>
      </c>
      <c r="B21" s="23" t="inlineStr">
        <is>
          <t>12 years</t>
        </is>
      </c>
      <c r="C21" s="55" t="n">
        <v>807253</v>
      </c>
      <c r="D21" s="56" t="n">
        <v>323178</v>
      </c>
      <c r="E21" s="56" t="n">
        <v>338769</v>
      </c>
      <c r="F21" s="56" t="n">
        <v>70942</v>
      </c>
      <c r="G21" s="56" t="n">
        <v>74364</v>
      </c>
      <c r="H21" s="55">
        <f t="array" ref="H21">E21+D21</f>
        <v/>
      </c>
      <c r="I21" s="55">
        <f t="array" ref="I21">G21+F21</f>
        <v/>
      </c>
      <c r="J21" s="55">
        <f t="array" ref="J21">D21+F21</f>
        <v/>
      </c>
      <c r="K21" s="55">
        <f t="array" ref="K21">E21+G21</f>
        <v/>
      </c>
      <c r="L21" s="57" t="n"/>
    </row>
    <row r="22" ht="20.1" customHeight="1" s="206">
      <c r="A22" s="2" t="inlineStr">
        <is>
          <t>p13</t>
        </is>
      </c>
      <c r="B22" s="23" t="inlineStr">
        <is>
          <t>13 years</t>
        </is>
      </c>
      <c r="C22" s="55" t="n">
        <v>807808</v>
      </c>
      <c r="D22" s="56" t="n">
        <v>322929</v>
      </c>
      <c r="E22" s="56" t="n">
        <v>339474</v>
      </c>
      <c r="F22" s="56" t="n">
        <v>70886</v>
      </c>
      <c r="G22" s="56" t="n">
        <v>74519</v>
      </c>
      <c r="H22" s="55">
        <f t="array" ref="H22">E22+D22</f>
        <v/>
      </c>
      <c r="I22" s="55">
        <f t="array" ref="I22">G22+F22</f>
        <v/>
      </c>
      <c r="J22" s="55">
        <f t="array" ref="J22">D22+F22</f>
        <v/>
      </c>
      <c r="K22" s="55">
        <f t="array" ref="K22">E22+G22</f>
        <v/>
      </c>
      <c r="L22" s="57" t="n"/>
    </row>
    <row r="23" ht="20.1" customHeight="1" s="206">
      <c r="A23" s="2" t="inlineStr">
        <is>
          <t>p14</t>
        </is>
      </c>
      <c r="B23" s="23" t="inlineStr">
        <is>
          <t>14 years</t>
        </is>
      </c>
      <c r="C23" s="55" t="n">
        <v>816008</v>
      </c>
      <c r="D23" s="56" t="n">
        <v>326683</v>
      </c>
      <c r="E23" s="56" t="n">
        <v>342444</v>
      </c>
      <c r="F23" s="56" t="n">
        <v>71711</v>
      </c>
      <c r="G23" s="56" t="n">
        <v>75170</v>
      </c>
      <c r="H23" s="55">
        <f t="array" ref="H23">E23+D23</f>
        <v/>
      </c>
      <c r="I23" s="55">
        <f t="array" ref="I23">G23+F23</f>
        <v/>
      </c>
      <c r="J23" s="55">
        <f t="array" ref="J23">D23+F23</f>
        <v/>
      </c>
      <c r="K23" s="55">
        <f t="array" ref="K23">E23+G23</f>
        <v/>
      </c>
      <c r="L23" s="57" t="n"/>
    </row>
    <row r="24" ht="20.1" customHeight="1" s="206">
      <c r="A24" s="2" t="inlineStr">
        <is>
          <t>p15</t>
        </is>
      </c>
      <c r="B24" s="23" t="inlineStr">
        <is>
          <t>15 years</t>
        </is>
      </c>
      <c r="C24" s="55" t="n">
        <v>799542</v>
      </c>
      <c r="D24" s="56" t="n">
        <v>319336</v>
      </c>
      <c r="E24" s="56" t="n">
        <v>336288</v>
      </c>
      <c r="F24" s="56" t="n">
        <v>70098</v>
      </c>
      <c r="G24" s="56" t="n">
        <v>73820</v>
      </c>
      <c r="H24" s="55">
        <f t="array" ref="H24">E24+D24</f>
        <v/>
      </c>
      <c r="I24" s="55">
        <f t="array" ref="I24">G24+F24</f>
        <v/>
      </c>
      <c r="J24" s="55">
        <f t="array" ref="J24">D24+F24</f>
        <v/>
      </c>
      <c r="K24" s="55">
        <f t="array" ref="K24">E24+G24</f>
        <v/>
      </c>
      <c r="L24" s="57" t="n"/>
    </row>
    <row r="25" ht="20.1" customHeight="1" s="206">
      <c r="A25" s="2" t="inlineStr">
        <is>
          <t>p16</t>
        </is>
      </c>
      <c r="B25" s="23" t="inlineStr">
        <is>
          <t>16 years</t>
        </is>
      </c>
      <c r="C25" s="55" t="n">
        <v>796984</v>
      </c>
      <c r="D25" s="56" t="n">
        <v>317869</v>
      </c>
      <c r="E25" s="56" t="n">
        <v>335658</v>
      </c>
      <c r="F25" s="56" t="n">
        <v>69776</v>
      </c>
      <c r="G25" s="56" t="n">
        <v>73681</v>
      </c>
      <c r="H25" s="55">
        <f t="array" ref="H25">E25+D25</f>
        <v/>
      </c>
      <c r="I25" s="55">
        <f t="array" ref="I25">G25+F25</f>
        <v/>
      </c>
      <c r="J25" s="55">
        <f t="array" ref="J25">D25+F25</f>
        <v/>
      </c>
      <c r="K25" s="55">
        <f t="array" ref="K25">E25+G25</f>
        <v/>
      </c>
      <c r="L25" s="57" t="n"/>
    </row>
    <row r="26" ht="20.1" customHeight="1" s="206">
      <c r="A26" s="2" t="inlineStr">
        <is>
          <t>p17</t>
        </is>
      </c>
      <c r="B26" s="23" t="inlineStr">
        <is>
          <t>17 years</t>
        </is>
      </c>
      <c r="C26" s="55" t="n">
        <v>795453</v>
      </c>
      <c r="D26" s="56" t="n">
        <v>316497</v>
      </c>
      <c r="E26" s="56" t="n">
        <v>335774</v>
      </c>
      <c r="F26" s="56" t="n">
        <v>69475</v>
      </c>
      <c r="G26" s="56" t="n">
        <v>73707</v>
      </c>
      <c r="H26" s="55">
        <f t="array" ref="H26">E26+D26</f>
        <v/>
      </c>
      <c r="I26" s="55">
        <f t="array" ref="I26">G26+F26</f>
        <v/>
      </c>
      <c r="J26" s="55">
        <f t="array" ref="J26">D26+F26</f>
        <v/>
      </c>
      <c r="K26" s="55">
        <f t="array" ref="K26">E26+G26</f>
        <v/>
      </c>
      <c r="L26" s="57" t="n"/>
    </row>
    <row r="27" ht="20.1" customHeight="1" s="206">
      <c r="A27" s="2" t="inlineStr">
        <is>
          <t>p18</t>
        </is>
      </c>
      <c r="B27" s="23" t="inlineStr">
        <is>
          <t>18 years</t>
        </is>
      </c>
      <c r="C27" s="55" t="n">
        <v>803495</v>
      </c>
      <c r="D27" s="56" t="n">
        <v>319763</v>
      </c>
      <c r="E27" s="56" t="n">
        <v>339103</v>
      </c>
      <c r="F27" s="56" t="n">
        <v>70192</v>
      </c>
      <c r="G27" s="56" t="n">
        <v>74437</v>
      </c>
      <c r="H27" s="55">
        <f t="array" ref="H27">E27+D27</f>
        <v/>
      </c>
      <c r="I27" s="55">
        <f t="array" ref="I27">G27+F27</f>
        <v/>
      </c>
      <c r="J27" s="55">
        <f t="array" ref="J27">D27+F27</f>
        <v/>
      </c>
      <c r="K27" s="55">
        <f t="array" ref="K27">E27+G27</f>
        <v/>
      </c>
      <c r="L27" s="57" t="n"/>
    </row>
    <row r="28" ht="20.1" customHeight="1" s="206">
      <c r="A28" s="2" t="inlineStr">
        <is>
          <t>p19</t>
        </is>
      </c>
      <c r="B28" s="23" t="inlineStr">
        <is>
          <t>19 years</t>
        </is>
      </c>
      <c r="C28" s="55" t="n">
        <v>816395</v>
      </c>
      <c r="D28" s="56" t="n">
        <v>325054</v>
      </c>
      <c r="E28" s="56" t="n">
        <v>344390</v>
      </c>
      <c r="F28" s="56" t="n">
        <v>71353</v>
      </c>
      <c r="G28" s="56" t="n">
        <v>75598</v>
      </c>
      <c r="H28" s="55">
        <f t="array" ref="H28">E28+D28</f>
        <v/>
      </c>
      <c r="I28" s="55">
        <f t="array" ref="I28">G28+F28</f>
        <v/>
      </c>
      <c r="J28" s="55">
        <f t="array" ref="J28">D28+F28</f>
        <v/>
      </c>
      <c r="K28" s="55">
        <f t="array" ref="K28">E28+G28</f>
        <v/>
      </c>
      <c r="L28" s="57" t="n"/>
    </row>
    <row r="29" ht="20.1" customHeight="1" s="206">
      <c r="A29" s="2" t="inlineStr">
        <is>
          <t>p20</t>
        </is>
      </c>
      <c r="B29" s="23" t="inlineStr">
        <is>
          <t>20 years</t>
        </is>
      </c>
      <c r="C29" s="55" t="n">
        <v>832575</v>
      </c>
      <c r="D29" s="56" t="n">
        <v>333930</v>
      </c>
      <c r="E29" s="56" t="n">
        <v>348782</v>
      </c>
      <c r="F29" s="56" t="n">
        <v>73302</v>
      </c>
      <c r="G29" s="56" t="n">
        <v>76561</v>
      </c>
      <c r="H29" s="55">
        <f t="array" ref="H29">E29+D29</f>
        <v/>
      </c>
      <c r="I29" s="55">
        <f t="array" ref="I29">G29+F29</f>
        <v/>
      </c>
      <c r="J29" s="55">
        <f t="array" ref="J29">D29+F29</f>
        <v/>
      </c>
      <c r="K29" s="55">
        <f t="array" ref="K29">E29+G29</f>
        <v/>
      </c>
      <c r="L29" s="57" t="n"/>
    </row>
    <row r="30" ht="20.1" customHeight="1" s="206">
      <c r="A30" s="2" t="inlineStr">
        <is>
          <t>p21</t>
        </is>
      </c>
      <c r="B30" s="23" t="inlineStr">
        <is>
          <t>21 years</t>
        </is>
      </c>
      <c r="C30" s="55" t="n">
        <v>840210</v>
      </c>
      <c r="D30" s="56" t="n">
        <v>337282</v>
      </c>
      <c r="E30" s="56" t="n">
        <v>351690</v>
      </c>
      <c r="F30" s="56" t="n">
        <v>74038</v>
      </c>
      <c r="G30" s="56" t="n">
        <v>77200</v>
      </c>
      <c r="H30" s="55">
        <f t="array" ref="H30">E30+D30</f>
        <v/>
      </c>
      <c r="I30" s="55">
        <f t="array" ref="I30">G30+F30</f>
        <v/>
      </c>
      <c r="J30" s="55">
        <f t="array" ref="J30">D30+F30</f>
        <v/>
      </c>
      <c r="K30" s="55">
        <f t="array" ref="K30">E30+G30</f>
        <v/>
      </c>
      <c r="L30" s="57" t="n"/>
    </row>
    <row r="31" ht="20.1" customHeight="1" s="206">
      <c r="A31" s="2" t="inlineStr">
        <is>
          <t>p22</t>
        </is>
      </c>
      <c r="B31" s="23" t="inlineStr">
        <is>
          <t>22 years</t>
        </is>
      </c>
      <c r="C31" s="55" t="n">
        <v>852303</v>
      </c>
      <c r="D31" s="56" t="n">
        <v>342427</v>
      </c>
      <c r="E31" s="56" t="n">
        <v>356461</v>
      </c>
      <c r="F31" s="56" t="n">
        <v>75167</v>
      </c>
      <c r="G31" s="56" t="n">
        <v>78248</v>
      </c>
      <c r="H31" s="55">
        <f t="array" ref="H31">E31+D31</f>
        <v/>
      </c>
      <c r="I31" s="55">
        <f t="array" ref="I31">G31+F31</f>
        <v/>
      </c>
      <c r="J31" s="55">
        <f t="array" ref="J31">D31+F31</f>
        <v/>
      </c>
      <c r="K31" s="55">
        <f t="array" ref="K31">E31+G31</f>
        <v/>
      </c>
      <c r="L31" s="57" t="n"/>
    </row>
    <row r="32" ht="20.1" customHeight="1" s="206">
      <c r="A32" s="2" t="inlineStr">
        <is>
          <t>p23</t>
        </is>
      </c>
      <c r="B32" s="23" t="inlineStr">
        <is>
          <t>23 years</t>
        </is>
      </c>
      <c r="C32" s="55" t="n">
        <v>876623</v>
      </c>
      <c r="D32" s="56" t="n">
        <v>354059</v>
      </c>
      <c r="E32" s="56" t="n">
        <v>364772</v>
      </c>
      <c r="F32" s="56" t="n">
        <v>77720</v>
      </c>
      <c r="G32" s="56" t="n">
        <v>80072</v>
      </c>
      <c r="H32" s="55">
        <f t="array" ref="H32">E32+D32</f>
        <v/>
      </c>
      <c r="I32" s="55">
        <f t="array" ref="I32">G32+F32</f>
        <v/>
      </c>
      <c r="J32" s="55">
        <f t="array" ref="J32">D32+F32</f>
        <v/>
      </c>
      <c r="K32" s="55">
        <f t="array" ref="K32">E32+G32</f>
        <v/>
      </c>
      <c r="L32" s="57" t="n"/>
    </row>
    <row r="33" ht="20.1" customHeight="1" s="206">
      <c r="A33" s="2" t="inlineStr">
        <is>
          <t>p24</t>
        </is>
      </c>
      <c r="B33" s="23" t="inlineStr">
        <is>
          <t>24 years</t>
        </is>
      </c>
      <c r="C33" s="55" t="n">
        <v>887182</v>
      </c>
      <c r="D33" s="56" t="n">
        <v>360645</v>
      </c>
      <c r="E33" s="56" t="n">
        <v>366844</v>
      </c>
      <c r="F33" s="56" t="n">
        <v>79166</v>
      </c>
      <c r="G33" s="56" t="n">
        <v>80527</v>
      </c>
      <c r="H33" s="55">
        <f t="array" ref="H33">E33+D33</f>
        <v/>
      </c>
      <c r="I33" s="55">
        <f t="array" ref="I33">G33+F33</f>
        <v/>
      </c>
      <c r="J33" s="55">
        <f t="array" ref="J33">D33+F33</f>
        <v/>
      </c>
      <c r="K33" s="55">
        <f t="array" ref="K33">E33+G33</f>
        <v/>
      </c>
      <c r="L33" s="57" t="n"/>
    </row>
    <row r="34" ht="20.1" customHeight="1" s="206">
      <c r="A34" s="2" t="inlineStr">
        <is>
          <t>p25</t>
        </is>
      </c>
      <c r="B34" s="23" t="inlineStr">
        <is>
          <t>25 years</t>
        </is>
      </c>
      <c r="C34" s="55" t="n">
        <v>891149</v>
      </c>
      <c r="D34" s="56" t="n">
        <v>362929</v>
      </c>
      <c r="E34" s="56" t="n">
        <v>367813</v>
      </c>
      <c r="F34" s="56" t="n">
        <v>79667</v>
      </c>
      <c r="G34" s="56" t="n">
        <v>80740</v>
      </c>
      <c r="H34" s="55">
        <f t="array" ref="H34">E34+D34</f>
        <v/>
      </c>
      <c r="I34" s="55">
        <f t="array" ref="I34">G34+F34</f>
        <v/>
      </c>
      <c r="J34" s="55">
        <f t="array" ref="J34">D34+F34</f>
        <v/>
      </c>
      <c r="K34" s="55">
        <f t="array" ref="K34">E34+G34</f>
        <v/>
      </c>
      <c r="L34" s="57" t="n"/>
    </row>
    <row r="35" ht="20.1" customHeight="1" s="206">
      <c r="A35" s="2" t="inlineStr">
        <is>
          <t>p26</t>
        </is>
      </c>
      <c r="B35" s="23" t="inlineStr">
        <is>
          <t>26 years</t>
        </is>
      </c>
      <c r="C35" s="55" t="n">
        <v>881209</v>
      </c>
      <c r="D35" s="56" t="n">
        <v>359300</v>
      </c>
      <c r="E35" s="56" t="n">
        <v>363291</v>
      </c>
      <c r="F35" s="56" t="n">
        <v>78871</v>
      </c>
      <c r="G35" s="56" t="n">
        <v>79747</v>
      </c>
      <c r="H35" s="55">
        <f t="array" ref="H35">E35+D35</f>
        <v/>
      </c>
      <c r="I35" s="55">
        <f t="array" ref="I35">G35+F35</f>
        <v/>
      </c>
      <c r="J35" s="55">
        <f t="array" ref="J35">D35+F35</f>
        <v/>
      </c>
      <c r="K35" s="55">
        <f t="array" ref="K35">E35+G35</f>
        <v/>
      </c>
      <c r="L35" s="57" t="n"/>
    </row>
    <row r="36" ht="20.1" customHeight="1" s="206">
      <c r="A36" s="2" t="inlineStr">
        <is>
          <t>p27</t>
        </is>
      </c>
      <c r="B36" s="23" t="inlineStr">
        <is>
          <t>27 years</t>
        </is>
      </c>
      <c r="C36" s="55" t="n">
        <v>894888</v>
      </c>
      <c r="D36" s="56" t="n">
        <v>366735</v>
      </c>
      <c r="E36" s="56" t="n">
        <v>367073</v>
      </c>
      <c r="F36" s="56" t="n">
        <v>80503</v>
      </c>
      <c r="G36" s="56" t="n">
        <v>80577</v>
      </c>
      <c r="H36" s="55">
        <f t="array" ref="H36">E36+D36</f>
        <v/>
      </c>
      <c r="I36" s="55">
        <f t="array" ref="I36">G36+F36</f>
        <v/>
      </c>
      <c r="J36" s="55">
        <f t="array" ref="J36">D36+F36</f>
        <v/>
      </c>
      <c r="K36" s="55">
        <f t="array" ref="K36">E36+G36</f>
        <v/>
      </c>
      <c r="L36" s="57" t="n"/>
    </row>
    <row r="37" ht="20.1" customHeight="1" s="206">
      <c r="A37" s="2" t="inlineStr">
        <is>
          <t>p28</t>
        </is>
      </c>
      <c r="B37" s="23" t="inlineStr">
        <is>
          <t>28 years</t>
        </is>
      </c>
      <c r="C37" s="55" t="n">
        <v>917886</v>
      </c>
      <c r="D37" s="56" t="n">
        <v>378250</v>
      </c>
      <c r="E37" s="56" t="n">
        <v>374417</v>
      </c>
      <c r="F37" s="56" t="n">
        <v>83030</v>
      </c>
      <c r="G37" s="56" t="n">
        <v>82189</v>
      </c>
      <c r="H37" s="55">
        <f t="array" ref="H37">E37+D37</f>
        <v/>
      </c>
      <c r="I37" s="55">
        <f t="array" ref="I37">G37+F37</f>
        <v/>
      </c>
      <c r="J37" s="55">
        <f t="array" ref="J37">D37+F37</f>
        <v/>
      </c>
      <c r="K37" s="55">
        <f t="array" ref="K37">E37+G37</f>
        <v/>
      </c>
      <c r="L37" s="57" t="n"/>
    </row>
    <row r="38" ht="20.1" customHeight="1" s="206">
      <c r="A38" s="2" t="inlineStr">
        <is>
          <t>p29</t>
        </is>
      </c>
      <c r="B38" s="23" t="inlineStr">
        <is>
          <t>29 years</t>
        </is>
      </c>
      <c r="C38" s="55" t="n">
        <v>920449</v>
      </c>
      <c r="D38" s="56" t="n">
        <v>380833</v>
      </c>
      <c r="E38" s="56" t="n">
        <v>373935</v>
      </c>
      <c r="F38" s="56" t="n">
        <v>83598</v>
      </c>
      <c r="G38" s="56" t="n">
        <v>82083</v>
      </c>
      <c r="H38" s="55">
        <f t="array" ref="H38">E38+D38</f>
        <v/>
      </c>
      <c r="I38" s="55">
        <f t="array" ref="I38">G38+F38</f>
        <v/>
      </c>
      <c r="J38" s="55">
        <f t="array" ref="J38">D38+F38</f>
        <v/>
      </c>
      <c r="K38" s="55">
        <f t="array" ref="K38">E38+G38</f>
        <v/>
      </c>
      <c r="L38" s="57" t="n"/>
    </row>
    <row r="39" ht="20.1" customHeight="1" s="206">
      <c r="A39" s="2" t="inlineStr">
        <is>
          <t>p30</t>
        </is>
      </c>
      <c r="B39" s="23" t="inlineStr">
        <is>
          <t>30 years</t>
        </is>
      </c>
      <c r="C39" s="55" t="n">
        <v>940759</v>
      </c>
      <c r="D39" s="56" t="n">
        <v>391586</v>
      </c>
      <c r="E39" s="56" t="n">
        <v>379836</v>
      </c>
      <c r="F39" s="56" t="n">
        <v>85958</v>
      </c>
      <c r="G39" s="56" t="n">
        <v>83379</v>
      </c>
      <c r="H39" s="55">
        <f t="array" ref="H39">E39+D39</f>
        <v/>
      </c>
      <c r="I39" s="55">
        <f t="array" ref="I39">G39+F39</f>
        <v/>
      </c>
      <c r="J39" s="55">
        <f t="array" ref="J39">D39+F39</f>
        <v/>
      </c>
      <c r="K39" s="55">
        <f t="array" ref="K39">E39+G39</f>
        <v/>
      </c>
      <c r="L39" s="57" t="n"/>
    </row>
    <row r="40" ht="20.1" customHeight="1" s="206">
      <c r="A40" s="2" t="inlineStr">
        <is>
          <t>p31</t>
        </is>
      </c>
      <c r="B40" s="23" t="inlineStr">
        <is>
          <t>31 years</t>
        </is>
      </c>
      <c r="C40" s="55" t="n">
        <v>953369</v>
      </c>
      <c r="D40" s="56" t="n">
        <v>397484</v>
      </c>
      <c r="E40" s="56" t="n">
        <v>384279</v>
      </c>
      <c r="F40" s="56" t="n">
        <v>87252</v>
      </c>
      <c r="G40" s="56" t="n">
        <v>84354</v>
      </c>
      <c r="H40" s="55">
        <f t="array" ref="H40">E40+D40</f>
        <v/>
      </c>
      <c r="I40" s="55">
        <f t="array" ref="I40">G40+F40</f>
        <v/>
      </c>
      <c r="J40" s="55">
        <f t="array" ref="J40">D40+F40</f>
        <v/>
      </c>
      <c r="K40" s="55">
        <f t="array" ref="K40">E40+G40</f>
        <v/>
      </c>
      <c r="L40" s="57" t="n"/>
    </row>
    <row r="41" ht="20.1" customHeight="1" s="206">
      <c r="A41" s="2" t="inlineStr">
        <is>
          <t>p32</t>
        </is>
      </c>
      <c r="B41" s="23" t="inlineStr">
        <is>
          <t>32 years</t>
        </is>
      </c>
      <c r="C41" s="55" t="n">
        <v>957523</v>
      </c>
      <c r="D41" s="56" t="n">
        <v>400340</v>
      </c>
      <c r="E41" s="56" t="n">
        <v>384829</v>
      </c>
      <c r="F41" s="56" t="n">
        <v>87879</v>
      </c>
      <c r="G41" s="56" t="n">
        <v>84475</v>
      </c>
      <c r="H41" s="55">
        <f t="array" ref="H41">E41+D41</f>
        <v/>
      </c>
      <c r="I41" s="55">
        <f t="array" ref="I41">G41+F41</f>
        <v/>
      </c>
      <c r="J41" s="55">
        <f t="array" ref="J41">D41+F41</f>
        <v/>
      </c>
      <c r="K41" s="55">
        <f t="array" ref="K41">E41+G41</f>
        <v/>
      </c>
      <c r="L41" s="57" t="n"/>
    </row>
    <row r="42" ht="20.1" customHeight="1" s="206">
      <c r="A42" s="2" t="inlineStr">
        <is>
          <t>p33</t>
        </is>
      </c>
      <c r="B42" s="23" t="inlineStr">
        <is>
          <t>33 years</t>
        </is>
      </c>
      <c r="C42" s="55" t="n">
        <v>960946</v>
      </c>
      <c r="D42" s="56" t="n">
        <v>402514</v>
      </c>
      <c r="E42" s="56" t="n">
        <v>385462</v>
      </c>
      <c r="F42" s="56" t="n">
        <v>88356</v>
      </c>
      <c r="G42" s="56" t="n">
        <v>84614</v>
      </c>
      <c r="H42" s="55">
        <f t="array" ref="H42">E42+D42</f>
        <v/>
      </c>
      <c r="I42" s="55">
        <f t="array" ref="I42">G42+F42</f>
        <v/>
      </c>
      <c r="J42" s="55">
        <f t="array" ref="J42">D42+F42</f>
        <v/>
      </c>
      <c r="K42" s="55">
        <f t="array" ref="K42">E42+G42</f>
        <v/>
      </c>
      <c r="L42" s="57" t="n"/>
    </row>
    <row r="43" ht="20.1" customHeight="1" s="206">
      <c r="A43" s="2" t="inlineStr">
        <is>
          <t>p34</t>
        </is>
      </c>
      <c r="B43" s="23" t="inlineStr">
        <is>
          <t>34 years</t>
        </is>
      </c>
      <c r="C43" s="55" t="n">
        <v>969805</v>
      </c>
      <c r="D43" s="56" t="n">
        <v>408093</v>
      </c>
      <c r="E43" s="56" t="n">
        <v>387147</v>
      </c>
      <c r="F43" s="56" t="n">
        <v>89581</v>
      </c>
      <c r="G43" s="56" t="n">
        <v>84984</v>
      </c>
      <c r="H43" s="55">
        <f t="array" ref="H43">E43+D43</f>
        <v/>
      </c>
      <c r="I43" s="55">
        <f t="array" ref="I43">G43+F43</f>
        <v/>
      </c>
      <c r="J43" s="55">
        <f t="array" ref="J43">D43+F43</f>
        <v/>
      </c>
      <c r="K43" s="55">
        <f t="array" ref="K43">E43+G43</f>
        <v/>
      </c>
      <c r="L43" s="57" t="n"/>
    </row>
    <row r="44" ht="20.1" customHeight="1" s="206">
      <c r="A44" s="2" t="inlineStr">
        <is>
          <t>p35</t>
        </is>
      </c>
      <c r="B44" s="23" t="inlineStr">
        <is>
          <t>35 years</t>
        </is>
      </c>
      <c r="C44" s="55" t="n">
        <v>959139</v>
      </c>
      <c r="D44" s="56" t="n">
        <v>404190</v>
      </c>
      <c r="E44" s="56" t="n">
        <v>382304</v>
      </c>
      <c r="F44" s="56" t="n">
        <v>88725</v>
      </c>
      <c r="G44" s="56" t="n">
        <v>83920</v>
      </c>
      <c r="H44" s="55">
        <f t="array" ref="H44">E44+D44</f>
        <v/>
      </c>
      <c r="I44" s="55">
        <f t="array" ref="I44">G44+F44</f>
        <v/>
      </c>
      <c r="J44" s="55">
        <f t="array" ref="J44">D44+F44</f>
        <v/>
      </c>
      <c r="K44" s="55">
        <f t="array" ref="K44">E44+G44</f>
        <v/>
      </c>
      <c r="L44" s="57" t="n"/>
    </row>
    <row r="45" ht="20.1" customHeight="1" s="206">
      <c r="A45" s="2" t="inlineStr">
        <is>
          <t>p36</t>
        </is>
      </c>
      <c r="B45" s="23" t="inlineStr">
        <is>
          <t>36 years</t>
        </is>
      </c>
      <c r="C45" s="55" t="n">
        <v>949018</v>
      </c>
      <c r="D45" s="56" t="n">
        <v>398537</v>
      </c>
      <c r="E45" s="56" t="n">
        <v>379658</v>
      </c>
      <c r="F45" s="56" t="n">
        <v>87483</v>
      </c>
      <c r="G45" s="56" t="n">
        <v>83340</v>
      </c>
      <c r="H45" s="55">
        <f t="array" ref="H45">E45+D45</f>
        <v/>
      </c>
      <c r="I45" s="55">
        <f t="array" ref="I45">G45+F45</f>
        <v/>
      </c>
      <c r="J45" s="55">
        <f t="array" ref="J45">D45+F45</f>
        <v/>
      </c>
      <c r="K45" s="55">
        <f t="array" ref="K45">E45+G45</f>
        <v/>
      </c>
      <c r="L45" s="57" t="n"/>
    </row>
    <row r="46" ht="20.1" customHeight="1" s="206">
      <c r="A46" s="2" t="inlineStr">
        <is>
          <t>p37</t>
        </is>
      </c>
      <c r="B46" s="23" t="inlineStr">
        <is>
          <t>37 years</t>
        </is>
      </c>
      <c r="C46" s="55" t="n">
        <v>947737</v>
      </c>
      <c r="D46" s="56" t="n">
        <v>398521</v>
      </c>
      <c r="E46" s="56" t="n">
        <v>378623</v>
      </c>
      <c r="F46" s="56" t="n">
        <v>87480</v>
      </c>
      <c r="G46" s="56" t="n">
        <v>83113</v>
      </c>
      <c r="H46" s="55">
        <f t="array" ref="H46">E46+D46</f>
        <v/>
      </c>
      <c r="I46" s="55">
        <f t="array" ref="I46">G46+F46</f>
        <v/>
      </c>
      <c r="J46" s="55">
        <f t="array" ref="J46">D46+F46</f>
        <v/>
      </c>
      <c r="K46" s="55">
        <f t="array" ref="K46">E46+G46</f>
        <v/>
      </c>
      <c r="L46" s="57" t="n"/>
    </row>
    <row r="47" ht="20.1" customHeight="1" s="206">
      <c r="A47" s="2" t="inlineStr">
        <is>
          <t>p38</t>
        </is>
      </c>
      <c r="B47" s="23" t="inlineStr">
        <is>
          <t>38 years</t>
        </is>
      </c>
      <c r="C47" s="55" t="n">
        <v>931956</v>
      </c>
      <c r="D47" s="56" t="n">
        <v>392370</v>
      </c>
      <c r="E47" s="56" t="n">
        <v>371834</v>
      </c>
      <c r="F47" s="56" t="n">
        <v>86130</v>
      </c>
      <c r="G47" s="56" t="n">
        <v>81622</v>
      </c>
      <c r="H47" s="55">
        <f t="array" ref="H47">E47+D47</f>
        <v/>
      </c>
      <c r="I47" s="55">
        <f t="array" ref="I47">G47+F47</f>
        <v/>
      </c>
      <c r="J47" s="55">
        <f t="array" ref="J47">D47+F47</f>
        <v/>
      </c>
      <c r="K47" s="55">
        <f t="array" ref="K47">E47+G47</f>
        <v/>
      </c>
      <c r="L47" s="57" t="n"/>
    </row>
    <row r="48" ht="20.1" customHeight="1" s="206">
      <c r="A48" s="2" t="inlineStr">
        <is>
          <t>p39</t>
        </is>
      </c>
      <c r="B48" s="23" t="inlineStr">
        <is>
          <t>39 years</t>
        </is>
      </c>
      <c r="C48" s="55" t="n">
        <v>930237</v>
      </c>
      <c r="D48" s="56" t="n">
        <v>392043</v>
      </c>
      <c r="E48" s="56" t="n">
        <v>370751</v>
      </c>
      <c r="F48" s="56" t="n">
        <v>86058</v>
      </c>
      <c r="G48" s="56" t="n">
        <v>81385</v>
      </c>
      <c r="H48" s="55">
        <f t="array" ref="H48">E48+D48</f>
        <v/>
      </c>
      <c r="I48" s="55">
        <f t="array" ref="I48">G48+F48</f>
        <v/>
      </c>
      <c r="J48" s="55">
        <f t="array" ref="J48">D48+F48</f>
        <v/>
      </c>
      <c r="K48" s="55">
        <f t="array" ref="K48">E48+G48</f>
        <v/>
      </c>
      <c r="L48" s="57" t="n"/>
    </row>
    <row r="49" ht="20.1" customHeight="1" s="206">
      <c r="A49" s="2" t="inlineStr">
        <is>
          <t>p40</t>
        </is>
      </c>
      <c r="B49" s="23" t="inlineStr">
        <is>
          <t>40 years</t>
        </is>
      </c>
      <c r="C49" s="55" t="n">
        <v>932237</v>
      </c>
      <c r="D49" s="56" t="n">
        <v>392385</v>
      </c>
      <c r="E49" s="56" t="n">
        <v>372049</v>
      </c>
      <c r="F49" s="56" t="n">
        <v>86134</v>
      </c>
      <c r="G49" s="56" t="n">
        <v>81669</v>
      </c>
      <c r="H49" s="55">
        <f t="array" ref="H49">E49+D49</f>
        <v/>
      </c>
      <c r="I49" s="55">
        <f t="array" ref="I49">G49+F49</f>
        <v/>
      </c>
      <c r="J49" s="55">
        <f t="array" ref="J49">D49+F49</f>
        <v/>
      </c>
      <c r="K49" s="55">
        <f t="array" ref="K49">E49+G49</f>
        <v/>
      </c>
      <c r="L49" s="57" t="n"/>
    </row>
    <row r="50" ht="20.1" customHeight="1" s="206">
      <c r="A50" s="2" t="inlineStr">
        <is>
          <t>p41</t>
        </is>
      </c>
      <c r="B50" s="23" t="inlineStr">
        <is>
          <t>41 years</t>
        </is>
      </c>
      <c r="C50" s="55" t="n">
        <v>939682</v>
      </c>
      <c r="D50" s="56" t="n">
        <v>395778</v>
      </c>
      <c r="E50" s="56" t="n">
        <v>374761</v>
      </c>
      <c r="F50" s="56" t="n">
        <v>86878</v>
      </c>
      <c r="G50" s="56" t="n">
        <v>82265</v>
      </c>
      <c r="H50" s="55">
        <f t="array" ref="H50">E50+D50</f>
        <v/>
      </c>
      <c r="I50" s="55">
        <f t="array" ref="I50">G50+F50</f>
        <v/>
      </c>
      <c r="J50" s="55">
        <f t="array" ref="J50">D50+F50</f>
        <v/>
      </c>
      <c r="K50" s="55">
        <f t="array" ref="K50">E50+G50</f>
        <v/>
      </c>
      <c r="L50" s="57" t="n"/>
    </row>
    <row r="51" ht="20.1" customHeight="1" s="206">
      <c r="A51" s="2" t="inlineStr">
        <is>
          <t>p42</t>
        </is>
      </c>
      <c r="B51" s="23" t="inlineStr">
        <is>
          <t>42 years</t>
        </is>
      </c>
      <c r="C51" s="55" t="n">
        <v>937117</v>
      </c>
      <c r="D51" s="56" t="n">
        <v>394180</v>
      </c>
      <c r="E51" s="56" t="n">
        <v>374256</v>
      </c>
      <c r="F51" s="56" t="n">
        <v>86527</v>
      </c>
      <c r="G51" s="56" t="n">
        <v>82154</v>
      </c>
      <c r="H51" s="55">
        <f t="array" ref="H51">E51+D51</f>
        <v/>
      </c>
      <c r="I51" s="55">
        <f t="array" ref="I51">G51+F51</f>
        <v/>
      </c>
      <c r="J51" s="55">
        <f t="array" ref="J51">D51+F51</f>
        <v/>
      </c>
      <c r="K51" s="55">
        <f t="array" ref="K51">E51+G51</f>
        <v/>
      </c>
      <c r="L51" s="57" t="n"/>
    </row>
    <row r="52" ht="20.1" customHeight="1" s="206">
      <c r="A52" s="2" t="inlineStr">
        <is>
          <t>p43</t>
        </is>
      </c>
      <c r="B52" s="23" t="inlineStr">
        <is>
          <t>43 years</t>
        </is>
      </c>
      <c r="C52" s="55" t="n">
        <v>907439</v>
      </c>
      <c r="D52" s="56" t="n">
        <v>381117</v>
      </c>
      <c r="E52" s="56" t="n">
        <v>362983</v>
      </c>
      <c r="F52" s="56" t="n">
        <v>83660</v>
      </c>
      <c r="G52" s="56" t="n">
        <v>79679</v>
      </c>
      <c r="H52" s="55">
        <f t="array" ref="H52">E52+D52</f>
        <v/>
      </c>
      <c r="I52" s="55">
        <f t="array" ref="I52">G52+F52</f>
        <v/>
      </c>
      <c r="J52" s="55">
        <f t="array" ref="J52">D52+F52</f>
        <v/>
      </c>
      <c r="K52" s="55">
        <f t="array" ref="K52">E52+G52</f>
        <v/>
      </c>
      <c r="L52" s="57" t="n"/>
    </row>
    <row r="53" ht="20.1" customHeight="1" s="206">
      <c r="A53" s="2" t="inlineStr">
        <is>
          <t>p44</t>
        </is>
      </c>
      <c r="B53" s="23" t="inlineStr">
        <is>
          <t>44 years</t>
        </is>
      </c>
      <c r="C53" s="55" t="n">
        <v>865702</v>
      </c>
      <c r="D53" s="56" t="n">
        <v>364010</v>
      </c>
      <c r="E53" s="56" t="n">
        <v>345866</v>
      </c>
      <c r="F53" s="56" t="n">
        <v>79905</v>
      </c>
      <c r="G53" s="56" t="n">
        <v>75921</v>
      </c>
      <c r="H53" s="55">
        <f t="array" ref="H53">E53+D53</f>
        <v/>
      </c>
      <c r="I53" s="55">
        <f t="array" ref="I53">G53+F53</f>
        <v/>
      </c>
      <c r="J53" s="55">
        <f t="array" ref="J53">D53+F53</f>
        <v/>
      </c>
      <c r="K53" s="55">
        <f t="array" ref="K53">E53+G53</f>
        <v/>
      </c>
      <c r="L53" s="57" t="n"/>
    </row>
    <row r="54" ht="20.1" customHeight="1" s="206">
      <c r="A54" s="2" t="inlineStr">
        <is>
          <t>p45</t>
        </is>
      </c>
      <c r="B54" s="23" t="inlineStr">
        <is>
          <t>45 years</t>
        </is>
      </c>
      <c r="C54" s="55" t="n">
        <v>846501</v>
      </c>
      <c r="D54" s="56" t="n">
        <v>355295</v>
      </c>
      <c r="E54" s="56" t="n">
        <v>338836</v>
      </c>
      <c r="F54" s="56" t="n">
        <v>77991</v>
      </c>
      <c r="G54" s="56" t="n">
        <v>74379</v>
      </c>
      <c r="H54" s="55">
        <f t="array" ref="H54">E54+D54</f>
        <v/>
      </c>
      <c r="I54" s="55">
        <f t="array" ref="I54">G54+F54</f>
        <v/>
      </c>
      <c r="J54" s="55">
        <f t="array" ref="J54">D54+F54</f>
        <v/>
      </c>
      <c r="K54" s="55">
        <f t="array" ref="K54">E54+G54</f>
        <v/>
      </c>
      <c r="L54" s="57" t="n"/>
    </row>
    <row r="55" ht="20.1" customHeight="1" s="206">
      <c r="A55" s="2" t="inlineStr">
        <is>
          <t>p46</t>
        </is>
      </c>
      <c r="B55" s="23" t="inlineStr">
        <is>
          <t>46 years</t>
        </is>
      </c>
      <c r="C55" s="55" t="n">
        <v>855588</v>
      </c>
      <c r="D55" s="56" t="n">
        <v>358402</v>
      </c>
      <c r="E55" s="56" t="n">
        <v>343180</v>
      </c>
      <c r="F55" s="56" t="n">
        <v>78674</v>
      </c>
      <c r="G55" s="56" t="n">
        <v>75332</v>
      </c>
      <c r="H55" s="55">
        <f t="array" ref="H55">E55+D55</f>
        <v/>
      </c>
      <c r="I55" s="55">
        <f t="array" ref="I55">G55+F55</f>
        <v/>
      </c>
      <c r="J55" s="55">
        <f t="array" ref="J55">D55+F55</f>
        <v/>
      </c>
      <c r="K55" s="55">
        <f t="array" ref="K55">E55+G55</f>
        <v/>
      </c>
      <c r="L55" s="57" t="n"/>
    </row>
    <row r="56" ht="20.1" customHeight="1" s="206">
      <c r="A56" s="2" t="inlineStr">
        <is>
          <t>p47</t>
        </is>
      </c>
      <c r="B56" s="23" t="inlineStr">
        <is>
          <t>47 years</t>
        </is>
      </c>
      <c r="C56" s="55" t="n">
        <v>863638</v>
      </c>
      <c r="D56" s="56" t="n">
        <v>361610</v>
      </c>
      <c r="E56" s="56" t="n">
        <v>346573</v>
      </c>
      <c r="F56" s="56" t="n">
        <v>79378</v>
      </c>
      <c r="G56" s="56" t="n">
        <v>76077</v>
      </c>
      <c r="H56" s="55">
        <f t="array" ref="H56">E56+D56</f>
        <v/>
      </c>
      <c r="I56" s="55">
        <f t="array" ref="I56">G56+F56</f>
        <v/>
      </c>
      <c r="J56" s="55">
        <f t="array" ref="J56">D56+F56</f>
        <v/>
      </c>
      <c r="K56" s="55">
        <f t="array" ref="K56">E56+G56</f>
        <v/>
      </c>
      <c r="L56" s="57" t="n"/>
    </row>
    <row r="57" ht="20.1" customHeight="1" s="206">
      <c r="A57" s="2" t="inlineStr">
        <is>
          <t>p48</t>
        </is>
      </c>
      <c r="B57" s="23" t="inlineStr">
        <is>
          <t>48 years</t>
        </is>
      </c>
      <c r="C57" s="55" t="n">
        <v>861454</v>
      </c>
      <c r="D57" s="56" t="n">
        <v>360639</v>
      </c>
      <c r="E57" s="56" t="n">
        <v>345753</v>
      </c>
      <c r="F57" s="56" t="n">
        <v>79165</v>
      </c>
      <c r="G57" s="56" t="n">
        <v>75897</v>
      </c>
      <c r="H57" s="55">
        <f t="array" ref="H57">E57+D57</f>
        <v/>
      </c>
      <c r="I57" s="55">
        <f t="array" ref="I57">G57+F57</f>
        <v/>
      </c>
      <c r="J57" s="55">
        <f t="array" ref="J57">D57+F57</f>
        <v/>
      </c>
      <c r="K57" s="55">
        <f t="array" ref="K57">E57+G57</f>
        <v/>
      </c>
      <c r="L57" s="57" t="n"/>
    </row>
    <row r="58" ht="20.1" customHeight="1" s="206">
      <c r="A58" s="2" t="inlineStr">
        <is>
          <t>p49</t>
        </is>
      </c>
      <c r="B58" s="23" t="inlineStr">
        <is>
          <t>49 years</t>
        </is>
      </c>
      <c r="C58" s="55" t="n">
        <v>883497</v>
      </c>
      <c r="D58" s="56" t="n">
        <v>369784</v>
      </c>
      <c r="E58" s="56" t="n">
        <v>354684</v>
      </c>
      <c r="F58" s="56" t="n">
        <v>81172</v>
      </c>
      <c r="G58" s="56" t="n">
        <v>77857</v>
      </c>
      <c r="H58" s="55">
        <f t="array" ref="H58">E58+D58</f>
        <v/>
      </c>
      <c r="I58" s="55">
        <f t="array" ref="I58">G58+F58</f>
        <v/>
      </c>
      <c r="J58" s="55">
        <f t="array" ref="J58">D58+F58</f>
        <v/>
      </c>
      <c r="K58" s="55">
        <f t="array" ref="K58">E58+G58</f>
        <v/>
      </c>
      <c r="L58" s="57" t="n"/>
    </row>
    <row r="59" ht="20.1" customHeight="1" s="206">
      <c r="A59" s="2" t="inlineStr">
        <is>
          <t>p50</t>
        </is>
      </c>
      <c r="B59" s="23" t="inlineStr">
        <is>
          <t>50 years</t>
        </is>
      </c>
      <c r="C59" s="55" t="n">
        <v>904118</v>
      </c>
      <c r="D59" s="56" t="n">
        <v>378322</v>
      </c>
      <c r="E59" s="56" t="n">
        <v>363055</v>
      </c>
      <c r="F59" s="56" t="n">
        <v>83046</v>
      </c>
      <c r="G59" s="56" t="n">
        <v>79695</v>
      </c>
      <c r="H59" s="55">
        <f t="array" ref="H59">E59+D59</f>
        <v/>
      </c>
      <c r="I59" s="55">
        <f t="array" ref="I59">G59+F59</f>
        <v/>
      </c>
      <c r="J59" s="55">
        <f t="array" ref="J59">D59+F59</f>
        <v/>
      </c>
      <c r="K59" s="55">
        <f t="array" ref="K59">E59+G59</f>
        <v/>
      </c>
      <c r="L59" s="57" t="n"/>
    </row>
    <row r="60" ht="20.1" customHeight="1" s="206">
      <c r="A60" s="2" t="inlineStr">
        <is>
          <t>p51</t>
        </is>
      </c>
      <c r="B60" s="23" t="inlineStr">
        <is>
          <t>51 years</t>
        </is>
      </c>
      <c r="C60" s="55" t="n">
        <v>929709</v>
      </c>
      <c r="D60" s="56" t="n">
        <v>390187</v>
      </c>
      <c r="E60" s="56" t="n">
        <v>372174</v>
      </c>
      <c r="F60" s="56" t="n">
        <v>85651</v>
      </c>
      <c r="G60" s="56" t="n">
        <v>81697</v>
      </c>
      <c r="H60" s="55">
        <f t="array" ref="H60">E60+D60</f>
        <v/>
      </c>
      <c r="I60" s="55">
        <f t="array" ref="I60">G60+F60</f>
        <v/>
      </c>
      <c r="J60" s="55">
        <f t="array" ref="J60">D60+F60</f>
        <v/>
      </c>
      <c r="K60" s="55">
        <f t="array" ref="K60">E60+G60</f>
        <v/>
      </c>
      <c r="L60" s="57" t="n"/>
    </row>
    <row r="61" ht="20.1" customHeight="1" s="206">
      <c r="A61" s="2" t="inlineStr">
        <is>
          <t>p52</t>
        </is>
      </c>
      <c r="B61" s="23" t="inlineStr">
        <is>
          <t>52 years</t>
        </is>
      </c>
      <c r="C61" s="55" t="n">
        <v>913370</v>
      </c>
      <c r="D61" s="56" t="n">
        <v>382536</v>
      </c>
      <c r="E61" s="56" t="n">
        <v>366427</v>
      </c>
      <c r="F61" s="56" t="n">
        <v>83971</v>
      </c>
      <c r="G61" s="56" t="n">
        <v>80436</v>
      </c>
      <c r="H61" s="55">
        <f t="array" ref="H61">E61+D61</f>
        <v/>
      </c>
      <c r="I61" s="55">
        <f t="array" ref="I61">G61+F61</f>
        <v/>
      </c>
      <c r="J61" s="55">
        <f t="array" ref="J61">D61+F61</f>
        <v/>
      </c>
      <c r="K61" s="55">
        <f t="array" ref="K61">E61+G61</f>
        <v/>
      </c>
      <c r="L61" s="57" t="n"/>
    </row>
    <row r="62" ht="20.1" customHeight="1" s="206">
      <c r="A62" s="2" t="inlineStr">
        <is>
          <t>p53</t>
        </is>
      </c>
      <c r="B62" s="23" t="inlineStr">
        <is>
          <t>53 years</t>
        </is>
      </c>
      <c r="C62" s="55" t="n">
        <v>916369</v>
      </c>
      <c r="D62" s="56" t="n">
        <v>383259</v>
      </c>
      <c r="E62" s="56" t="n">
        <v>368164</v>
      </c>
      <c r="F62" s="56" t="n">
        <v>84130</v>
      </c>
      <c r="G62" s="56" t="n">
        <v>80816</v>
      </c>
      <c r="H62" s="55">
        <f t="array" ref="H62">E62+D62</f>
        <v/>
      </c>
      <c r="I62" s="55">
        <f t="array" ref="I62">G62+F62</f>
        <v/>
      </c>
      <c r="J62" s="55">
        <f t="array" ref="J62">D62+F62</f>
        <v/>
      </c>
      <c r="K62" s="55">
        <f t="array" ref="K62">E62+G62</f>
        <v/>
      </c>
      <c r="L62" s="57" t="n"/>
    </row>
    <row r="63" ht="20.1" customHeight="1" s="206">
      <c r="A63" s="2" t="inlineStr">
        <is>
          <t>p54</t>
        </is>
      </c>
      <c r="B63" s="23" t="inlineStr">
        <is>
          <t>54 years</t>
        </is>
      </c>
      <c r="C63" s="55" t="n">
        <v>895783</v>
      </c>
      <c r="D63" s="56" t="n">
        <v>374647</v>
      </c>
      <c r="E63" s="56" t="n">
        <v>359895</v>
      </c>
      <c r="F63" s="56" t="n">
        <v>82240</v>
      </c>
      <c r="G63" s="56" t="n">
        <v>79001</v>
      </c>
      <c r="H63" s="55">
        <f t="array" ref="H63">E63+D63</f>
        <v/>
      </c>
      <c r="I63" s="55">
        <f t="array" ref="I63">G63+F63</f>
        <v/>
      </c>
      <c r="J63" s="55">
        <f t="array" ref="J63">D63+F63</f>
        <v/>
      </c>
      <c r="K63" s="55">
        <f t="array" ref="K63">E63+G63</f>
        <v/>
      </c>
      <c r="L63" s="57" t="n"/>
    </row>
    <row r="64" ht="20.1" customHeight="1" s="206">
      <c r="A64" s="2" t="inlineStr">
        <is>
          <t>p55</t>
        </is>
      </c>
      <c r="B64" s="23" t="inlineStr">
        <is>
          <t>55 years</t>
        </is>
      </c>
      <c r="C64" s="55" t="n">
        <v>893882</v>
      </c>
      <c r="D64" s="56" t="n">
        <v>372786</v>
      </c>
      <c r="E64" s="56" t="n">
        <v>360197</v>
      </c>
      <c r="F64" s="56" t="n">
        <v>81831</v>
      </c>
      <c r="G64" s="56" t="n">
        <v>79068</v>
      </c>
      <c r="H64" s="55">
        <f t="array" ref="H64">E64+D64</f>
        <v/>
      </c>
      <c r="I64" s="55">
        <f t="array" ref="I64">G64+F64</f>
        <v/>
      </c>
      <c r="J64" s="55">
        <f t="array" ref="J64">D64+F64</f>
        <v/>
      </c>
      <c r="K64" s="55">
        <f t="array" ref="K64">E64+G64</f>
        <v/>
      </c>
      <c r="L64" s="57" t="n"/>
    </row>
    <row r="65" ht="20.1" customHeight="1" s="206">
      <c r="A65" s="2" t="inlineStr">
        <is>
          <t>p56</t>
        </is>
      </c>
      <c r="B65" s="23" t="inlineStr">
        <is>
          <t>56 years</t>
        </is>
      </c>
      <c r="C65" s="55" t="n">
        <v>895129</v>
      </c>
      <c r="D65" s="56" t="n">
        <v>374515</v>
      </c>
      <c r="E65" s="56" t="n">
        <v>359491</v>
      </c>
      <c r="F65" s="56" t="n">
        <v>82210</v>
      </c>
      <c r="G65" s="56" t="n">
        <v>78913</v>
      </c>
      <c r="H65" s="55">
        <f t="array" ref="H65">E65+D65</f>
        <v/>
      </c>
      <c r="I65" s="55">
        <f t="array" ref="I65">G65+F65</f>
        <v/>
      </c>
      <c r="J65" s="55">
        <f t="array" ref="J65">D65+F65</f>
        <v/>
      </c>
      <c r="K65" s="55">
        <f t="array" ref="K65">E65+G65</f>
        <v/>
      </c>
      <c r="L65" s="57" t="n"/>
    </row>
    <row r="66" ht="20.1" customHeight="1" s="206">
      <c r="A66" s="2" t="inlineStr">
        <is>
          <t>p57</t>
        </is>
      </c>
      <c r="B66" s="23" t="inlineStr">
        <is>
          <t>57 years</t>
        </is>
      </c>
      <c r="C66" s="55" t="n">
        <v>901647</v>
      </c>
      <c r="D66" s="56" t="n">
        <v>377173</v>
      </c>
      <c r="E66" s="56" t="n">
        <v>362178</v>
      </c>
      <c r="F66" s="56" t="n">
        <v>82794</v>
      </c>
      <c r="G66" s="56" t="n">
        <v>79502</v>
      </c>
      <c r="H66" s="55">
        <f t="array" ref="H66">E66+D66</f>
        <v/>
      </c>
      <c r="I66" s="55">
        <f t="array" ref="I66">G66+F66</f>
        <v/>
      </c>
      <c r="J66" s="55">
        <f t="array" ref="J66">D66+F66</f>
        <v/>
      </c>
      <c r="K66" s="55">
        <f t="array" ref="K66">E66+G66</f>
        <v/>
      </c>
      <c r="L66" s="57" t="n"/>
    </row>
    <row r="67" ht="20.1" customHeight="1" s="206">
      <c r="A67" s="2" t="inlineStr">
        <is>
          <t>p58</t>
        </is>
      </c>
      <c r="B67" s="23" t="inlineStr">
        <is>
          <t>58 years</t>
        </is>
      </c>
      <c r="C67" s="55" t="n">
        <v>894393</v>
      </c>
      <c r="D67" s="56" t="n">
        <v>374458</v>
      </c>
      <c r="E67" s="56" t="n">
        <v>358944</v>
      </c>
      <c r="F67" s="56" t="n">
        <v>82198</v>
      </c>
      <c r="G67" s="56" t="n">
        <v>78793</v>
      </c>
      <c r="H67" s="55">
        <f t="array" ref="H67">E67+D67</f>
        <v/>
      </c>
      <c r="I67" s="55">
        <f t="array" ref="I67">G67+F67</f>
        <v/>
      </c>
      <c r="J67" s="55">
        <f t="array" ref="J67">D67+F67</f>
        <v/>
      </c>
      <c r="K67" s="55">
        <f t="array" ref="K67">E67+G67</f>
        <v/>
      </c>
      <c r="L67" s="57" t="n"/>
    </row>
    <row r="68" ht="20.1" customHeight="1" s="206">
      <c r="A68" s="2" t="inlineStr">
        <is>
          <t>p59</t>
        </is>
      </c>
      <c r="B68" s="23" t="inlineStr">
        <is>
          <t>59 years</t>
        </is>
      </c>
      <c r="C68" s="55" t="n">
        <v>887206</v>
      </c>
      <c r="D68" s="56" t="n">
        <v>371251</v>
      </c>
      <c r="E68" s="56" t="n">
        <v>356258</v>
      </c>
      <c r="F68" s="56" t="n">
        <v>81494</v>
      </c>
      <c r="G68" s="56" t="n">
        <v>78203</v>
      </c>
      <c r="H68" s="55">
        <f t="array" ref="H68">E68+D68</f>
        <v/>
      </c>
      <c r="I68" s="55">
        <f t="array" ref="I68">G68+F68</f>
        <v/>
      </c>
      <c r="J68" s="55">
        <f t="array" ref="J68">D68+F68</f>
        <v/>
      </c>
      <c r="K68" s="55">
        <f t="array" ref="K68">E68+G68</f>
        <v/>
      </c>
      <c r="L68" s="57" t="n"/>
    </row>
    <row r="69" ht="20.1" customHeight="1" s="206">
      <c r="A69" s="2" t="inlineStr">
        <is>
          <t>p60</t>
        </is>
      </c>
      <c r="B69" s="23" t="inlineStr">
        <is>
          <t>60 years</t>
        </is>
      </c>
      <c r="C69" s="55" t="n">
        <v>879351</v>
      </c>
      <c r="D69" s="56" t="n">
        <v>367996</v>
      </c>
      <c r="E69" s="56" t="n">
        <v>353072</v>
      </c>
      <c r="F69" s="56" t="n">
        <v>80780</v>
      </c>
      <c r="G69" s="56" t="n">
        <v>77503</v>
      </c>
      <c r="H69" s="55">
        <f t="array" ref="H69">E69+D69</f>
        <v/>
      </c>
      <c r="I69" s="55">
        <f t="array" ref="I69">G69+F69</f>
        <v/>
      </c>
      <c r="J69" s="55">
        <f t="array" ref="J69">D69+F69</f>
        <v/>
      </c>
      <c r="K69" s="55">
        <f t="array" ref="K69">E69+G69</f>
        <v/>
      </c>
      <c r="L69" s="57" t="n"/>
    </row>
    <row r="70" ht="20.1" customHeight="1" s="206">
      <c r="A70" s="2" t="inlineStr">
        <is>
          <t>p61</t>
        </is>
      </c>
      <c r="B70" s="23" t="inlineStr">
        <is>
          <t>61 years</t>
        </is>
      </c>
      <c r="C70" s="55" t="n">
        <v>864961</v>
      </c>
      <c r="D70" s="56" t="n">
        <v>362039</v>
      </c>
      <c r="E70" s="56" t="n">
        <v>347229</v>
      </c>
      <c r="F70" s="56" t="n">
        <v>79472</v>
      </c>
      <c r="G70" s="56" t="n">
        <v>76221</v>
      </c>
      <c r="H70" s="55">
        <f t="array" ref="H70">E70+D70</f>
        <v/>
      </c>
      <c r="I70" s="55">
        <f t="array" ref="I70">G70+F70</f>
        <v/>
      </c>
      <c r="J70" s="55">
        <f t="array" ref="J70">D70+F70</f>
        <v/>
      </c>
      <c r="K70" s="55">
        <f t="array" ref="K70">E70+G70</f>
        <v/>
      </c>
      <c r="L70" s="57" t="n"/>
    </row>
    <row r="71" ht="20.1" customHeight="1" s="206">
      <c r="A71" s="2" t="inlineStr">
        <is>
          <t>p62</t>
        </is>
      </c>
      <c r="B71" s="23" t="inlineStr">
        <is>
          <t>62 years</t>
        </is>
      </c>
      <c r="C71" s="55" t="n">
        <v>833129</v>
      </c>
      <c r="D71" s="56" t="n">
        <v>348834</v>
      </c>
      <c r="E71" s="56" t="n">
        <v>334332</v>
      </c>
      <c r="F71" s="56" t="n">
        <v>76573</v>
      </c>
      <c r="G71" s="56" t="n">
        <v>73390</v>
      </c>
      <c r="H71" s="55">
        <f t="array" ref="H71">E71+D71</f>
        <v/>
      </c>
      <c r="I71" s="55">
        <f t="array" ref="I71">G71+F71</f>
        <v/>
      </c>
      <c r="J71" s="55">
        <f t="array" ref="J71">D71+F71</f>
        <v/>
      </c>
      <c r="K71" s="55">
        <f t="array" ref="K71">E71+G71</f>
        <v/>
      </c>
      <c r="L71" s="57" t="n"/>
    </row>
    <row r="72" ht="20.1" customHeight="1" s="206">
      <c r="A72" s="2" t="inlineStr">
        <is>
          <t>p63</t>
        </is>
      </c>
      <c r="B72" s="23" t="inlineStr">
        <is>
          <t>63 years</t>
        </is>
      </c>
      <c r="C72" s="55" t="n">
        <v>822183</v>
      </c>
      <c r="D72" s="56" t="n">
        <v>344901</v>
      </c>
      <c r="E72" s="56" t="n">
        <v>329289</v>
      </c>
      <c r="F72" s="56" t="n">
        <v>75710</v>
      </c>
      <c r="G72" s="56" t="n">
        <v>72283</v>
      </c>
      <c r="H72" s="55">
        <f t="array" ref="H72">E72+D72</f>
        <v/>
      </c>
      <c r="I72" s="55">
        <f t="array" ref="I72">G72+F72</f>
        <v/>
      </c>
      <c r="J72" s="55">
        <f t="array" ref="J72">D72+F72</f>
        <v/>
      </c>
      <c r="K72" s="55">
        <f t="array" ref="K72">E72+G72</f>
        <v/>
      </c>
      <c r="L72" s="57" t="n"/>
    </row>
    <row r="73" ht="20.1" customHeight="1" s="206">
      <c r="A73" s="2" t="inlineStr">
        <is>
          <t>p64</t>
        </is>
      </c>
      <c r="B73" s="23" t="inlineStr">
        <is>
          <t>64 years</t>
        </is>
      </c>
      <c r="C73" s="55" t="n">
        <v>804032</v>
      </c>
      <c r="D73" s="56" t="n">
        <v>337612</v>
      </c>
      <c r="E73" s="56" t="n">
        <v>321694</v>
      </c>
      <c r="F73" s="56" t="n">
        <v>74110</v>
      </c>
      <c r="G73" s="56" t="n">
        <v>70616</v>
      </c>
      <c r="H73" s="55">
        <f t="array" ref="H73">E73+D73</f>
        <v/>
      </c>
      <c r="I73" s="55">
        <f t="array" ref="I73">G73+F73</f>
        <v/>
      </c>
      <c r="J73" s="55">
        <f t="array" ref="J73">D73+F73</f>
        <v/>
      </c>
      <c r="K73" s="55">
        <f t="array" ref="K73">E73+G73</f>
        <v/>
      </c>
      <c r="L73" s="57" t="n"/>
    </row>
    <row r="74" ht="20.1" customHeight="1" s="206">
      <c r="A74" s="2" t="inlineStr">
        <is>
          <t>p65</t>
        </is>
      </c>
      <c r="B74" s="23" t="inlineStr">
        <is>
          <t>65 years</t>
        </is>
      </c>
      <c r="C74" s="55" t="n">
        <v>780096</v>
      </c>
      <c r="D74" s="56" t="n">
        <v>328164</v>
      </c>
      <c r="E74" s="56" t="n">
        <v>311515</v>
      </c>
      <c r="F74" s="56" t="n">
        <v>72036</v>
      </c>
      <c r="G74" s="56" t="n">
        <v>68381</v>
      </c>
      <c r="H74" s="55">
        <f t="array" ref="H74">E74+D74</f>
        <v/>
      </c>
      <c r="I74" s="55">
        <f t="array" ref="I74">G74+F74</f>
        <v/>
      </c>
      <c r="J74" s="55">
        <f t="array" ref="J74">D74+F74</f>
        <v/>
      </c>
      <c r="K74" s="55">
        <f t="array" ref="K74">E74+G74</f>
        <v/>
      </c>
      <c r="L74" s="57" t="n"/>
    </row>
    <row r="75" ht="20.1" customHeight="1" s="206">
      <c r="A75" s="2" t="inlineStr">
        <is>
          <t>p66</t>
        </is>
      </c>
      <c r="B75" s="23" t="inlineStr">
        <is>
          <t>66 years</t>
        </is>
      </c>
      <c r="C75" s="55" t="n">
        <v>756733</v>
      </c>
      <c r="D75" s="56" t="n">
        <v>319079</v>
      </c>
      <c r="E75" s="56" t="n">
        <v>301442</v>
      </c>
      <c r="F75" s="56" t="n">
        <v>70042</v>
      </c>
      <c r="G75" s="56" t="n">
        <v>66170</v>
      </c>
      <c r="H75" s="55">
        <f t="array" ref="H75">E75+D75</f>
        <v/>
      </c>
      <c r="I75" s="55">
        <f t="array" ref="I75">G75+F75</f>
        <v/>
      </c>
      <c r="J75" s="55">
        <f t="array" ref="J75">D75+F75</f>
        <v/>
      </c>
      <c r="K75" s="55">
        <f t="array" ref="K75">E75+G75</f>
        <v/>
      </c>
      <c r="L75" s="57" t="n"/>
    </row>
    <row r="76" ht="20.1" customHeight="1" s="206">
      <c r="A76" s="2" t="inlineStr">
        <is>
          <t>p67</t>
        </is>
      </c>
      <c r="B76" s="23" t="inlineStr">
        <is>
          <t>67 years</t>
        </is>
      </c>
      <c r="C76" s="55" t="n">
        <v>735080</v>
      </c>
      <c r="D76" s="56" t="n">
        <v>311141</v>
      </c>
      <c r="E76" s="56" t="n">
        <v>291625</v>
      </c>
      <c r="F76" s="56" t="n">
        <v>68299</v>
      </c>
      <c r="G76" s="56" t="n">
        <v>64015</v>
      </c>
      <c r="H76" s="55">
        <f t="array" ref="H76">E76+D76</f>
        <v/>
      </c>
      <c r="I76" s="55">
        <f t="array" ref="I76">G76+F76</f>
        <v/>
      </c>
      <c r="J76" s="55">
        <f t="array" ref="J76">D76+F76</f>
        <v/>
      </c>
      <c r="K76" s="55">
        <f t="array" ref="K76">E76+G76</f>
        <v/>
      </c>
      <c r="L76" s="57" t="n"/>
    </row>
    <row r="77" ht="20.1" customHeight="1" s="206">
      <c r="A77" s="2" t="inlineStr">
        <is>
          <t>p68</t>
        </is>
      </c>
      <c r="B77" s="23" t="inlineStr">
        <is>
          <t>68 years</t>
        </is>
      </c>
      <c r="C77" s="55" t="n">
        <v>727277</v>
      </c>
      <c r="D77" s="56" t="n">
        <v>308787</v>
      </c>
      <c r="E77" s="56" t="n">
        <v>287580</v>
      </c>
      <c r="F77" s="56" t="n">
        <v>67783</v>
      </c>
      <c r="G77" s="56" t="n">
        <v>63127</v>
      </c>
      <c r="H77" s="55">
        <f t="array" ref="H77">E77+D77</f>
        <v/>
      </c>
      <c r="I77" s="55">
        <f t="array" ref="I77">G77+F77</f>
        <v/>
      </c>
      <c r="J77" s="55">
        <f t="array" ref="J77">D77+F77</f>
        <v/>
      </c>
      <c r="K77" s="55">
        <f t="array" ref="K77">E77+G77</f>
        <v/>
      </c>
      <c r="L77" s="57" t="n"/>
    </row>
    <row r="78" ht="20.1" customHeight="1" s="206">
      <c r="A78" s="2" t="inlineStr">
        <is>
          <t>p69</t>
        </is>
      </c>
      <c r="B78" s="23" t="inlineStr">
        <is>
          <t>69 years</t>
        </is>
      </c>
      <c r="C78" s="55" t="n">
        <v>708911</v>
      </c>
      <c r="D78" s="56" t="n">
        <v>301166</v>
      </c>
      <c r="E78" s="56" t="n">
        <v>280141</v>
      </c>
      <c r="F78" s="56" t="n">
        <v>66110</v>
      </c>
      <c r="G78" s="56" t="n">
        <v>61494</v>
      </c>
      <c r="H78" s="55">
        <f t="array" ref="H78">E78+D78</f>
        <v/>
      </c>
      <c r="I78" s="55">
        <f t="array" ref="I78">G78+F78</f>
        <v/>
      </c>
      <c r="J78" s="55">
        <f t="array" ref="J78">D78+F78</f>
        <v/>
      </c>
      <c r="K78" s="55">
        <f t="array" ref="K78">E78+G78</f>
        <v/>
      </c>
      <c r="L78" s="57" t="n"/>
    </row>
    <row r="79" ht="20.1" customHeight="1" s="206">
      <c r="A79" s="2" t="inlineStr">
        <is>
          <t>p70</t>
        </is>
      </c>
      <c r="B79" s="23" t="inlineStr">
        <is>
          <t>70 years</t>
        </is>
      </c>
      <c r="C79" s="55" t="n">
        <v>683461</v>
      </c>
      <c r="D79" s="56" t="n">
        <v>291669</v>
      </c>
      <c r="E79" s="56" t="n">
        <v>268769</v>
      </c>
      <c r="F79" s="56" t="n">
        <v>64025</v>
      </c>
      <c r="G79" s="56" t="n">
        <v>58998</v>
      </c>
      <c r="H79" s="55">
        <f t="array" ref="H79">E79+D79</f>
        <v/>
      </c>
      <c r="I79" s="55">
        <f t="array" ref="I79">G79+F79</f>
        <v/>
      </c>
      <c r="J79" s="55">
        <f t="array" ref="J79">D79+F79</f>
        <v/>
      </c>
      <c r="K79" s="55">
        <f t="array" ref="K79">E79+G79</f>
        <v/>
      </c>
      <c r="L79" s="57" t="n"/>
    </row>
    <row r="80" ht="20.1" customHeight="1" s="206">
      <c r="A80" s="2" t="inlineStr">
        <is>
          <t>p71</t>
        </is>
      </c>
      <c r="B80" s="23" t="inlineStr">
        <is>
          <t>71 years</t>
        </is>
      </c>
      <c r="C80" s="55" t="n">
        <v>671978</v>
      </c>
      <c r="D80" s="56" t="n">
        <v>287007</v>
      </c>
      <c r="E80" s="56" t="n">
        <v>264015</v>
      </c>
      <c r="F80" s="56" t="n">
        <v>63002</v>
      </c>
      <c r="G80" s="56" t="n">
        <v>57954</v>
      </c>
      <c r="H80" s="55">
        <f t="array" ref="H80">E80+D80</f>
        <v/>
      </c>
      <c r="I80" s="55">
        <f t="array" ref="I80">G80+F80</f>
        <v/>
      </c>
      <c r="J80" s="55">
        <f t="array" ref="J80">D80+F80</f>
        <v/>
      </c>
      <c r="K80" s="55">
        <f t="array" ref="K80">E80+G80</f>
        <v/>
      </c>
      <c r="L80" s="57" t="n"/>
    </row>
    <row r="81" ht="20.1" customHeight="1" s="206">
      <c r="A81" s="2" t="inlineStr">
        <is>
          <t>p72</t>
        </is>
      </c>
      <c r="B81" s="23" t="inlineStr">
        <is>
          <t>72 years</t>
        </is>
      </c>
      <c r="C81" s="55" t="n">
        <v>662590</v>
      </c>
      <c r="D81" s="56" t="n">
        <v>284429</v>
      </c>
      <c r="E81" s="56" t="n">
        <v>258895</v>
      </c>
      <c r="F81" s="56" t="n">
        <v>62435</v>
      </c>
      <c r="G81" s="56" t="n">
        <v>56831</v>
      </c>
      <c r="H81" s="55">
        <f t="array" ref="H81">E81+D81</f>
        <v/>
      </c>
      <c r="I81" s="55">
        <f t="array" ref="I81">G81+F81</f>
        <v/>
      </c>
      <c r="J81" s="55">
        <f t="array" ref="J81">D81+F81</f>
        <v/>
      </c>
      <c r="K81" s="55">
        <f t="array" ref="K81">E81+G81</f>
        <v/>
      </c>
      <c r="L81" s="57" t="n"/>
    </row>
    <row r="82" ht="20.1" customHeight="1" s="206">
      <c r="A82" s="2" t="inlineStr">
        <is>
          <t>p73</t>
        </is>
      </c>
      <c r="B82" s="23" t="inlineStr">
        <is>
          <t>73 years</t>
        </is>
      </c>
      <c r="C82" s="55" t="n">
        <v>660734</v>
      </c>
      <c r="D82" s="56" t="n">
        <v>284041</v>
      </c>
      <c r="E82" s="56" t="n">
        <v>257761</v>
      </c>
      <c r="F82" s="56" t="n">
        <v>62350</v>
      </c>
      <c r="G82" s="56" t="n">
        <v>56582</v>
      </c>
      <c r="H82" s="55">
        <f t="array" ref="H82">E82+D82</f>
        <v/>
      </c>
      <c r="I82" s="55">
        <f t="array" ref="I82">G82+F82</f>
        <v/>
      </c>
      <c r="J82" s="55">
        <f t="array" ref="J82">D82+F82</f>
        <v/>
      </c>
      <c r="K82" s="55">
        <f t="array" ref="K82">E82+G82</f>
        <v/>
      </c>
      <c r="L82" s="57" t="n"/>
    </row>
    <row r="83" ht="20.1" customHeight="1" s="206">
      <c r="A83" s="2" t="inlineStr">
        <is>
          <t>p74</t>
        </is>
      </c>
      <c r="B83" s="23" t="inlineStr">
        <is>
          <t>74 years</t>
        </is>
      </c>
      <c r="C83" s="55" t="n">
        <v>671004</v>
      </c>
      <c r="D83" s="56" t="n">
        <v>289796</v>
      </c>
      <c r="E83" s="56" t="n">
        <v>260427</v>
      </c>
      <c r="F83" s="56" t="n">
        <v>63614</v>
      </c>
      <c r="G83" s="56" t="n">
        <v>57167</v>
      </c>
      <c r="H83" s="55">
        <f t="array" ref="H83">E83+D83</f>
        <v/>
      </c>
      <c r="I83" s="55">
        <f t="array" ref="I83">G83+F83</f>
        <v/>
      </c>
      <c r="J83" s="55">
        <f t="array" ref="J83">D83+F83</f>
        <v/>
      </c>
      <c r="K83" s="55">
        <f t="array" ref="K83">E83+G83</f>
        <v/>
      </c>
      <c r="L83" s="57" t="n"/>
    </row>
    <row r="84" ht="20.1" customHeight="1" s="206">
      <c r="A84" s="2" t="inlineStr">
        <is>
          <t>p75</t>
        </is>
      </c>
      <c r="B84" s="23" t="inlineStr">
        <is>
          <t>75 years</t>
        </is>
      </c>
      <c r="C84" s="55" t="n">
        <v>691314</v>
      </c>
      <c r="D84" s="56" t="n">
        <v>299343</v>
      </c>
      <c r="E84" s="56" t="n">
        <v>267534</v>
      </c>
      <c r="F84" s="56" t="n">
        <v>65710</v>
      </c>
      <c r="G84" s="56" t="n">
        <v>58727</v>
      </c>
      <c r="H84" s="55">
        <f t="array" ref="H84">E84+D84</f>
        <v/>
      </c>
      <c r="I84" s="55">
        <f t="array" ref="I84">G84+F84</f>
        <v/>
      </c>
      <c r="J84" s="55">
        <f t="array" ref="J84">D84+F84</f>
        <v/>
      </c>
      <c r="K84" s="55">
        <f t="array" ref="K84">E84+G84</f>
        <v/>
      </c>
      <c r="L84" s="57" t="n"/>
    </row>
    <row r="85" ht="20.1" customHeight="1" s="206">
      <c r="A85" s="2" t="inlineStr">
        <is>
          <t>p76</t>
        </is>
      </c>
      <c r="B85" s="23" t="inlineStr">
        <is>
          <t>76 years</t>
        </is>
      </c>
      <c r="C85" s="55" t="n">
        <v>557883</v>
      </c>
      <c r="D85" s="56" t="n">
        <v>242973</v>
      </c>
      <c r="E85" s="56" t="n">
        <v>214491</v>
      </c>
      <c r="F85" s="56" t="n">
        <v>53336</v>
      </c>
      <c r="G85" s="56" t="n">
        <v>47083</v>
      </c>
      <c r="H85" s="55">
        <f t="array" ref="H85">E85+D85</f>
        <v/>
      </c>
      <c r="I85" s="55">
        <f t="array" ref="I85">G85+F85</f>
        <v/>
      </c>
      <c r="J85" s="55">
        <f t="array" ref="J85">D85+F85</f>
        <v/>
      </c>
      <c r="K85" s="55">
        <f t="array" ref="K85">E85+G85</f>
        <v/>
      </c>
      <c r="L85" s="57" t="n"/>
    </row>
    <row r="86" ht="20.1" customHeight="1" s="206">
      <c r="A86" s="2" t="inlineStr">
        <is>
          <t>p77</t>
        </is>
      </c>
      <c r="B86" s="23" t="inlineStr">
        <is>
          <t>77 years</t>
        </is>
      </c>
      <c r="C86" s="55" t="n">
        <v>528747</v>
      </c>
      <c r="D86" s="56" t="n">
        <v>232063</v>
      </c>
      <c r="E86" s="56" t="n">
        <v>201510</v>
      </c>
      <c r="F86" s="56" t="n">
        <v>50940</v>
      </c>
      <c r="G86" s="56" t="n">
        <v>44234</v>
      </c>
      <c r="H86" s="55">
        <f t="array" ref="H86">E86+D86</f>
        <v/>
      </c>
      <c r="I86" s="55">
        <f t="array" ref="I86">G86+F86</f>
        <v/>
      </c>
      <c r="J86" s="55">
        <f t="array" ref="J86">D86+F86</f>
        <v/>
      </c>
      <c r="K86" s="55">
        <f t="array" ref="K86">E86+G86</f>
        <v/>
      </c>
      <c r="L86" s="57" t="n"/>
    </row>
    <row r="87" ht="20.1" customHeight="1" s="206">
      <c r="A87" s="2" t="inlineStr">
        <is>
          <t>p78</t>
        </is>
      </c>
      <c r="B87" s="23" t="inlineStr">
        <is>
          <t>78 years</t>
        </is>
      </c>
      <c r="C87" s="55" t="n">
        <v>516361</v>
      </c>
      <c r="D87" s="56" t="n">
        <v>227551</v>
      </c>
      <c r="E87" s="56" t="n">
        <v>195865</v>
      </c>
      <c r="F87" s="56" t="n">
        <v>49950</v>
      </c>
      <c r="G87" s="56" t="n">
        <v>42995</v>
      </c>
      <c r="H87" s="55">
        <f t="array" ref="H87">E87+D87</f>
        <v/>
      </c>
      <c r="I87" s="55">
        <f t="array" ref="I87">G87+F87</f>
        <v/>
      </c>
      <c r="J87" s="55">
        <f t="array" ref="J87">D87+F87</f>
        <v/>
      </c>
      <c r="K87" s="55">
        <f t="array" ref="K87">E87+G87</f>
        <v/>
      </c>
      <c r="L87" s="57" t="n"/>
    </row>
    <row r="88" ht="20.1" customHeight="1" s="206">
      <c r="A88" s="2" t="inlineStr">
        <is>
          <t>p79</t>
        </is>
      </c>
      <c r="B88" s="23" t="inlineStr">
        <is>
          <t>79 years</t>
        </is>
      </c>
      <c r="C88" s="55" t="n">
        <v>476827</v>
      </c>
      <c r="D88" s="56" t="n">
        <v>212180</v>
      </c>
      <c r="E88" s="56" t="n">
        <v>178818</v>
      </c>
      <c r="F88" s="56" t="n">
        <v>46576</v>
      </c>
      <c r="G88" s="56" t="n">
        <v>39253</v>
      </c>
      <c r="H88" s="55">
        <f t="array" ref="H88">E88+D88</f>
        <v/>
      </c>
      <c r="I88" s="55">
        <f t="array" ref="I88">G88+F88</f>
        <v/>
      </c>
      <c r="J88" s="55">
        <f t="array" ref="J88">D88+F88</f>
        <v/>
      </c>
      <c r="K88" s="55">
        <f t="array" ref="K88">E88+G88</f>
        <v/>
      </c>
      <c r="L88" s="57" t="n"/>
    </row>
    <row r="89" ht="20.1" customHeight="1" s="206">
      <c r="A89" s="2" t="inlineStr">
        <is>
          <t>p80</t>
        </is>
      </c>
      <c r="B89" s="23" t="inlineStr">
        <is>
          <t>80 years</t>
        </is>
      </c>
      <c r="C89" s="55" t="n">
        <v>426504</v>
      </c>
      <c r="D89" s="56" t="n">
        <v>191737</v>
      </c>
      <c r="E89" s="56" t="n">
        <v>157996</v>
      </c>
      <c r="F89" s="56" t="n">
        <v>42089</v>
      </c>
      <c r="G89" s="56" t="n">
        <v>34682</v>
      </c>
      <c r="H89" s="55">
        <f t="array" ref="H89">E89+D89</f>
        <v/>
      </c>
      <c r="I89" s="55">
        <f t="array" ref="I89">G89+F89</f>
        <v/>
      </c>
      <c r="J89" s="55">
        <f t="array" ref="J89">D89+F89</f>
        <v/>
      </c>
      <c r="K89" s="55">
        <f t="array" ref="K89">E89+G89</f>
        <v/>
      </c>
      <c r="L89" s="57" t="n"/>
    </row>
    <row r="90" ht="20.1" customHeight="1" s="206">
      <c r="A90" s="2" t="inlineStr">
        <is>
          <t>p81</t>
        </is>
      </c>
      <c r="B90" s="23" t="inlineStr">
        <is>
          <t>81 years</t>
        </is>
      </c>
      <c r="C90" s="55" t="n">
        <v>385046</v>
      </c>
      <c r="D90" s="56" t="n">
        <v>174847</v>
      </c>
      <c r="E90" s="56" t="n">
        <v>140891</v>
      </c>
      <c r="F90" s="56" t="n">
        <v>38381</v>
      </c>
      <c r="G90" s="56" t="n">
        <v>30927</v>
      </c>
      <c r="H90" s="55">
        <f t="array" ref="H90">E90+D90</f>
        <v/>
      </c>
      <c r="I90" s="55">
        <f t="array" ref="I90">G90+F90</f>
        <v/>
      </c>
      <c r="J90" s="55">
        <f t="array" ref="J90">D90+F90</f>
        <v/>
      </c>
      <c r="K90" s="55">
        <f t="array" ref="K90">E90+G90</f>
        <v/>
      </c>
      <c r="L90" s="57" t="n"/>
    </row>
    <row r="91" ht="20.1" customHeight="1" s="206">
      <c r="A91" s="2" t="inlineStr">
        <is>
          <t>p82</t>
        </is>
      </c>
      <c r="B91" s="23" t="inlineStr">
        <is>
          <t>82 years</t>
        </is>
      </c>
      <c r="C91" s="55" t="n">
        <v>381317</v>
      </c>
      <c r="D91" s="56" t="n">
        <v>174633</v>
      </c>
      <c r="E91" s="56" t="n">
        <v>138047</v>
      </c>
      <c r="F91" s="56" t="n">
        <v>38334</v>
      </c>
      <c r="G91" s="56" t="n">
        <v>30303</v>
      </c>
      <c r="H91" s="55">
        <f t="array" ref="H91">E91+D91</f>
        <v/>
      </c>
      <c r="I91" s="55">
        <f t="array" ref="I91">G91+F91</f>
        <v/>
      </c>
      <c r="J91" s="55">
        <f t="array" ref="J91">D91+F91</f>
        <v/>
      </c>
      <c r="K91" s="55">
        <f t="array" ref="K91">E91+G91</f>
        <v/>
      </c>
      <c r="L91" s="57" t="n"/>
    </row>
    <row r="92" ht="20.1" customHeight="1" s="206">
      <c r="A92" s="2" t="inlineStr">
        <is>
          <t>p83</t>
        </is>
      </c>
      <c r="B92" s="23" t="inlineStr">
        <is>
          <t>83 years</t>
        </is>
      </c>
      <c r="C92" s="55" t="n">
        <v>366545</v>
      </c>
      <c r="D92" s="56" t="n">
        <v>169064</v>
      </c>
      <c r="E92" s="56" t="n">
        <v>131503</v>
      </c>
      <c r="F92" s="56" t="n">
        <v>37112</v>
      </c>
      <c r="G92" s="56" t="n">
        <v>28866</v>
      </c>
      <c r="H92" s="55">
        <f t="array" ref="H92">E92+D92</f>
        <v/>
      </c>
      <c r="I92" s="55">
        <f t="array" ref="I92">G92+F92</f>
        <v/>
      </c>
      <c r="J92" s="55">
        <f t="array" ref="J92">D92+F92</f>
        <v/>
      </c>
      <c r="K92" s="55">
        <f t="array" ref="K92">E92+G92</f>
        <v/>
      </c>
      <c r="L92" s="57" t="n"/>
    </row>
    <row r="93" ht="20.1" customHeight="1" s="206">
      <c r="A93" s="2" t="inlineStr">
        <is>
          <t>p84</t>
        </is>
      </c>
      <c r="B93" s="23" t="inlineStr">
        <is>
          <t>84 years</t>
        </is>
      </c>
      <c r="C93" s="55" t="n">
        <v>349567</v>
      </c>
      <c r="D93" s="56" t="n">
        <v>162766</v>
      </c>
      <c r="E93" s="56" t="n">
        <v>123879</v>
      </c>
      <c r="F93" s="56" t="n">
        <v>35729</v>
      </c>
      <c r="G93" s="56" t="n">
        <v>27193</v>
      </c>
      <c r="H93" s="55">
        <f t="array" ref="H93">E93+D93</f>
        <v/>
      </c>
      <c r="I93" s="55">
        <f t="array" ref="I93">G93+F93</f>
        <v/>
      </c>
      <c r="J93" s="55">
        <f t="array" ref="J93">D93+F93</f>
        <v/>
      </c>
      <c r="K93" s="55">
        <f t="array" ref="K93">E93+G93</f>
        <v/>
      </c>
      <c r="L93" s="57" t="n"/>
    </row>
    <row r="94" ht="20.1" customHeight="1" s="206">
      <c r="A94" s="2" t="inlineStr">
        <is>
          <t>p85</t>
        </is>
      </c>
      <c r="B94" s="23" t="inlineStr">
        <is>
          <t>85 years</t>
        </is>
      </c>
      <c r="C94" s="55" t="n">
        <v>330349</v>
      </c>
      <c r="D94" s="56" t="n">
        <v>155331</v>
      </c>
      <c r="E94" s="56" t="n">
        <v>115555</v>
      </c>
      <c r="F94" s="56" t="n">
        <v>34097</v>
      </c>
      <c r="G94" s="56" t="n">
        <v>25366</v>
      </c>
      <c r="H94" s="55">
        <f t="array" ref="H94">E94+D94</f>
        <v/>
      </c>
      <c r="I94" s="55">
        <f t="array" ref="I94">G94+F94</f>
        <v/>
      </c>
      <c r="J94" s="55">
        <f t="array" ref="J94">D94+F94</f>
        <v/>
      </c>
      <c r="K94" s="55">
        <f t="array" ref="K94">E94+G94</f>
        <v/>
      </c>
      <c r="L94" s="57" t="n"/>
    </row>
    <row r="95" ht="20.1" customHeight="1" s="206">
      <c r="A95" s="2" t="inlineStr">
        <is>
          <t>p86</t>
        </is>
      </c>
      <c r="B95" s="23" t="inlineStr">
        <is>
          <t>86 years</t>
        </is>
      </c>
      <c r="C95" s="55" t="n">
        <v>269634</v>
      </c>
      <c r="D95" s="56" t="n">
        <v>128862</v>
      </c>
      <c r="E95" s="56" t="n">
        <v>92238</v>
      </c>
      <c r="F95" s="56" t="n">
        <v>28287</v>
      </c>
      <c r="G95" s="56" t="n">
        <v>20247</v>
      </c>
      <c r="H95" s="55">
        <f t="array" ref="H95">E95+D95</f>
        <v/>
      </c>
      <c r="I95" s="55">
        <f t="array" ref="I95">G95+F95</f>
        <v/>
      </c>
      <c r="J95" s="55">
        <f t="array" ref="J95">D95+F95</f>
        <v/>
      </c>
      <c r="K95" s="55">
        <f t="array" ref="K95">E95+G95</f>
        <v/>
      </c>
      <c r="L95" s="57" t="n"/>
    </row>
    <row r="96" ht="20.1" customHeight="1" s="206">
      <c r="A96" s="2" t="inlineStr">
        <is>
          <t>p87</t>
        </is>
      </c>
      <c r="B96" s="23" t="inlineStr">
        <is>
          <t>87 years</t>
        </is>
      </c>
      <c r="C96" s="55" t="n">
        <v>238634</v>
      </c>
      <c r="D96" s="56" t="n">
        <v>115591</v>
      </c>
      <c r="E96" s="56" t="n">
        <v>80089</v>
      </c>
      <c r="F96" s="56" t="n">
        <v>25373</v>
      </c>
      <c r="G96" s="56" t="n">
        <v>17581</v>
      </c>
      <c r="H96" s="55">
        <f t="array" ref="H96">E96+D96</f>
        <v/>
      </c>
      <c r="I96" s="55">
        <f t="array" ref="I96">G96+F96</f>
        <v/>
      </c>
      <c r="J96" s="55">
        <f t="array" ref="J96">D96+F96</f>
        <v/>
      </c>
      <c r="K96" s="55">
        <f t="array" ref="K96">E96+G96</f>
        <v/>
      </c>
      <c r="L96" s="57" t="n"/>
    </row>
    <row r="97" ht="20.1" customHeight="1" s="206">
      <c r="A97" s="2" t="inlineStr">
        <is>
          <t>p88</t>
        </is>
      </c>
      <c r="B97" s="23" t="inlineStr">
        <is>
          <t>88 years</t>
        </is>
      </c>
      <c r="C97" s="55" t="n">
        <v>207731</v>
      </c>
      <c r="D97" s="56" t="n">
        <v>102270</v>
      </c>
      <c r="E97" s="56" t="n">
        <v>68069</v>
      </c>
      <c r="F97" s="56" t="n">
        <v>22450</v>
      </c>
      <c r="G97" s="56" t="n">
        <v>14942</v>
      </c>
      <c r="H97" s="55">
        <f t="array" ref="H97">E97+D97</f>
        <v/>
      </c>
      <c r="I97" s="55">
        <f t="array" ref="I97">G97+F97</f>
        <v/>
      </c>
      <c r="J97" s="55">
        <f t="array" ref="J97">D97+F97</f>
        <v/>
      </c>
      <c r="K97" s="55">
        <f t="array" ref="K97">E97+G97</f>
        <v/>
      </c>
      <c r="L97" s="57" t="n"/>
    </row>
    <row r="98" ht="20.1" customHeight="1" s="206">
      <c r="A98" s="2" t="inlineStr">
        <is>
          <t>p89</t>
        </is>
      </c>
      <c r="B98" s="23" t="inlineStr">
        <is>
          <t>89 years</t>
        </is>
      </c>
      <c r="C98" s="55" t="n">
        <v>177062</v>
      </c>
      <c r="D98" s="56" t="n">
        <v>88701</v>
      </c>
      <c r="E98" s="56" t="n">
        <v>56490</v>
      </c>
      <c r="F98" s="56" t="n">
        <v>19471</v>
      </c>
      <c r="G98" s="56" t="n">
        <v>12400</v>
      </c>
      <c r="H98" s="55">
        <f t="array" ref="H98">E98+D98</f>
        <v/>
      </c>
      <c r="I98" s="55">
        <f t="array" ref="I98">G98+F98</f>
        <v/>
      </c>
      <c r="J98" s="55">
        <f t="array" ref="J98">D98+F98</f>
        <v/>
      </c>
      <c r="K98" s="55">
        <f t="array" ref="K98">E98+G98</f>
        <v/>
      </c>
      <c r="L98" s="57" t="n"/>
    </row>
    <row r="99" ht="20.1" customHeight="1" s="206">
      <c r="A99" s="2" t="inlineStr">
        <is>
          <t>p90</t>
        </is>
      </c>
      <c r="B99" s="23" t="inlineStr">
        <is>
          <t>90 years</t>
        </is>
      </c>
      <c r="C99" s="55" t="n">
        <v>147872</v>
      </c>
      <c r="D99" s="56" t="n">
        <v>75433</v>
      </c>
      <c r="E99" s="56" t="n">
        <v>45822</v>
      </c>
      <c r="F99" s="56" t="n">
        <v>16559</v>
      </c>
      <c r="G99" s="56" t="n">
        <v>10058</v>
      </c>
      <c r="H99" s="55">
        <f t="array" ref="H99">E99+D99</f>
        <v/>
      </c>
      <c r="I99" s="55">
        <f t="array" ref="I99">G99+F99</f>
        <v/>
      </c>
      <c r="J99" s="55">
        <f t="array" ref="J99">D99+F99</f>
        <v/>
      </c>
      <c r="K99" s="55">
        <f t="array" ref="K99">E99+G99</f>
        <v/>
      </c>
      <c r="L99" s="57" t="n"/>
    </row>
    <row r="100" ht="20.1" customHeight="1" s="206">
      <c r="A100" s="2" t="inlineStr">
        <is>
          <t>p91</t>
        </is>
      </c>
      <c r="B100" s="23" t="inlineStr">
        <is>
          <t>91 years</t>
        </is>
      </c>
      <c r="C100" s="55" t="n">
        <v>120565</v>
      </c>
      <c r="D100" s="56" t="n">
        <v>62845</v>
      </c>
      <c r="E100" s="56" t="n">
        <v>36018</v>
      </c>
      <c r="F100" s="56" t="n">
        <v>13796</v>
      </c>
      <c r="G100" s="56" t="n">
        <v>7906</v>
      </c>
      <c r="H100" s="55">
        <f t="array" ref="H100">E100+D100</f>
        <v/>
      </c>
      <c r="I100" s="55">
        <f t="array" ref="I100">G100+F100</f>
        <v/>
      </c>
      <c r="J100" s="55">
        <f t="array" ref="J100">D100+F100</f>
        <v/>
      </c>
      <c r="K100" s="55">
        <f t="array" ref="K100">E100+G100</f>
        <v/>
      </c>
      <c r="L100" s="57" t="n"/>
    </row>
    <row r="101" ht="20.1" customHeight="1" s="206">
      <c r="A101" s="2" t="inlineStr">
        <is>
          <t>p92</t>
        </is>
      </c>
      <c r="B101" s="23" t="inlineStr">
        <is>
          <t>92 years</t>
        </is>
      </c>
      <c r="C101" s="55" t="n">
        <v>101011</v>
      </c>
      <c r="D101" s="56" t="n">
        <v>53800</v>
      </c>
      <c r="E101" s="56" t="n">
        <v>29029</v>
      </c>
      <c r="F101" s="56" t="n">
        <v>11810</v>
      </c>
      <c r="G101" s="56" t="n">
        <v>6372</v>
      </c>
      <c r="H101" s="55">
        <f t="array" ref="H101">E101+D101</f>
        <v/>
      </c>
      <c r="I101" s="55">
        <f t="array" ref="I101">G101+F101</f>
        <v/>
      </c>
      <c r="J101" s="55">
        <f t="array" ref="J101">D101+F101</f>
        <v/>
      </c>
      <c r="K101" s="55">
        <f t="array" ref="K101">E101+G101</f>
        <v/>
      </c>
      <c r="L101" s="57" t="n"/>
    </row>
    <row r="102" ht="20.1" customHeight="1" s="206">
      <c r="A102" s="2" t="inlineStr">
        <is>
          <t>p93</t>
        </is>
      </c>
      <c r="B102" s="23" t="inlineStr">
        <is>
          <t>93 years</t>
        </is>
      </c>
      <c r="C102" s="55" t="n">
        <v>80150</v>
      </c>
      <c r="D102" s="56" t="n">
        <v>43519</v>
      </c>
      <c r="E102" s="56" t="n">
        <v>22204</v>
      </c>
      <c r="F102" s="56" t="n">
        <v>9553</v>
      </c>
      <c r="G102" s="56" t="n">
        <v>4874</v>
      </c>
      <c r="H102" s="55">
        <f t="array" ref="H102">E102+D102</f>
        <v/>
      </c>
      <c r="I102" s="55">
        <f t="array" ref="I102">G102+F102</f>
        <v/>
      </c>
      <c r="J102" s="55">
        <f t="array" ref="J102">D102+F102</f>
        <v/>
      </c>
      <c r="K102" s="55">
        <f t="array" ref="K102">E102+G102</f>
        <v/>
      </c>
      <c r="L102" s="57" t="n"/>
    </row>
    <row r="103" ht="20.1" customHeight="1" s="206">
      <c r="A103" s="2" t="inlineStr">
        <is>
          <t>p94</t>
        </is>
      </c>
      <c r="B103" s="23" t="inlineStr">
        <is>
          <t>94 years</t>
        </is>
      </c>
      <c r="C103" s="55" t="n">
        <v>61837</v>
      </c>
      <c r="D103" s="56" t="n">
        <v>34232</v>
      </c>
      <c r="E103" s="56" t="n">
        <v>16474</v>
      </c>
      <c r="F103" s="56" t="n">
        <v>7515</v>
      </c>
      <c r="G103" s="56" t="n">
        <v>3616</v>
      </c>
      <c r="H103" s="55">
        <f t="array" ref="H103">E103+D103</f>
        <v/>
      </c>
      <c r="I103" s="55">
        <f t="array" ref="I103">G103+F103</f>
        <v/>
      </c>
      <c r="J103" s="55">
        <f t="array" ref="J103">D103+F103</f>
        <v/>
      </c>
      <c r="K103" s="55">
        <f t="array" ref="K103">E103+G103</f>
        <v/>
      </c>
      <c r="L103" s="57" t="n"/>
    </row>
    <row r="104" ht="20.1" customHeight="1" s="206">
      <c r="A104" s="2" t="inlineStr">
        <is>
          <t>p95</t>
        </is>
      </c>
      <c r="B104" s="23" t="inlineStr">
        <is>
          <t>95 years</t>
        </is>
      </c>
      <c r="C104" s="55" t="n">
        <v>46767</v>
      </c>
      <c r="D104" s="56" t="n">
        <v>26434</v>
      </c>
      <c r="E104" s="56" t="n">
        <v>11915</v>
      </c>
      <c r="F104" s="56" t="n">
        <v>5803</v>
      </c>
      <c r="G104" s="56" t="n">
        <v>2615</v>
      </c>
      <c r="H104" s="55">
        <f t="array" ref="H104">E104+D104</f>
        <v/>
      </c>
      <c r="I104" s="55">
        <f t="array" ref="I104">G104+F104</f>
        <v/>
      </c>
      <c r="J104" s="55">
        <f t="array" ref="J104">D104+F104</f>
        <v/>
      </c>
      <c r="K104" s="55">
        <f t="array" ref="K104">E104+G104</f>
        <v/>
      </c>
      <c r="L104" s="57" t="n"/>
    </row>
    <row r="105" ht="20.1" customHeight="1" s="206">
      <c r="A105" s="2" t="inlineStr">
        <is>
          <t>p96</t>
        </is>
      </c>
      <c r="B105" s="23" t="inlineStr">
        <is>
          <t>96 years</t>
        </is>
      </c>
      <c r="C105" s="55" t="n">
        <v>34118</v>
      </c>
      <c r="D105" s="56" t="n">
        <v>19751</v>
      </c>
      <c r="E105" s="56" t="n">
        <v>8226</v>
      </c>
      <c r="F105" s="56" t="n">
        <v>4335</v>
      </c>
      <c r="G105" s="56" t="n">
        <v>1806</v>
      </c>
      <c r="H105" s="55">
        <f t="array" ref="H105">E105+D105</f>
        <v/>
      </c>
      <c r="I105" s="55">
        <f t="array" ref="I105">G105+F105</f>
        <v/>
      </c>
      <c r="J105" s="55">
        <f t="array" ref="J105">D105+F105</f>
        <v/>
      </c>
      <c r="K105" s="55">
        <f t="array" ref="K105">E105+G105</f>
        <v/>
      </c>
      <c r="L105" s="57" t="n"/>
    </row>
    <row r="106" ht="20.1" customHeight="1" s="206">
      <c r="A106" s="2" t="inlineStr">
        <is>
          <t>p97</t>
        </is>
      </c>
      <c r="B106" s="23" t="inlineStr">
        <is>
          <t>97 years</t>
        </is>
      </c>
      <c r="C106" s="55" t="n">
        <v>24014</v>
      </c>
      <c r="D106" s="56" t="n">
        <v>14210</v>
      </c>
      <c r="E106" s="56" t="n">
        <v>5481</v>
      </c>
      <c r="F106" s="56" t="n">
        <v>3120</v>
      </c>
      <c r="G106" s="56" t="n">
        <v>1203</v>
      </c>
      <c r="H106" s="55">
        <f t="array" ref="H106">E106+D106</f>
        <v/>
      </c>
      <c r="I106" s="55">
        <f t="array" ref="I106">G106+F106</f>
        <v/>
      </c>
      <c r="J106" s="55">
        <f t="array" ref="J106">D106+F106</f>
        <v/>
      </c>
      <c r="K106" s="55">
        <f t="array" ref="K106">E106+G106</f>
        <v/>
      </c>
      <c r="L106" s="57" t="n"/>
    </row>
    <row r="107" ht="20.1" customHeight="1" s="206">
      <c r="A107" s="2" t="inlineStr">
        <is>
          <t>p98</t>
        </is>
      </c>
      <c r="B107" s="23" t="inlineStr">
        <is>
          <t>98 years</t>
        </is>
      </c>
      <c r="C107" s="55" t="n">
        <v>16203</v>
      </c>
      <c r="D107" s="56" t="n">
        <v>9847</v>
      </c>
      <c r="E107" s="56" t="n">
        <v>3439</v>
      </c>
      <c r="F107" s="56" t="n">
        <v>2162</v>
      </c>
      <c r="G107" s="56" t="n">
        <v>755</v>
      </c>
      <c r="H107" s="55">
        <f t="array" ref="H107">E107+D107</f>
        <v/>
      </c>
      <c r="I107" s="55">
        <f t="array" ref="I107">G107+F107</f>
        <v/>
      </c>
      <c r="J107" s="55">
        <f t="array" ref="J107">D107+F107</f>
        <v/>
      </c>
      <c r="K107" s="55">
        <f t="array" ref="K107">E107+G107</f>
        <v/>
      </c>
      <c r="L107" s="57" t="n"/>
    </row>
    <row r="108" ht="20.1" customHeight="1" s="206">
      <c r="A108" s="2" t="inlineStr">
        <is>
          <t>p99</t>
        </is>
      </c>
      <c r="B108" s="23" t="inlineStr">
        <is>
          <t>99 years and older</t>
        </is>
      </c>
      <c r="C108" s="55" t="n">
        <v>27166</v>
      </c>
      <c r="D108" s="56" t="n">
        <v>17424</v>
      </c>
      <c r="E108" s="56" t="n">
        <v>4852</v>
      </c>
      <c r="F108" s="56" t="n">
        <v>3825</v>
      </c>
      <c r="G108" s="56" t="n">
        <v>1065</v>
      </c>
      <c r="H108" s="55">
        <f t="array" ref="H108">E108+D108</f>
        <v/>
      </c>
      <c r="I108" s="55">
        <f t="array" ref="I108">G108+F108</f>
        <v/>
      </c>
      <c r="J108" s="55">
        <f t="array" ref="J108">D108+F108</f>
        <v/>
      </c>
      <c r="K108" s="55">
        <f t="array" ref="K108">E108+G108</f>
        <v/>
      </c>
      <c r="L108" s="57" t="n"/>
    </row>
    <row r="109" ht="20.1" customHeight="1" s="206">
      <c r="A109" s="2" t="inlineStr">
        <is>
          <t>pt</t>
        </is>
      </c>
      <c r="B109" s="23" t="inlineStr">
        <is>
          <t>Total</t>
        </is>
      </c>
      <c r="C109" s="55" t="n">
        <v>69486996</v>
      </c>
      <c r="D109" s="55" t="n">
        <v>29048126</v>
      </c>
      <c r="E109" s="55" t="n">
        <v>27931209</v>
      </c>
      <c r="F109" s="55" t="n">
        <v>6376420</v>
      </c>
      <c r="G109" s="55" t="n">
        <v>6131241</v>
      </c>
      <c r="H109" s="55">
        <f t="array" ref="H109">SUM(H9:H108)</f>
        <v/>
      </c>
      <c r="I109" s="55">
        <f t="array" ref="I109">SUM(I9:I108)</f>
        <v/>
      </c>
      <c r="J109" s="55">
        <f t="array" ref="J109">D109+F109</f>
        <v/>
      </c>
      <c r="K109" s="55">
        <f t="array" ref="K109">E109+G109</f>
        <v/>
      </c>
      <c r="L109" s="57" t="n"/>
    </row>
    <row r="110" ht="20.1" customHeight="1" s="206">
      <c r="A110" s="1" t="n"/>
      <c r="B110" s="18" t="n"/>
      <c r="C110" s="13" t="n"/>
      <c r="D110" s="13" t="n"/>
      <c r="E110" s="13" t="n"/>
      <c r="F110" s="13" t="n"/>
      <c r="G110" s="13" t="n"/>
      <c r="H110" s="13" t="n"/>
      <c r="I110" s="13" t="n"/>
      <c r="J110" s="13" t="n"/>
      <c r="K110" s="13" t="n"/>
      <c r="L110" s="13" t="n"/>
    </row>
    <row r="111" ht="20.1" customHeight="1" s="206">
      <c r="A111" s="2" t="inlineStr">
        <is>
          <t>ps</t>
        </is>
      </c>
      <c r="B111" s="23" t="inlineStr">
        <is>
          <t>Source of the data (verbal)</t>
        </is>
      </c>
      <c r="C111" s="184" t="inlineStr">
        <is>
          <t>https://www.ons.gov.uk/peoplepopulationandcommunity/populationandmigration/populationestimates/bulletins/provisionalpopulationestimatefortheuk/mid2025; downloaded 2026-04-13</t>
        </is>
      </c>
      <c r="D111" s="177" t="n"/>
      <c r="E111" s="177" t="n"/>
      <c r="F111" s="177" t="n"/>
      <c r="G111" s="177" t="n"/>
      <c r="H111" s="177" t="n"/>
      <c r="I111" s="177" t="n"/>
      <c r="J111" s="177" t="n"/>
      <c r="K111" s="177" t="n"/>
      <c r="L111" s="13" t="n"/>
    </row>
    <row r="112" ht="20.1" customHeight="1" s="206">
      <c r="A112" s="1" t="n"/>
      <c r="B112" s="23" t="inlineStr">
        <is>
          <t>URLs, where the data was found</t>
        </is>
      </c>
      <c r="C112" s="185" t="inlineStr">
        <is>
          <t>https://data.statistik.gv.at/data/OGD_bevstandjbab2002_BevStand_2025.csv, https://www.statistik.at/fileadmin/pages/435/Tabellensammlung_Migrationshintergrund_2025.ods</t>
        </is>
      </c>
      <c r="D112" s="177" t="n"/>
      <c r="E112" s="177" t="n"/>
      <c r="F112" s="177" t="n"/>
      <c r="G112" s="177" t="n"/>
      <c r="H112" s="177" t="n"/>
      <c r="I112" s="177" t="n"/>
      <c r="J112" s="177" t="n"/>
      <c r="K112" s="177" t="n"/>
      <c r="L112" s="13" t="n"/>
    </row>
    <row r="113" ht="20.1" customHeight="1" s="206">
      <c r="A113" s="24" t="n"/>
      <c r="B113" s="33" t="inlineStr">
        <is>
          <t>Date, when the data was downloaded</t>
        </is>
      </c>
      <c r="C113" s="185" t="inlineStr">
        <is>
          <t>2026-05-20</t>
        </is>
      </c>
      <c r="D113" s="177" t="n"/>
      <c r="E113" s="177" t="n"/>
      <c r="F113" s="177" t="n"/>
      <c r="G113" s="177" t="n"/>
      <c r="H113" s="177" t="n"/>
      <c r="I113" s="177" t="n"/>
      <c r="J113" s="177" t="n"/>
      <c r="K113" s="177" t="n"/>
      <c r="L113" s="13" t="n"/>
    </row>
    <row r="114" ht="20.1" customHeight="1" s="206">
      <c r="A114" s="10" t="n"/>
      <c r="B114" s="11" t="inlineStr">
        <is>
          <t>Manual remarks (not for AI!)</t>
        </is>
      </c>
      <c r="C114" s="186" t="n"/>
      <c r="D114" s="177" t="n"/>
      <c r="E114" s="177" t="n"/>
      <c r="F114" s="177" t="n"/>
      <c r="G114" s="177" t="n"/>
      <c r="H114" s="177" t="n"/>
      <c r="I114" s="177" t="n"/>
      <c r="J114" s="177" t="n"/>
      <c r="K114" s="177" t="n"/>
      <c r="L114" s="13" t="n"/>
    </row>
    <row r="115" ht="20.1" customHeight="1" s="206">
      <c r="A115" s="10" t="n"/>
      <c r="B115" s="11" t="inlineStr">
        <is>
          <t>Remarks of the AI (e.g. calculation)</t>
        </is>
      </c>
      <c r="C115" s="186" t="inlineStr">
        <is>
          <t>Bevölkerung zum Stichtag 01.01.2025. Einzelalter × Geschlecht aus STAT OGD-Würfel OGD_bevstandjbab2002_BevStand_2025 (POPREG, ZMR-basiert), aggregiert über alle Gemeinden (Datei OGD_bevstandjbab2002_BevStand_2025.csv, Aggregation per Skript scripts/04_aggregate_pop.py, Total male=4.532.880, female=4.664.333, gesamt=9.197.213). Migrationshintergrund-Anteil aus STAT Mikrozensus-Arbeitskräfteerhebung Jahresdurchschnitt 2025 (Tabellensammlung_Migrationshintergrund_2025.ods, Tabelle A1, Sektion 'Alter, Geschlecht'). MH-Anteile pro 5-Jahres-Altersgruppe × Geschlecht auf POPREG-Einzelalter angewendet (annahme: konstante MH-Quote innerhalb der Gruppe). MH-Definition: i.w.S. (beide Elternteile im Ausland geboren), inkl. 1. und 2. Generation. Approximations-Caveats: (a) Mikrozensus-Basis = Privathaushalte (9.043.700), POPREG = inkl. Anstaltsbevölkerung (9.197.213, Diff. ca. 153.500 = 1,7%); Anstaltsbevölkerung wird hier implizit als Native gerechnet (MH-Anteil dort unbekannt, vermutlich niedriger). (b) Mikrozensus = Jahresdurchschnitt 2025, POPREG = Stichtag 01.01.2025; leichte Zeitinkonsistenz.</t>
        </is>
      </c>
      <c r="D115" s="177" t="n"/>
      <c r="E115" s="177" t="n"/>
      <c r="F115" s="177" t="n"/>
      <c r="G115" s="177" t="n"/>
      <c r="H115" s="177" t="n"/>
      <c r="I115" s="177" t="n"/>
      <c r="J115" s="177" t="n"/>
      <c r="K115" s="177" t="n"/>
      <c r="L115" s="13" t="n"/>
    </row>
    <row r="116" ht="20.1" customHeight="1" s="206">
      <c r="A116" s="10" t="n"/>
      <c r="B116" s="11" t="inlineStr">
        <is>
          <t>Internal remarks</t>
        </is>
      </c>
      <c r="C116" s="186" t="n"/>
      <c r="D116" s="177" t="n"/>
      <c r="E116" s="177" t="n"/>
      <c r="F116" s="177" t="n"/>
      <c r="G116" s="177" t="n"/>
      <c r="H116" s="177" t="n"/>
      <c r="I116" s="177" t="n"/>
      <c r="J116" s="177" t="n"/>
      <c r="K116" s="177" t="n"/>
      <c r="L116" s="13" t="n"/>
    </row>
    <row r="117" ht="20.1" customHeight="1" s="206">
      <c r="A117" s="10" t="n"/>
      <c r="B117" s="14" t="n"/>
      <c r="C117" s="26" t="n"/>
      <c r="D117" s="26" t="n"/>
      <c r="E117" s="26" t="n"/>
      <c r="F117" s="26" t="n"/>
      <c r="G117" s="26" t="n"/>
      <c r="H117" s="26" t="n"/>
      <c r="I117" s="26" t="n"/>
      <c r="J117" s="26" t="n"/>
      <c r="K117" s="26" t="n"/>
      <c r="L117" s="13" t="n"/>
    </row>
    <row r="118" ht="33.4" customHeight="1" s="206">
      <c r="A118" s="47" t="n"/>
      <c r="B118" s="48" t="inlineStr">
        <is>
          <t>✏️</t>
        </is>
      </c>
      <c r="C118" s="194" t="inlineStr">
        <is>
          <t>Enter your data below and make sure that you adjust the formulas above, if necessary.  If calculations are necessary, use the fields below for it and use formulas in the area above, to fill in the fields above exactly as intended.</t>
        </is>
      </c>
      <c r="L118" s="58" t="n"/>
    </row>
    <row r="119" ht="26.85" customHeight="1" s="206">
      <c r="A119" s="50" t="n"/>
      <c r="B119" s="51" t="inlineStr">
        <is>
          <t>Population</t>
        </is>
      </c>
      <c r="C119" s="192" t="inlineStr">
        <is>
          <t>Calculation of the population</t>
        </is>
      </c>
      <c r="D119" s="188" t="n"/>
      <c r="E119" s="188" t="n"/>
      <c r="F119" s="188" t="n"/>
      <c r="G119" s="188" t="n"/>
      <c r="H119" s="188" t="n"/>
      <c r="I119" s="188" t="n"/>
      <c r="J119" s="188" t="n"/>
      <c r="K119" s="188" t="n"/>
      <c r="L119" s="22" t="n"/>
    </row>
    <row r="120" ht="20.1" customHeight="1" s="206">
      <c r="A120" s="59" t="n"/>
      <c r="B120" s="60" t="n"/>
      <c r="C120" s="61" t="n"/>
      <c r="D120" s="62" t="n"/>
      <c r="E120" s="62" t="n"/>
      <c r="F120" s="62" t="n"/>
      <c r="G120" s="62" t="n"/>
      <c r="H120" s="62" t="n"/>
      <c r="I120" s="62" t="n"/>
      <c r="J120" s="62" t="n"/>
      <c r="K120" s="62" t="n"/>
      <c r="L120" s="62" t="n"/>
    </row>
    <row r="121" ht="20.1" customHeight="1" s="206">
      <c r="A121" s="59" t="n"/>
      <c r="B121" s="63" t="inlineStr">
        <is>
          <t>0 years</t>
        </is>
      </c>
      <c r="C121" s="61" t="n"/>
      <c r="D121" s="64" t="n">
        <v>25915</v>
      </c>
      <c r="E121" s="64" t="n">
        <v>28009</v>
      </c>
      <c r="F121" s="64" t="n">
        <v>10804</v>
      </c>
      <c r="G121" s="64" t="n">
        <v>10978</v>
      </c>
      <c r="H121" s="62" t="n"/>
      <c r="I121" s="62" t="n"/>
      <c r="J121" s="62" t="n"/>
      <c r="K121" s="62" t="n"/>
      <c r="L121" s="62" t="n"/>
    </row>
    <row r="122" ht="20.1" customHeight="1" s="206">
      <c r="A122" s="59" t="n"/>
      <c r="B122" s="63" t="inlineStr">
        <is>
          <t>1 years</t>
        </is>
      </c>
      <c r="C122" s="61" t="n"/>
      <c r="D122" s="64" t="n">
        <v>26754</v>
      </c>
      <c r="E122" s="64" t="n">
        <v>28927</v>
      </c>
      <c r="F122" s="64" t="n">
        <v>11153</v>
      </c>
      <c r="G122" s="64" t="n">
        <v>11337</v>
      </c>
      <c r="H122" s="62" t="n"/>
      <c r="I122" s="62" t="n"/>
      <c r="J122" s="62" t="n"/>
      <c r="K122" s="62" t="n"/>
      <c r="L122" s="62" t="n"/>
    </row>
    <row r="123" ht="20.1" customHeight="1" s="206">
      <c r="A123" s="59" t="n"/>
      <c r="B123" s="63" t="inlineStr">
        <is>
          <t>2 years</t>
        </is>
      </c>
      <c r="C123" s="61" t="n"/>
      <c r="D123" s="64" t="n">
        <v>28913</v>
      </c>
      <c r="E123" s="64" t="n">
        <v>31157</v>
      </c>
      <c r="F123" s="64" t="n">
        <v>12054</v>
      </c>
      <c r="G123" s="64" t="n">
        <v>12212</v>
      </c>
      <c r="H123" s="62" t="n"/>
      <c r="I123" s="62" t="n"/>
      <c r="J123" s="62" t="n"/>
      <c r="K123" s="62" t="n"/>
      <c r="L123" s="62" t="n"/>
    </row>
    <row r="124" ht="20.1" customHeight="1" s="206">
      <c r="A124" s="59" t="n"/>
      <c r="B124" s="63" t="inlineStr">
        <is>
          <t>3 years</t>
        </is>
      </c>
      <c r="C124" s="61" t="n"/>
      <c r="D124" s="64" t="n">
        <v>30795</v>
      </c>
      <c r="E124" s="64" t="n">
        <v>32953</v>
      </c>
      <c r="F124" s="64" t="n">
        <v>12838</v>
      </c>
      <c r="G124" s="64" t="n">
        <v>12915</v>
      </c>
      <c r="H124" s="62" t="n"/>
      <c r="I124" s="62" t="n"/>
      <c r="J124" s="62" t="n"/>
      <c r="K124" s="62" t="n"/>
      <c r="L124" s="62" t="n"/>
    </row>
    <row r="125" ht="20.1" customHeight="1" s="206">
      <c r="A125" s="59" t="n"/>
      <c r="B125" s="63" t="inlineStr">
        <is>
          <t>4 years</t>
        </is>
      </c>
      <c r="C125" s="61" t="n"/>
      <c r="D125" s="64" t="n">
        <v>30175</v>
      </c>
      <c r="E125" s="64" t="n">
        <v>32410</v>
      </c>
      <c r="F125" s="64" t="n">
        <v>12579</v>
      </c>
      <c r="G125" s="64" t="n">
        <v>12702</v>
      </c>
      <c r="H125" s="62" t="n"/>
      <c r="I125" s="62" t="n"/>
      <c r="J125" s="62" t="n"/>
      <c r="K125" s="62" t="n"/>
      <c r="L125" s="62" t="n"/>
    </row>
    <row r="126" ht="20.1" customHeight="1" s="206">
      <c r="A126" s="59" t="n"/>
      <c r="B126" s="63" t="inlineStr">
        <is>
          <t>5 years</t>
        </is>
      </c>
      <c r="C126" s="61" t="n"/>
      <c r="D126" s="64" t="n">
        <v>30724</v>
      </c>
      <c r="E126" s="64" t="n">
        <v>32794</v>
      </c>
      <c r="F126" s="64" t="n">
        <v>12808</v>
      </c>
      <c r="G126" s="64" t="n">
        <v>12853</v>
      </c>
      <c r="H126" s="62" t="n"/>
      <c r="I126" s="62" t="n"/>
      <c r="J126" s="62" t="n"/>
      <c r="K126" s="62" t="n"/>
      <c r="L126" s="62" t="n"/>
    </row>
    <row r="127" ht="20.1" customHeight="1" s="206">
      <c r="A127" s="59" t="n"/>
      <c r="B127" s="63" t="inlineStr">
        <is>
          <t>6 years</t>
        </is>
      </c>
      <c r="C127" s="61" t="n"/>
      <c r="D127" s="64" t="n">
        <v>31243</v>
      </c>
      <c r="E127" s="64" t="n">
        <v>33386</v>
      </c>
      <c r="F127" s="64" t="n">
        <v>13025</v>
      </c>
      <c r="G127" s="64" t="n">
        <v>13085</v>
      </c>
      <c r="H127" s="62" t="n"/>
      <c r="I127" s="62" t="n"/>
      <c r="J127" s="62" t="n"/>
      <c r="K127" s="62" t="n"/>
      <c r="L127" s="62" t="n"/>
    </row>
    <row r="128" ht="20.1" customHeight="1" s="206">
      <c r="A128" s="59" t="n"/>
      <c r="B128" s="63" t="inlineStr">
        <is>
          <t>7 years</t>
        </is>
      </c>
      <c r="C128" s="61" t="n"/>
      <c r="D128" s="64" t="n">
        <v>31602</v>
      </c>
      <c r="E128" s="64" t="n">
        <v>34308</v>
      </c>
      <c r="F128" s="64" t="n">
        <v>13175</v>
      </c>
      <c r="G128" s="64" t="n">
        <v>13447</v>
      </c>
      <c r="H128" s="62" t="n"/>
      <c r="I128" s="62" t="n"/>
      <c r="J128" s="62" t="n"/>
      <c r="K128" s="62" t="n"/>
      <c r="L128" s="62" t="n"/>
    </row>
    <row r="129" ht="20.1" customHeight="1" s="206">
      <c r="A129" s="59" t="n"/>
      <c r="B129" s="63" t="inlineStr">
        <is>
          <t>8 years</t>
        </is>
      </c>
      <c r="C129" s="61" t="n"/>
      <c r="D129" s="64" t="n">
        <v>31962</v>
      </c>
      <c r="E129" s="64" t="n">
        <v>34393</v>
      </c>
      <c r="F129" s="64" t="n">
        <v>13324</v>
      </c>
      <c r="G129" s="64" t="n">
        <v>13480</v>
      </c>
      <c r="H129" s="62" t="n"/>
      <c r="I129" s="62" t="n"/>
      <c r="J129" s="62" t="n"/>
      <c r="K129" s="62" t="n"/>
      <c r="L129" s="62" t="n"/>
    </row>
    <row r="130" ht="20.1" customHeight="1" s="206">
      <c r="A130" s="59" t="n"/>
      <c r="B130" s="63" t="inlineStr">
        <is>
          <t>9 years</t>
        </is>
      </c>
      <c r="C130" s="61" t="n"/>
      <c r="D130" s="64" t="n">
        <v>30951</v>
      </c>
      <c r="E130" s="64" t="n">
        <v>33517</v>
      </c>
      <c r="F130" s="64" t="n">
        <v>12903</v>
      </c>
      <c r="G130" s="64" t="n">
        <v>13137</v>
      </c>
      <c r="H130" s="62" t="n"/>
      <c r="I130" s="62" t="n"/>
      <c r="J130" s="62" t="n"/>
      <c r="K130" s="62" t="n"/>
      <c r="L130" s="62" t="n"/>
    </row>
    <row r="131" ht="20.1" customHeight="1" s="206">
      <c r="A131" s="59" t="n"/>
      <c r="B131" s="63" t="inlineStr">
        <is>
          <t>10 years</t>
        </is>
      </c>
      <c r="C131" s="61" t="n"/>
      <c r="D131" s="64" t="n">
        <v>30866</v>
      </c>
      <c r="E131" s="64" t="n">
        <v>33433</v>
      </c>
      <c r="F131" s="64" t="n">
        <v>12868</v>
      </c>
      <c r="G131" s="64" t="n">
        <v>13103</v>
      </c>
      <c r="H131" s="62" t="n"/>
      <c r="I131" s="62" t="n"/>
      <c r="J131" s="62" t="n"/>
      <c r="K131" s="62" t="n"/>
      <c r="L131" s="62" t="n"/>
    </row>
    <row r="132" ht="20.1" customHeight="1" s="206">
      <c r="A132" s="59" t="n"/>
      <c r="B132" s="63" t="inlineStr">
        <is>
          <t>11 years</t>
        </is>
      </c>
      <c r="C132" s="61" t="n"/>
      <c r="D132" s="64" t="n">
        <v>30104</v>
      </c>
      <c r="E132" s="64" t="n">
        <v>32584</v>
      </c>
      <c r="F132" s="64" t="n">
        <v>12550</v>
      </c>
      <c r="G132" s="64" t="n">
        <v>12771</v>
      </c>
      <c r="H132" s="62" t="n"/>
      <c r="I132" s="62" t="n"/>
      <c r="J132" s="62" t="n"/>
      <c r="K132" s="62" t="n"/>
      <c r="L132" s="62" t="n"/>
    </row>
    <row r="133" ht="20.1" customHeight="1" s="206">
      <c r="A133" s="59" t="n"/>
      <c r="B133" s="63" t="inlineStr">
        <is>
          <t>12 years</t>
        </is>
      </c>
      <c r="C133" s="61" t="n"/>
      <c r="D133" s="64" t="n">
        <v>30283</v>
      </c>
      <c r="E133" s="64" t="n">
        <v>32963</v>
      </c>
      <c r="F133" s="64" t="n">
        <v>12624</v>
      </c>
      <c r="G133" s="64" t="n">
        <v>12920</v>
      </c>
      <c r="H133" s="62" t="n"/>
      <c r="I133" s="62" t="n"/>
      <c r="J133" s="62" t="n"/>
      <c r="K133" s="62" t="n"/>
      <c r="L133" s="62" t="n"/>
    </row>
    <row r="134" ht="20.1" customHeight="1" s="206">
      <c r="A134" s="59" t="n"/>
      <c r="B134" s="63" t="inlineStr">
        <is>
          <t>13 years</t>
        </is>
      </c>
      <c r="C134" s="61" t="n"/>
      <c r="D134" s="64" t="n">
        <v>29960</v>
      </c>
      <c r="E134" s="64" t="n">
        <v>32725</v>
      </c>
      <c r="F134" s="64" t="n">
        <v>12490</v>
      </c>
      <c r="G134" s="64" t="n">
        <v>12826</v>
      </c>
      <c r="H134" s="62" t="n"/>
      <c r="I134" s="62" t="n"/>
      <c r="J134" s="62" t="n"/>
      <c r="K134" s="62" t="n"/>
      <c r="L134" s="62" t="n"/>
    </row>
    <row r="135" ht="20.1" customHeight="1" s="206">
      <c r="A135" s="59" t="n"/>
      <c r="B135" s="63" t="inlineStr">
        <is>
          <t>14 years</t>
        </is>
      </c>
      <c r="C135" s="61" t="n"/>
      <c r="D135" s="64" t="n">
        <v>30533</v>
      </c>
      <c r="E135" s="64" t="n">
        <v>32929</v>
      </c>
      <c r="F135" s="64" t="n">
        <v>12729</v>
      </c>
      <c r="G135" s="64" t="n">
        <v>12906</v>
      </c>
      <c r="H135" s="62" t="n"/>
      <c r="I135" s="62" t="n"/>
      <c r="J135" s="62" t="n"/>
      <c r="K135" s="62" t="n"/>
      <c r="L135" s="62" t="n"/>
    </row>
    <row r="136" ht="20.1" customHeight="1" s="206">
      <c r="A136" s="59" t="n"/>
      <c r="B136" s="63" t="inlineStr">
        <is>
          <t>15 years</t>
        </is>
      </c>
      <c r="C136" s="61" t="n"/>
      <c r="D136" s="64" t="n">
        <v>27487</v>
      </c>
      <c r="E136" s="64" t="n">
        <v>29238</v>
      </c>
      <c r="F136" s="64" t="n">
        <v>14983</v>
      </c>
      <c r="G136" s="64" t="n">
        <v>15551</v>
      </c>
      <c r="H136" s="62" t="n"/>
      <c r="I136" s="62" t="n"/>
      <c r="J136" s="62" t="n"/>
      <c r="K136" s="62" t="n"/>
      <c r="L136" s="62" t="n"/>
    </row>
    <row r="137" ht="20.1" customHeight="1" s="206">
      <c r="A137" s="59" t="n"/>
      <c r="B137" s="63" t="inlineStr">
        <is>
          <t>16 years</t>
        </is>
      </c>
      <c r="C137" s="61" t="n"/>
      <c r="D137" s="64" t="n">
        <v>27688</v>
      </c>
      <c r="E137" s="64" t="n">
        <v>30171</v>
      </c>
      <c r="F137" s="64" t="n">
        <v>15092</v>
      </c>
      <c r="G137" s="64" t="n">
        <v>16048</v>
      </c>
      <c r="H137" s="62" t="n"/>
      <c r="I137" s="62" t="n"/>
      <c r="J137" s="62" t="n"/>
      <c r="K137" s="62" t="n"/>
      <c r="L137" s="62" t="n"/>
    </row>
    <row r="138" ht="20.1" customHeight="1" s="206">
      <c r="A138" s="59" t="n"/>
      <c r="B138" s="63" t="inlineStr">
        <is>
          <t>17 years</t>
        </is>
      </c>
      <c r="C138" s="61" t="n"/>
      <c r="D138" s="64" t="n">
        <v>27650</v>
      </c>
      <c r="E138" s="64" t="n">
        <v>29807</v>
      </c>
      <c r="F138" s="64" t="n">
        <v>15072</v>
      </c>
      <c r="G138" s="64" t="n">
        <v>15854</v>
      </c>
      <c r="H138" s="62" t="n"/>
      <c r="I138" s="62" t="n"/>
      <c r="J138" s="62" t="n"/>
      <c r="K138" s="62" t="n"/>
      <c r="L138" s="62" t="n"/>
    </row>
    <row r="139" ht="20.1" customHeight="1" s="206">
      <c r="A139" s="59" t="n"/>
      <c r="B139" s="63" t="inlineStr">
        <is>
          <t>18 years</t>
        </is>
      </c>
      <c r="C139" s="61" t="n"/>
      <c r="D139" s="64" t="n">
        <v>28674</v>
      </c>
      <c r="E139" s="64" t="n">
        <v>30842</v>
      </c>
      <c r="F139" s="64" t="n">
        <v>15630</v>
      </c>
      <c r="G139" s="64" t="n">
        <v>16405</v>
      </c>
      <c r="H139" s="62" t="n"/>
      <c r="I139" s="62" t="n"/>
      <c r="J139" s="62" t="n"/>
      <c r="K139" s="62" t="n"/>
      <c r="L139" s="62" t="n"/>
    </row>
    <row r="140" ht="20.1" customHeight="1" s="206">
      <c r="A140" s="59" t="n"/>
      <c r="B140" s="63" t="inlineStr">
        <is>
          <t>19 years</t>
        </is>
      </c>
      <c r="C140" s="61" t="n"/>
      <c r="D140" s="64" t="n">
        <v>29523</v>
      </c>
      <c r="E140" s="64" t="n">
        <v>31718</v>
      </c>
      <c r="F140" s="64" t="n">
        <v>16093</v>
      </c>
      <c r="G140" s="64" t="n">
        <v>16870</v>
      </c>
      <c r="H140" s="62" t="n"/>
      <c r="I140" s="62" t="n"/>
      <c r="J140" s="62" t="n"/>
      <c r="K140" s="62" t="n"/>
      <c r="L140" s="62" t="n"/>
    </row>
    <row r="141" ht="20.1" customHeight="1" s="206">
      <c r="A141" s="59" t="n"/>
      <c r="B141" s="63" t="inlineStr">
        <is>
          <t>20 years</t>
        </is>
      </c>
      <c r="C141" s="61" t="n"/>
      <c r="D141" s="64" t="n">
        <v>31233</v>
      </c>
      <c r="E141" s="64" t="n">
        <v>33010</v>
      </c>
      <c r="F141" s="64" t="n">
        <v>17024</v>
      </c>
      <c r="G141" s="64" t="n">
        <v>17557</v>
      </c>
      <c r="H141" s="62" t="n"/>
      <c r="I141" s="62" t="n"/>
      <c r="J141" s="62" t="n"/>
      <c r="K141" s="62" t="n"/>
      <c r="L141" s="62" t="n"/>
    </row>
    <row r="142" ht="20.1" customHeight="1" s="206">
      <c r="A142" s="59" t="n"/>
      <c r="B142" s="63" t="inlineStr">
        <is>
          <t>21 years</t>
        </is>
      </c>
      <c r="C142" s="61" t="n"/>
      <c r="D142" s="64" t="n">
        <v>30411</v>
      </c>
      <c r="E142" s="64" t="n">
        <v>32607</v>
      </c>
      <c r="F142" s="64" t="n">
        <v>16577</v>
      </c>
      <c r="G142" s="64" t="n">
        <v>17343</v>
      </c>
      <c r="H142" s="62" t="n"/>
      <c r="I142" s="62" t="n"/>
      <c r="J142" s="62" t="n"/>
      <c r="K142" s="62" t="n"/>
      <c r="L142" s="62" t="n"/>
    </row>
    <row r="143" ht="20.1" customHeight="1" s="206">
      <c r="A143" s="59" t="n"/>
      <c r="B143" s="63" t="inlineStr">
        <is>
          <t>22 years</t>
        </is>
      </c>
      <c r="C143" s="61" t="n"/>
      <c r="D143" s="64" t="n">
        <v>31596</v>
      </c>
      <c r="E143" s="64" t="n">
        <v>33732</v>
      </c>
      <c r="F143" s="64" t="n">
        <v>17222</v>
      </c>
      <c r="G143" s="64" t="n">
        <v>17942</v>
      </c>
      <c r="H143" s="62" t="n"/>
      <c r="I143" s="62" t="n"/>
      <c r="J143" s="62" t="n"/>
      <c r="K143" s="62" t="n"/>
      <c r="L143" s="62" t="n"/>
    </row>
    <row r="144" ht="20.1" customHeight="1" s="206">
      <c r="A144" s="59" t="n"/>
      <c r="B144" s="63" t="inlineStr">
        <is>
          <t>23 years</t>
        </is>
      </c>
      <c r="C144" s="61" t="n"/>
      <c r="D144" s="64" t="n">
        <v>31530</v>
      </c>
      <c r="E144" s="64" t="n">
        <v>33606</v>
      </c>
      <c r="F144" s="64" t="n">
        <v>17186</v>
      </c>
      <c r="G144" s="64" t="n">
        <v>17874</v>
      </c>
      <c r="H144" s="62" t="n"/>
      <c r="I144" s="62" t="n"/>
      <c r="J144" s="62" t="n"/>
      <c r="K144" s="62" t="n"/>
      <c r="L144" s="62" t="n"/>
    </row>
    <row r="145" ht="20.1" customHeight="1" s="206">
      <c r="A145" s="59" t="n"/>
      <c r="B145" s="63" t="inlineStr">
        <is>
          <t>24 years</t>
        </is>
      </c>
      <c r="C145" s="61" t="n"/>
      <c r="D145" s="64" t="n">
        <v>33238</v>
      </c>
      <c r="E145" s="64" t="n">
        <v>35814</v>
      </c>
      <c r="F145" s="64" t="n">
        <v>18117</v>
      </c>
      <c r="G145" s="64" t="n">
        <v>19049</v>
      </c>
      <c r="H145" s="62" t="n"/>
      <c r="I145" s="62" t="n"/>
      <c r="J145" s="62" t="n"/>
      <c r="K145" s="62" t="n"/>
      <c r="L145" s="62" t="n"/>
    </row>
    <row r="146" ht="20.1" customHeight="1" s="206">
      <c r="A146" s="59" t="n"/>
      <c r="B146" s="63" t="inlineStr">
        <is>
          <t>25 years</t>
        </is>
      </c>
      <c r="C146" s="61" t="n"/>
      <c r="D146" s="64" t="n">
        <v>33620</v>
      </c>
      <c r="E146" s="64" t="n">
        <v>36241</v>
      </c>
      <c r="F146" s="64" t="n">
        <v>18326</v>
      </c>
      <c r="G146" s="64" t="n">
        <v>19276</v>
      </c>
      <c r="H146" s="62" t="n"/>
      <c r="I146" s="62" t="n"/>
      <c r="J146" s="62" t="n"/>
      <c r="K146" s="62" t="n"/>
      <c r="L146" s="62" t="n"/>
    </row>
    <row r="147" ht="20.1" customHeight="1" s="206">
      <c r="A147" s="59" t="n"/>
      <c r="B147" s="63" t="inlineStr">
        <is>
          <t>26 years</t>
        </is>
      </c>
      <c r="C147" s="61" t="n"/>
      <c r="D147" s="64" t="n">
        <v>35013</v>
      </c>
      <c r="E147" s="64" t="n">
        <v>37948</v>
      </c>
      <c r="F147" s="64" t="n">
        <v>19085</v>
      </c>
      <c r="G147" s="64" t="n">
        <v>20184</v>
      </c>
      <c r="H147" s="62" t="n"/>
      <c r="I147" s="62" t="n"/>
      <c r="J147" s="62" t="n"/>
      <c r="K147" s="62" t="n"/>
      <c r="L147" s="62" t="n"/>
    </row>
    <row r="148" ht="20.1" customHeight="1" s="206">
      <c r="A148" s="59" t="n"/>
      <c r="B148" s="63" t="inlineStr">
        <is>
          <t>27 years</t>
        </is>
      </c>
      <c r="C148" s="61" t="n"/>
      <c r="D148" s="64" t="n">
        <v>36637</v>
      </c>
      <c r="E148" s="64" t="n">
        <v>39153</v>
      </c>
      <c r="F148" s="64" t="n">
        <v>19970</v>
      </c>
      <c r="G148" s="64" t="n">
        <v>20825</v>
      </c>
      <c r="H148" s="62" t="n"/>
      <c r="I148" s="62" t="n"/>
      <c r="J148" s="62" t="n"/>
      <c r="K148" s="62" t="n"/>
      <c r="L148" s="62" t="n"/>
    </row>
    <row r="149" ht="20.1" customHeight="1" s="206">
      <c r="A149" s="59" t="n"/>
      <c r="B149" s="63" t="inlineStr">
        <is>
          <t>28 years</t>
        </is>
      </c>
      <c r="C149" s="61" t="n"/>
      <c r="D149" s="64" t="n">
        <v>37894</v>
      </c>
      <c r="E149" s="64" t="n">
        <v>40603</v>
      </c>
      <c r="F149" s="64" t="n">
        <v>20655</v>
      </c>
      <c r="G149" s="64" t="n">
        <v>21596</v>
      </c>
      <c r="H149" s="62" t="n"/>
      <c r="I149" s="62" t="n"/>
      <c r="J149" s="62" t="n"/>
      <c r="K149" s="62" t="n"/>
      <c r="L149" s="62" t="n"/>
    </row>
    <row r="150" ht="20.1" customHeight="1" s="206">
      <c r="A150" s="59" t="n"/>
      <c r="B150" s="63" t="inlineStr">
        <is>
          <t>29 years</t>
        </is>
      </c>
      <c r="C150" s="61" t="n"/>
      <c r="D150" s="64" t="n">
        <v>37934</v>
      </c>
      <c r="E150" s="64" t="n">
        <v>40487</v>
      </c>
      <c r="F150" s="64" t="n">
        <v>20678</v>
      </c>
      <c r="G150" s="64" t="n">
        <v>21534</v>
      </c>
      <c r="H150" s="62" t="n"/>
      <c r="I150" s="62" t="n"/>
      <c r="J150" s="62" t="n"/>
      <c r="K150" s="62" t="n"/>
      <c r="L150" s="62" t="n"/>
    </row>
    <row r="151" ht="20.1" customHeight="1" s="206">
      <c r="A151" s="59" t="n"/>
      <c r="B151" s="63" t="inlineStr">
        <is>
          <t>30 years</t>
        </is>
      </c>
      <c r="C151" s="61" t="n"/>
      <c r="D151" s="64" t="n">
        <v>37264</v>
      </c>
      <c r="E151" s="64" t="n">
        <v>40136</v>
      </c>
      <c r="F151" s="64" t="n">
        <v>22737</v>
      </c>
      <c r="G151" s="64" t="n">
        <v>23688</v>
      </c>
      <c r="H151" s="62" t="n"/>
      <c r="I151" s="62" t="n"/>
      <c r="J151" s="62" t="n"/>
      <c r="K151" s="62" t="n"/>
      <c r="L151" s="62" t="n"/>
    </row>
    <row r="152" ht="20.1" customHeight="1" s="206">
      <c r="A152" s="59" t="n"/>
      <c r="B152" s="63" t="inlineStr">
        <is>
          <t>31 years</t>
        </is>
      </c>
      <c r="C152" s="61" t="n"/>
      <c r="D152" s="64" t="n">
        <v>38095</v>
      </c>
      <c r="E152" s="64" t="n">
        <v>40778</v>
      </c>
      <c r="F152" s="64" t="n">
        <v>23244</v>
      </c>
      <c r="G152" s="64" t="n">
        <v>24066</v>
      </c>
      <c r="H152" s="62" t="n"/>
      <c r="I152" s="62" t="n"/>
      <c r="J152" s="62" t="n"/>
      <c r="K152" s="62" t="n"/>
      <c r="L152" s="62" t="n"/>
    </row>
    <row r="153" ht="20.1" customHeight="1" s="206">
      <c r="A153" s="59" t="n"/>
      <c r="B153" s="63" t="inlineStr">
        <is>
          <t>32 years</t>
        </is>
      </c>
      <c r="C153" s="61" t="n"/>
      <c r="D153" s="64" t="n">
        <v>38586</v>
      </c>
      <c r="E153" s="64" t="n">
        <v>41481</v>
      </c>
      <c r="F153" s="64" t="n">
        <v>23545</v>
      </c>
      <c r="G153" s="64" t="n">
        <v>24481</v>
      </c>
      <c r="H153" s="62" t="n"/>
      <c r="I153" s="62" t="n"/>
      <c r="J153" s="62" t="n"/>
      <c r="K153" s="62" t="n"/>
      <c r="L153" s="62" t="n"/>
    </row>
    <row r="154" ht="20.1" customHeight="1" s="206">
      <c r="A154" s="59" t="n"/>
      <c r="B154" s="63" t="inlineStr">
        <is>
          <t>33 years</t>
        </is>
      </c>
      <c r="C154" s="61" t="n"/>
      <c r="D154" s="64" t="n">
        <v>39284</v>
      </c>
      <c r="E154" s="64" t="n">
        <v>41829</v>
      </c>
      <c r="F154" s="64" t="n">
        <v>23970</v>
      </c>
      <c r="G154" s="64" t="n">
        <v>24686</v>
      </c>
      <c r="H154" s="62" t="n"/>
      <c r="I154" s="62" t="n"/>
      <c r="J154" s="62" t="n"/>
      <c r="K154" s="62" t="n"/>
      <c r="L154" s="62" t="n"/>
    </row>
    <row r="155" ht="20.1" customHeight="1" s="206">
      <c r="A155" s="59" t="n"/>
      <c r="B155" s="63" t="inlineStr">
        <is>
          <t>34 years</t>
        </is>
      </c>
      <c r="C155" s="61" t="n"/>
      <c r="D155" s="64" t="n">
        <v>39147</v>
      </c>
      <c r="E155" s="64" t="n">
        <v>41595</v>
      </c>
      <c r="F155" s="64" t="n">
        <v>23886</v>
      </c>
      <c r="G155" s="64" t="n">
        <v>24549</v>
      </c>
      <c r="H155" s="62" t="n"/>
      <c r="I155" s="62" t="n"/>
      <c r="J155" s="62" t="n"/>
      <c r="K155" s="62" t="n"/>
      <c r="L155" s="62" t="n"/>
    </row>
    <row r="156" ht="20.1" customHeight="1" s="206">
      <c r="A156" s="59" t="n"/>
      <c r="B156" s="63" t="inlineStr">
        <is>
          <t>35 years</t>
        </is>
      </c>
      <c r="C156" s="61" t="n"/>
      <c r="D156" s="64" t="n">
        <v>39216</v>
      </c>
      <c r="E156" s="64" t="n">
        <v>40966</v>
      </c>
      <c r="F156" s="64" t="n">
        <v>23929</v>
      </c>
      <c r="G156" s="64" t="n">
        <v>24177</v>
      </c>
      <c r="H156" s="62" t="n"/>
      <c r="I156" s="62" t="n"/>
      <c r="J156" s="62" t="n"/>
      <c r="K156" s="62" t="n"/>
      <c r="L156" s="62" t="n"/>
    </row>
    <row r="157" ht="20.1" customHeight="1" s="206">
      <c r="A157" s="59" t="n"/>
      <c r="B157" s="63" t="inlineStr">
        <is>
          <t>36 years</t>
        </is>
      </c>
      <c r="C157" s="61" t="n"/>
      <c r="D157" s="64" t="n">
        <v>39037</v>
      </c>
      <c r="E157" s="64" t="n">
        <v>41259</v>
      </c>
      <c r="F157" s="64" t="n">
        <v>23820</v>
      </c>
      <c r="G157" s="64" t="n">
        <v>24351</v>
      </c>
      <c r="H157" s="62" t="n"/>
      <c r="I157" s="62" t="n"/>
      <c r="J157" s="62" t="n"/>
      <c r="K157" s="62" t="n"/>
      <c r="L157" s="62" t="n"/>
    </row>
    <row r="158" ht="20.1" customHeight="1" s="206">
      <c r="A158" s="59" t="n"/>
      <c r="B158" s="63" t="inlineStr">
        <is>
          <t>37 years</t>
        </is>
      </c>
      <c r="C158" s="61" t="n"/>
      <c r="D158" s="64" t="n">
        <v>38612</v>
      </c>
      <c r="E158" s="64" t="n">
        <v>40176</v>
      </c>
      <c r="F158" s="64" t="n">
        <v>23560</v>
      </c>
      <c r="G158" s="64" t="n">
        <v>23711</v>
      </c>
      <c r="H158" s="62" t="n"/>
      <c r="I158" s="62" t="n"/>
      <c r="J158" s="62" t="n"/>
      <c r="K158" s="62" t="n"/>
      <c r="L158" s="62" t="n"/>
    </row>
    <row r="159" ht="20.1" customHeight="1" s="206">
      <c r="A159" s="59" t="n"/>
      <c r="B159" s="63" t="inlineStr">
        <is>
          <t>38 years</t>
        </is>
      </c>
      <c r="C159" s="61" t="n"/>
      <c r="D159" s="64" t="n">
        <v>38696</v>
      </c>
      <c r="E159" s="64" t="n">
        <v>40053</v>
      </c>
      <c r="F159" s="64" t="n">
        <v>23612</v>
      </c>
      <c r="G159" s="64" t="n">
        <v>23638</v>
      </c>
      <c r="H159" s="62" t="n"/>
      <c r="I159" s="62" t="n"/>
      <c r="J159" s="62" t="n"/>
      <c r="K159" s="62" t="n"/>
      <c r="L159" s="62" t="n"/>
    </row>
    <row r="160" ht="20.1" customHeight="1" s="206">
      <c r="A160" s="59" t="n"/>
      <c r="B160" s="63" t="inlineStr">
        <is>
          <t>39 years</t>
        </is>
      </c>
      <c r="C160" s="61" t="n"/>
      <c r="D160" s="64" t="n">
        <v>38446</v>
      </c>
      <c r="E160" s="64" t="n">
        <v>40094</v>
      </c>
      <c r="F160" s="64" t="n">
        <v>23459</v>
      </c>
      <c r="G160" s="64" t="n">
        <v>23663</v>
      </c>
      <c r="H160" s="62" t="n"/>
      <c r="I160" s="62" t="n"/>
      <c r="J160" s="62" t="n"/>
      <c r="K160" s="62" t="n"/>
      <c r="L160" s="62" t="n"/>
    </row>
    <row r="161" ht="20.1" customHeight="1" s="206">
      <c r="A161" s="59" t="n"/>
      <c r="B161" s="63" t="inlineStr">
        <is>
          <t>40 years</t>
        </is>
      </c>
      <c r="C161" s="61" t="n"/>
      <c r="D161" s="64" t="n">
        <v>38953</v>
      </c>
      <c r="E161" s="64" t="n">
        <v>39892</v>
      </c>
      <c r="F161" s="64" t="n">
        <v>23768</v>
      </c>
      <c r="G161" s="64" t="n">
        <v>23544</v>
      </c>
      <c r="H161" s="62" t="n"/>
      <c r="I161" s="62" t="n"/>
      <c r="J161" s="62" t="n"/>
      <c r="K161" s="62" t="n"/>
      <c r="L161" s="62" t="n"/>
    </row>
    <row r="162" ht="20.1" customHeight="1" s="206">
      <c r="A162" s="59" t="n"/>
      <c r="B162" s="63" t="inlineStr">
        <is>
          <t>41 years</t>
        </is>
      </c>
      <c r="C162" s="61" t="n"/>
      <c r="D162" s="64" t="n">
        <v>38784</v>
      </c>
      <c r="E162" s="64" t="n">
        <v>39648</v>
      </c>
      <c r="F162" s="64" t="n">
        <v>23665</v>
      </c>
      <c r="G162" s="64" t="n">
        <v>23400</v>
      </c>
      <c r="H162" s="62" t="n"/>
      <c r="I162" s="62" t="n"/>
      <c r="J162" s="62" t="n"/>
      <c r="K162" s="62" t="n"/>
      <c r="L162" s="62" t="n"/>
    </row>
    <row r="163" ht="20.1" customHeight="1" s="206">
      <c r="A163" s="59" t="n"/>
      <c r="B163" s="63" t="inlineStr">
        <is>
          <t>42 years</t>
        </is>
      </c>
      <c r="C163" s="61" t="n"/>
      <c r="D163" s="64" t="n">
        <v>39888</v>
      </c>
      <c r="E163" s="64" t="n">
        <v>40279</v>
      </c>
      <c r="F163" s="64" t="n">
        <v>24339</v>
      </c>
      <c r="G163" s="64" t="n">
        <v>23772</v>
      </c>
      <c r="H163" s="62" t="n"/>
      <c r="I163" s="62" t="n"/>
      <c r="J163" s="62" t="n"/>
      <c r="K163" s="62" t="n"/>
      <c r="L163" s="62" t="n"/>
    </row>
    <row r="164" ht="20.1" customHeight="1" s="206">
      <c r="A164" s="59" t="n"/>
      <c r="B164" s="63" t="inlineStr">
        <is>
          <t>43 years</t>
        </is>
      </c>
      <c r="C164" s="61" t="n"/>
      <c r="D164" s="64" t="n">
        <v>39619</v>
      </c>
      <c r="E164" s="64" t="n">
        <v>39996</v>
      </c>
      <c r="F164" s="64" t="n">
        <v>24175</v>
      </c>
      <c r="G164" s="64" t="n">
        <v>23605</v>
      </c>
      <c r="H164" s="62" t="n"/>
      <c r="I164" s="62" t="n"/>
      <c r="J164" s="62" t="n"/>
      <c r="K164" s="62" t="n"/>
      <c r="L164" s="62" t="n"/>
    </row>
    <row r="165" ht="20.1" customHeight="1" s="206">
      <c r="A165" s="59" t="n"/>
      <c r="B165" s="63" t="inlineStr">
        <is>
          <t>44 years</t>
        </is>
      </c>
      <c r="C165" s="61" t="n"/>
      <c r="D165" s="64" t="n">
        <v>38140</v>
      </c>
      <c r="E165" s="64" t="n">
        <v>39279</v>
      </c>
      <c r="F165" s="64" t="n">
        <v>23273</v>
      </c>
      <c r="G165" s="64" t="n">
        <v>23182</v>
      </c>
      <c r="H165" s="62" t="n"/>
      <c r="I165" s="62" t="n"/>
      <c r="J165" s="62" t="n"/>
      <c r="K165" s="62" t="n"/>
      <c r="L165" s="62" t="n"/>
    </row>
    <row r="166" ht="20.1" customHeight="1" s="206">
      <c r="A166" s="59" t="n"/>
      <c r="B166" s="63" t="inlineStr">
        <is>
          <t>45 years</t>
        </is>
      </c>
      <c r="C166" s="61" t="n"/>
      <c r="D166" s="64" t="n">
        <v>40521</v>
      </c>
      <c r="E166" s="64" t="n">
        <v>42504</v>
      </c>
      <c r="F166" s="64" t="n">
        <v>17869</v>
      </c>
      <c r="G166" s="64" t="n">
        <v>16350</v>
      </c>
      <c r="H166" s="62" t="n"/>
      <c r="I166" s="62" t="n"/>
      <c r="J166" s="62" t="n"/>
      <c r="K166" s="62" t="n"/>
      <c r="L166" s="62" t="n"/>
    </row>
    <row r="167" ht="20.1" customHeight="1" s="206">
      <c r="A167" s="59" t="n"/>
      <c r="B167" s="63" t="inlineStr">
        <is>
          <t>46 years</t>
        </is>
      </c>
      <c r="C167" s="61" t="n"/>
      <c r="D167" s="64" t="n">
        <v>39928</v>
      </c>
      <c r="E167" s="64" t="n">
        <v>41549</v>
      </c>
      <c r="F167" s="64" t="n">
        <v>17607</v>
      </c>
      <c r="G167" s="64" t="n">
        <v>15982</v>
      </c>
      <c r="H167" s="62" t="n"/>
      <c r="I167" s="62" t="n"/>
      <c r="J167" s="62" t="n"/>
      <c r="K167" s="62" t="n"/>
      <c r="L167" s="62" t="n"/>
    </row>
    <row r="168" ht="20.1" customHeight="1" s="206">
      <c r="A168" s="59" t="n"/>
      <c r="B168" s="63" t="inlineStr">
        <is>
          <t>47 years</t>
        </is>
      </c>
      <c r="C168" s="61" t="n"/>
      <c r="D168" s="64" t="n">
        <v>39783</v>
      </c>
      <c r="E168" s="64" t="n">
        <v>40992</v>
      </c>
      <c r="F168" s="64" t="n">
        <v>17543</v>
      </c>
      <c r="G168" s="64" t="n">
        <v>15768</v>
      </c>
      <c r="H168" s="62" t="n"/>
      <c r="I168" s="62" t="n"/>
      <c r="J168" s="62" t="n"/>
      <c r="K168" s="62" t="n"/>
      <c r="L168" s="62" t="n"/>
    </row>
    <row r="169" ht="20.1" customHeight="1" s="206">
      <c r="A169" s="59" t="n"/>
      <c r="B169" s="63" t="inlineStr">
        <is>
          <t>48 years</t>
        </is>
      </c>
      <c r="C169" s="61" t="n"/>
      <c r="D169" s="64" t="n">
        <v>40021</v>
      </c>
      <c r="E169" s="64" t="n">
        <v>41075</v>
      </c>
      <c r="F169" s="64" t="n">
        <v>17649</v>
      </c>
      <c r="G169" s="64" t="n">
        <v>15800</v>
      </c>
      <c r="H169" s="62" t="n"/>
      <c r="I169" s="62" t="n"/>
      <c r="J169" s="62" t="n"/>
      <c r="K169" s="62" t="n"/>
      <c r="L169" s="62" t="n"/>
    </row>
    <row r="170" ht="20.1" customHeight="1" s="206">
      <c r="A170" s="59" t="n"/>
      <c r="B170" s="63" t="inlineStr">
        <is>
          <t>49 years</t>
        </is>
      </c>
      <c r="C170" s="61" t="n"/>
      <c r="D170" s="64" t="n">
        <v>41572</v>
      </c>
      <c r="E170" s="64" t="n">
        <v>42399</v>
      </c>
      <c r="F170" s="64" t="n">
        <v>18332</v>
      </c>
      <c r="G170" s="64" t="n">
        <v>16309</v>
      </c>
      <c r="H170" s="62" t="n"/>
      <c r="I170" s="62" t="n"/>
      <c r="J170" s="62" t="n"/>
      <c r="K170" s="62" t="n"/>
      <c r="L170" s="62" t="n"/>
    </row>
    <row r="171" ht="20.1" customHeight="1" s="206">
      <c r="A171" s="59" t="n"/>
      <c r="B171" s="63" t="inlineStr">
        <is>
          <t>50 years</t>
        </is>
      </c>
      <c r="C171" s="61" t="n"/>
      <c r="D171" s="64" t="n">
        <v>42595</v>
      </c>
      <c r="E171" s="64" t="n">
        <v>42823</v>
      </c>
      <c r="F171" s="64" t="n">
        <v>18783</v>
      </c>
      <c r="G171" s="64" t="n">
        <v>16472</v>
      </c>
      <c r="H171" s="62" t="n"/>
      <c r="I171" s="62" t="n"/>
      <c r="J171" s="62" t="n"/>
      <c r="K171" s="62" t="n"/>
      <c r="L171" s="62" t="n"/>
    </row>
    <row r="172" ht="20.1" customHeight="1" s="206">
      <c r="A172" s="59" t="n"/>
      <c r="B172" s="63" t="inlineStr">
        <is>
          <t>51 years</t>
        </is>
      </c>
      <c r="C172" s="61" t="n"/>
      <c r="D172" s="64" t="n">
        <v>42552</v>
      </c>
      <c r="E172" s="64" t="n">
        <v>42350</v>
      </c>
      <c r="F172" s="64" t="n">
        <v>18765</v>
      </c>
      <c r="G172" s="64" t="n">
        <v>16291</v>
      </c>
      <c r="H172" s="62" t="n"/>
      <c r="I172" s="62" t="n"/>
      <c r="J172" s="62" t="n"/>
      <c r="K172" s="62" t="n"/>
      <c r="L172" s="62" t="n"/>
    </row>
    <row r="173" ht="20.1" customHeight="1" s="206">
      <c r="A173" s="59" t="n"/>
      <c r="B173" s="63" t="inlineStr">
        <is>
          <t>52 years</t>
        </is>
      </c>
      <c r="C173" s="61" t="n"/>
      <c r="D173" s="64" t="n">
        <v>44602</v>
      </c>
      <c r="E173" s="64" t="n">
        <v>44827</v>
      </c>
      <c r="F173" s="64" t="n">
        <v>19669</v>
      </c>
      <c r="G173" s="64" t="n">
        <v>17243</v>
      </c>
      <c r="H173" s="62" t="n"/>
      <c r="I173" s="62" t="n"/>
      <c r="J173" s="62" t="n"/>
      <c r="K173" s="62" t="n"/>
      <c r="L173" s="62" t="n"/>
    </row>
    <row r="174" ht="20.1" customHeight="1" s="206">
      <c r="A174" s="59" t="n"/>
      <c r="B174" s="63" t="inlineStr">
        <is>
          <t>53 years</t>
        </is>
      </c>
      <c r="C174" s="61" t="n"/>
      <c r="D174" s="64" t="n">
        <v>45781</v>
      </c>
      <c r="E174" s="64" t="n">
        <v>46242</v>
      </c>
      <c r="F174" s="64" t="n">
        <v>20189</v>
      </c>
      <c r="G174" s="64" t="n">
        <v>17787</v>
      </c>
      <c r="H174" s="62" t="n"/>
      <c r="I174" s="62" t="n"/>
      <c r="J174" s="62" t="n"/>
      <c r="K174" s="62" t="n"/>
      <c r="L174" s="62" t="n"/>
    </row>
    <row r="175" ht="20.1" customHeight="1" s="206">
      <c r="A175" s="59" t="n"/>
      <c r="B175" s="63" t="inlineStr">
        <is>
          <t>54 years</t>
        </is>
      </c>
      <c r="C175" s="61" t="n"/>
      <c r="D175" s="64" t="n">
        <v>46656</v>
      </c>
      <c r="E175" s="64" t="n">
        <v>47339</v>
      </c>
      <c r="F175" s="64" t="n">
        <v>20575</v>
      </c>
      <c r="G175" s="64" t="n">
        <v>18210</v>
      </c>
      <c r="H175" s="62" t="n"/>
      <c r="I175" s="62" t="n"/>
      <c r="J175" s="62" t="n"/>
      <c r="K175" s="62" t="n"/>
      <c r="L175" s="62" t="n"/>
    </row>
    <row r="176" ht="20.1" customHeight="1" s="206">
      <c r="A176" s="59" t="n"/>
      <c r="B176" s="63" t="inlineStr">
        <is>
          <t>55 years</t>
        </is>
      </c>
      <c r="C176" s="61" t="n"/>
      <c r="D176" s="64" t="n">
        <v>49191</v>
      </c>
      <c r="E176" s="64" t="n">
        <v>50043</v>
      </c>
      <c r="F176" s="64" t="n">
        <v>21693</v>
      </c>
      <c r="G176" s="64" t="n">
        <v>19249</v>
      </c>
      <c r="H176" s="62" t="n"/>
      <c r="I176" s="62" t="n"/>
      <c r="J176" s="62" t="n"/>
      <c r="K176" s="62" t="n"/>
      <c r="L176" s="62" t="n"/>
    </row>
    <row r="177" ht="20.1" customHeight="1" s="206">
      <c r="A177" s="59" t="n"/>
      <c r="B177" s="63" t="inlineStr">
        <is>
          <t>56 years</t>
        </is>
      </c>
      <c r="C177" s="61" t="n"/>
      <c r="D177" s="64" t="n">
        <v>49905</v>
      </c>
      <c r="E177" s="64" t="n">
        <v>51474</v>
      </c>
      <c r="F177" s="64" t="n">
        <v>22007</v>
      </c>
      <c r="G177" s="64" t="n">
        <v>19800</v>
      </c>
      <c r="H177" s="62" t="n"/>
      <c r="I177" s="62" t="n"/>
      <c r="J177" s="62" t="n"/>
      <c r="K177" s="62" t="n"/>
      <c r="L177" s="62" t="n"/>
    </row>
    <row r="178" ht="20.1" customHeight="1" s="206">
      <c r="A178" s="59" t="n"/>
      <c r="B178" s="63" t="inlineStr">
        <is>
          <t>57 years</t>
        </is>
      </c>
      <c r="C178" s="61" t="n"/>
      <c r="D178" s="64" t="n">
        <v>49464</v>
      </c>
      <c r="E178" s="64" t="n">
        <v>51256</v>
      </c>
      <c r="F178" s="64" t="n">
        <v>21812</v>
      </c>
      <c r="G178" s="64" t="n">
        <v>19716</v>
      </c>
      <c r="H178" s="62" t="n"/>
      <c r="I178" s="62" t="n"/>
      <c r="J178" s="62" t="n"/>
      <c r="K178" s="62" t="n"/>
      <c r="L178" s="62" t="n"/>
    </row>
    <row r="179" ht="20.1" customHeight="1" s="206">
      <c r="A179" s="59" t="n"/>
      <c r="B179" s="63" t="inlineStr">
        <is>
          <t>58 years</t>
        </is>
      </c>
      <c r="C179" s="61" t="n"/>
      <c r="D179" s="64" t="n">
        <v>49357</v>
      </c>
      <c r="E179" s="64" t="n">
        <v>50911</v>
      </c>
      <c r="F179" s="64" t="n">
        <v>21766</v>
      </c>
      <c r="G179" s="64" t="n">
        <v>19584</v>
      </c>
      <c r="H179" s="62" t="n"/>
      <c r="I179" s="62" t="n"/>
      <c r="J179" s="62" t="n"/>
      <c r="K179" s="62" t="n"/>
      <c r="L179" s="62" t="n"/>
    </row>
    <row r="180" ht="20.1" customHeight="1" s="206">
      <c r="A180" s="59" t="n"/>
      <c r="B180" s="63" t="inlineStr">
        <is>
          <t>59 years</t>
        </is>
      </c>
      <c r="C180" s="61" t="n"/>
      <c r="D180" s="64" t="n">
        <v>49320</v>
      </c>
      <c r="E180" s="64" t="n">
        <v>50941</v>
      </c>
      <c r="F180" s="64" t="n">
        <v>21749</v>
      </c>
      <c r="G180" s="64" t="n">
        <v>19595</v>
      </c>
      <c r="H180" s="62" t="n"/>
      <c r="I180" s="62" t="n"/>
      <c r="J180" s="62" t="n"/>
      <c r="K180" s="62" t="n"/>
      <c r="L180" s="62" t="n"/>
    </row>
    <row r="181" ht="20.1" customHeight="1" s="206">
      <c r="A181" s="59" t="n"/>
      <c r="B181" s="63" t="inlineStr">
        <is>
          <t>60 years</t>
        </is>
      </c>
      <c r="C181" s="61" t="n"/>
      <c r="D181" s="64" t="n">
        <v>59754</v>
      </c>
      <c r="E181" s="64" t="n">
        <v>59225</v>
      </c>
      <c r="F181" s="64" t="n">
        <v>11778</v>
      </c>
      <c r="G181" s="64" t="n">
        <v>11061</v>
      </c>
      <c r="H181" s="62" t="n"/>
      <c r="I181" s="62" t="n"/>
      <c r="J181" s="62" t="n"/>
      <c r="K181" s="62" t="n"/>
      <c r="L181" s="62" t="n"/>
    </row>
    <row r="182" ht="20.1" customHeight="1" s="206">
      <c r="A182" s="59" t="n"/>
      <c r="B182" s="63" t="inlineStr">
        <is>
          <t>61 years</t>
        </is>
      </c>
      <c r="C182" s="61" t="n"/>
      <c r="D182" s="64" t="n">
        <v>59119</v>
      </c>
      <c r="E182" s="64" t="n">
        <v>57963</v>
      </c>
      <c r="F182" s="64" t="n">
        <v>11652</v>
      </c>
      <c r="G182" s="64" t="n">
        <v>10826</v>
      </c>
      <c r="H182" s="62" t="n"/>
      <c r="I182" s="62" t="n"/>
      <c r="J182" s="62" t="n"/>
      <c r="K182" s="62" t="n"/>
      <c r="L182" s="62" t="n"/>
    </row>
    <row r="183" ht="20.1" customHeight="1" s="206">
      <c r="A183" s="59" t="n"/>
      <c r="B183" s="63" t="inlineStr">
        <is>
          <t>62 years</t>
        </is>
      </c>
      <c r="C183" s="61" t="n"/>
      <c r="D183" s="64" t="n">
        <v>57164</v>
      </c>
      <c r="E183" s="64" t="n">
        <v>56499</v>
      </c>
      <c r="F183" s="64" t="n">
        <v>11267</v>
      </c>
      <c r="G183" s="64" t="n">
        <v>10552</v>
      </c>
      <c r="H183" s="62" t="n"/>
      <c r="I183" s="62" t="n"/>
      <c r="J183" s="62" t="n"/>
      <c r="K183" s="62" t="n"/>
      <c r="L183" s="62" t="n"/>
    </row>
    <row r="184" ht="20.1" customHeight="1" s="206">
      <c r="A184" s="59" t="n"/>
      <c r="B184" s="63" t="inlineStr">
        <is>
          <t>63 years</t>
        </is>
      </c>
      <c r="C184" s="61" t="n"/>
      <c r="D184" s="64" t="n">
        <v>55343</v>
      </c>
      <c r="E184" s="64" t="n">
        <v>54232</v>
      </c>
      <c r="F184" s="64" t="n">
        <v>10908</v>
      </c>
      <c r="G184" s="64" t="n">
        <v>10129</v>
      </c>
      <c r="H184" s="62" t="n"/>
      <c r="I184" s="62" t="n"/>
      <c r="J184" s="62" t="n"/>
      <c r="K184" s="62" t="n"/>
      <c r="L184" s="62" t="n"/>
    </row>
    <row r="185" ht="20.1" customHeight="1" s="206">
      <c r="A185" s="59" t="n"/>
      <c r="B185" s="63" t="inlineStr">
        <is>
          <t>64 years</t>
        </is>
      </c>
      <c r="C185" s="61" t="n"/>
      <c r="D185" s="64" t="n">
        <v>52952</v>
      </c>
      <c r="E185" s="64" t="n">
        <v>51329</v>
      </c>
      <c r="F185" s="64" t="n">
        <v>10437</v>
      </c>
      <c r="G185" s="64" t="n">
        <v>9587</v>
      </c>
      <c r="H185" s="62" t="n"/>
      <c r="I185" s="62" t="n"/>
      <c r="J185" s="62" t="n"/>
      <c r="K185" s="62" t="n"/>
      <c r="L185" s="62" t="n"/>
    </row>
    <row r="186" ht="20.1" customHeight="1" s="206">
      <c r="A186" s="59" t="n"/>
      <c r="B186" s="63" t="inlineStr">
        <is>
          <t>65 years</t>
        </is>
      </c>
      <c r="C186" s="61" t="n"/>
      <c r="D186" s="64" t="n">
        <v>50851</v>
      </c>
      <c r="E186" s="64" t="n">
        <v>48670</v>
      </c>
      <c r="F186" s="64" t="n">
        <v>10023</v>
      </c>
      <c r="G186" s="64" t="n">
        <v>9090</v>
      </c>
      <c r="H186" s="62" t="n"/>
      <c r="I186" s="62" t="n"/>
      <c r="J186" s="62" t="n"/>
      <c r="K186" s="62" t="n"/>
      <c r="L186" s="62" t="n"/>
    </row>
    <row r="187" ht="20.1" customHeight="1" s="206">
      <c r="A187" s="59" t="n"/>
      <c r="B187" s="63" t="inlineStr">
        <is>
          <t>66 years</t>
        </is>
      </c>
      <c r="C187" s="61" t="n"/>
      <c r="D187" s="64" t="n">
        <v>48611</v>
      </c>
      <c r="E187" s="64" t="n">
        <v>45421</v>
      </c>
      <c r="F187" s="64" t="n">
        <v>9582</v>
      </c>
      <c r="G187" s="64" t="n">
        <v>8483</v>
      </c>
      <c r="H187" s="62" t="n"/>
      <c r="I187" s="62" t="n"/>
      <c r="J187" s="62" t="n"/>
      <c r="K187" s="62" t="n"/>
      <c r="L187" s="62" t="n"/>
    </row>
    <row r="188" ht="20.1" customHeight="1" s="206">
      <c r="A188" s="59" t="n"/>
      <c r="B188" s="63" t="inlineStr">
        <is>
          <t>67 years</t>
        </is>
      </c>
      <c r="C188" s="61" t="n"/>
      <c r="D188" s="64" t="n">
        <v>47252</v>
      </c>
      <c r="E188" s="64" t="n">
        <v>43842</v>
      </c>
      <c r="F188" s="64" t="n">
        <v>9314</v>
      </c>
      <c r="G188" s="64" t="n">
        <v>8189</v>
      </c>
      <c r="H188" s="62" t="n"/>
      <c r="I188" s="62" t="n"/>
      <c r="J188" s="62" t="n"/>
      <c r="K188" s="62" t="n"/>
      <c r="L188" s="62" t="n"/>
    </row>
    <row r="189" ht="20.1" customHeight="1" s="206">
      <c r="A189" s="59" t="n"/>
      <c r="B189" s="63" t="inlineStr">
        <is>
          <t>68 years</t>
        </is>
      </c>
      <c r="C189" s="61" t="n"/>
      <c r="D189" s="64" t="n">
        <v>46427</v>
      </c>
      <c r="E189" s="64" t="n">
        <v>41771</v>
      </c>
      <c r="F189" s="64" t="n">
        <v>9151</v>
      </c>
      <c r="G189" s="64" t="n">
        <v>7802</v>
      </c>
      <c r="H189" s="62" t="n"/>
      <c r="I189" s="62" t="n"/>
      <c r="J189" s="62" t="n"/>
      <c r="K189" s="62" t="n"/>
      <c r="L189" s="62" t="n"/>
    </row>
    <row r="190" ht="20.1" customHeight="1" s="206">
      <c r="A190" s="59" t="n"/>
      <c r="B190" s="63" t="inlineStr">
        <is>
          <t>69 years</t>
        </is>
      </c>
      <c r="C190" s="61" t="n"/>
      <c r="D190" s="64" t="n">
        <v>42823</v>
      </c>
      <c r="E190" s="64" t="n">
        <v>38482</v>
      </c>
      <c r="F190" s="64" t="n">
        <v>8440</v>
      </c>
      <c r="G190" s="64" t="n">
        <v>7187</v>
      </c>
      <c r="H190" s="62" t="n"/>
      <c r="I190" s="62" t="n"/>
      <c r="J190" s="62" t="n"/>
      <c r="K190" s="62" t="n"/>
      <c r="L190" s="62" t="n"/>
    </row>
    <row r="191" ht="20.1" customHeight="1" s="206">
      <c r="A191" s="59" t="n"/>
      <c r="B191" s="63" t="inlineStr">
        <is>
          <t>70 years</t>
        </is>
      </c>
      <c r="C191" s="61" t="n"/>
      <c r="D191" s="64" t="n">
        <v>40338</v>
      </c>
      <c r="E191" s="64" t="n">
        <v>35458</v>
      </c>
      <c r="F191" s="64" t="n">
        <v>7951</v>
      </c>
      <c r="G191" s="64" t="n">
        <v>6622</v>
      </c>
      <c r="H191" s="62" t="n"/>
      <c r="I191" s="62" t="n"/>
      <c r="J191" s="62" t="n"/>
      <c r="K191" s="62" t="n"/>
      <c r="L191" s="62" t="n"/>
    </row>
    <row r="192" ht="20.1" customHeight="1" s="206">
      <c r="A192" s="59" t="n"/>
      <c r="B192" s="63" t="inlineStr">
        <is>
          <t>71 years</t>
        </is>
      </c>
      <c r="C192" s="61" t="n"/>
      <c r="D192" s="64" t="n">
        <v>38759</v>
      </c>
      <c r="E192" s="64" t="n">
        <v>33546</v>
      </c>
      <c r="F192" s="64" t="n">
        <v>7639</v>
      </c>
      <c r="G192" s="64" t="n">
        <v>6266</v>
      </c>
      <c r="H192" s="62" t="n"/>
      <c r="I192" s="62" t="n"/>
      <c r="J192" s="62" t="n"/>
      <c r="K192" s="62" t="n"/>
      <c r="L192" s="62" t="n"/>
    </row>
    <row r="193" ht="20.1" customHeight="1" s="206">
      <c r="A193" s="59" t="n"/>
      <c r="B193" s="63" t="inlineStr">
        <is>
          <t>72 years</t>
        </is>
      </c>
      <c r="C193" s="61" t="n"/>
      <c r="D193" s="64" t="n">
        <v>37633</v>
      </c>
      <c r="E193" s="64" t="n">
        <v>32507</v>
      </c>
      <c r="F193" s="64" t="n">
        <v>7418</v>
      </c>
      <c r="G193" s="64" t="n">
        <v>6071</v>
      </c>
      <c r="H193" s="62" t="n"/>
      <c r="I193" s="62" t="n"/>
      <c r="J193" s="62" t="n"/>
      <c r="K193" s="62" t="n"/>
      <c r="L193" s="62" t="n"/>
    </row>
    <row r="194" ht="20.1" customHeight="1" s="206">
      <c r="A194" s="59" t="n"/>
      <c r="B194" s="63" t="inlineStr">
        <is>
          <t>73 years</t>
        </is>
      </c>
      <c r="C194" s="61" t="n"/>
      <c r="D194" s="64" t="n">
        <v>35658</v>
      </c>
      <c r="E194" s="64" t="n">
        <v>30165</v>
      </c>
      <c r="F194" s="64" t="n">
        <v>7028</v>
      </c>
      <c r="G194" s="64" t="n">
        <v>5634</v>
      </c>
      <c r="H194" s="62" t="n"/>
      <c r="I194" s="62" t="n"/>
      <c r="J194" s="62" t="n"/>
      <c r="K194" s="62" t="n"/>
      <c r="L194" s="62" t="n"/>
    </row>
    <row r="195" ht="20.1" customHeight="1" s="206">
      <c r="A195" s="59" t="n"/>
      <c r="B195" s="63" t="inlineStr">
        <is>
          <t>74 years</t>
        </is>
      </c>
      <c r="C195" s="61" t="n"/>
      <c r="D195" s="64" t="n">
        <v>35886</v>
      </c>
      <c r="E195" s="64" t="n">
        <v>30022</v>
      </c>
      <c r="F195" s="64" t="n">
        <v>7073</v>
      </c>
      <c r="G195" s="64" t="n">
        <v>5607</v>
      </c>
      <c r="H195" s="62" t="n"/>
      <c r="I195" s="62" t="n"/>
      <c r="J195" s="62" t="n"/>
      <c r="K195" s="62" t="n"/>
      <c r="L195" s="62" t="n"/>
    </row>
    <row r="196" ht="20.1" customHeight="1" s="206">
      <c r="A196" s="59" t="n"/>
      <c r="B196" s="63" t="inlineStr">
        <is>
          <t>75 years</t>
        </is>
      </c>
      <c r="C196" s="61" t="n"/>
      <c r="D196" s="64" t="n">
        <v>35708</v>
      </c>
      <c r="E196" s="64" t="n">
        <v>29532</v>
      </c>
      <c r="F196" s="64" t="n">
        <v>7038</v>
      </c>
      <c r="G196" s="64" t="n">
        <v>5516</v>
      </c>
      <c r="H196" s="62" t="n"/>
      <c r="I196" s="62" t="n"/>
      <c r="J196" s="62" t="n"/>
      <c r="K196" s="62" t="n"/>
      <c r="L196" s="62" t="n"/>
    </row>
    <row r="197" ht="20.1" customHeight="1" s="206">
      <c r="A197" s="59" t="n"/>
      <c r="B197" s="63" t="inlineStr">
        <is>
          <t>76 years</t>
        </is>
      </c>
      <c r="C197" s="61" t="n"/>
      <c r="D197" s="64" t="n">
        <v>36216</v>
      </c>
      <c r="E197" s="64" t="n">
        <v>29002</v>
      </c>
      <c r="F197" s="64" t="n">
        <v>7138</v>
      </c>
      <c r="G197" s="64" t="n">
        <v>5417</v>
      </c>
      <c r="H197" s="62" t="n"/>
      <c r="I197" s="62" t="n"/>
      <c r="J197" s="62" t="n"/>
      <c r="K197" s="62" t="n"/>
      <c r="L197" s="62" t="n"/>
    </row>
    <row r="198" ht="20.1" customHeight="1" s="206">
      <c r="A198" s="59" t="n"/>
      <c r="B198" s="63" t="inlineStr">
        <is>
          <t>77 years</t>
        </is>
      </c>
      <c r="C198" s="61" t="n"/>
      <c r="D198" s="64" t="n">
        <v>35963</v>
      </c>
      <c r="E198" s="64" t="n">
        <v>28614</v>
      </c>
      <c r="F198" s="64" t="n">
        <v>7088</v>
      </c>
      <c r="G198" s="64" t="n">
        <v>5344</v>
      </c>
      <c r="H198" s="62" t="n"/>
      <c r="I198" s="62" t="n"/>
      <c r="J198" s="62" t="n"/>
      <c r="K198" s="62" t="n"/>
      <c r="L198" s="62" t="n"/>
    </row>
    <row r="199" ht="20.1" customHeight="1" s="206">
      <c r="A199" s="59" t="n"/>
      <c r="B199" s="63" t="inlineStr">
        <is>
          <t>78 years</t>
        </is>
      </c>
      <c r="C199" s="61" t="n"/>
      <c r="D199" s="64" t="n">
        <v>29324</v>
      </c>
      <c r="E199" s="64" t="n">
        <v>23240</v>
      </c>
      <c r="F199" s="64" t="n">
        <v>5780</v>
      </c>
      <c r="G199" s="64" t="n">
        <v>4340</v>
      </c>
      <c r="H199" s="62" t="n"/>
      <c r="I199" s="62" t="n"/>
      <c r="J199" s="62" t="n"/>
      <c r="K199" s="62" t="n"/>
      <c r="L199" s="62" t="n"/>
    </row>
    <row r="200" ht="20.1" customHeight="1" s="206">
      <c r="A200" s="59" t="n"/>
      <c r="B200" s="63" t="inlineStr">
        <is>
          <t>79 years</t>
        </is>
      </c>
      <c r="C200" s="61" t="n"/>
      <c r="D200" s="64" t="n">
        <v>23806</v>
      </c>
      <c r="E200" s="64" t="n">
        <v>17803</v>
      </c>
      <c r="F200" s="64" t="n">
        <v>4692</v>
      </c>
      <c r="G200" s="64" t="n">
        <v>3325</v>
      </c>
      <c r="H200" s="62" t="n"/>
      <c r="I200" s="62" t="n"/>
      <c r="J200" s="62" t="n"/>
      <c r="K200" s="62" t="n"/>
      <c r="L200" s="62" t="n"/>
    </row>
    <row r="201" ht="20.1" customHeight="1" s="206">
      <c r="A201" s="59" t="n"/>
      <c r="B201" s="63" t="inlineStr">
        <is>
          <t>80 years</t>
        </is>
      </c>
      <c r="C201" s="61" t="n"/>
      <c r="D201" s="64" t="n">
        <v>29893</v>
      </c>
      <c r="E201" s="64" t="n">
        <v>22130</v>
      </c>
      <c r="F201" s="64" t="n">
        <v>5892</v>
      </c>
      <c r="G201" s="64" t="n">
        <v>4133</v>
      </c>
      <c r="H201" s="62" t="n"/>
      <c r="I201" s="62" t="n"/>
      <c r="J201" s="62" t="n"/>
      <c r="K201" s="62" t="n"/>
      <c r="L201" s="62" t="n"/>
    </row>
    <row r="202" ht="20.1" customHeight="1" s="206">
      <c r="A202" s="59" t="n"/>
      <c r="B202" s="63" t="inlineStr">
        <is>
          <t>81 years</t>
        </is>
      </c>
      <c r="C202" s="61" t="n"/>
      <c r="D202" s="64" t="n">
        <v>28698</v>
      </c>
      <c r="E202" s="64" t="n">
        <v>20903</v>
      </c>
      <c r="F202" s="64" t="n">
        <v>5657</v>
      </c>
      <c r="G202" s="64" t="n">
        <v>3904</v>
      </c>
      <c r="H202" s="62" t="n"/>
      <c r="I202" s="62" t="n"/>
      <c r="J202" s="62" t="n"/>
      <c r="K202" s="62" t="n"/>
      <c r="L202" s="62" t="n"/>
    </row>
    <row r="203" ht="20.1" customHeight="1" s="206">
      <c r="A203" s="59" t="n"/>
      <c r="B203" s="63" t="inlineStr">
        <is>
          <t>82 years</t>
        </is>
      </c>
      <c r="C203" s="61" t="n"/>
      <c r="D203" s="64" t="n">
        <v>27708</v>
      </c>
      <c r="E203" s="64" t="n">
        <v>19990</v>
      </c>
      <c r="F203" s="64" t="n">
        <v>5461</v>
      </c>
      <c r="G203" s="64" t="n">
        <v>3734</v>
      </c>
      <c r="H203" s="62" t="n"/>
      <c r="I203" s="62" t="n"/>
      <c r="J203" s="62" t="n"/>
      <c r="K203" s="62" t="n"/>
      <c r="L203" s="62" t="n"/>
    </row>
    <row r="204" ht="20.1" customHeight="1" s="206">
      <c r="A204" s="59" t="n"/>
      <c r="B204" s="63" t="inlineStr">
        <is>
          <t>83 years</t>
        </is>
      </c>
      <c r="C204" s="61" t="n"/>
      <c r="D204" s="64" t="n">
        <v>30876</v>
      </c>
      <c r="E204" s="64" t="n">
        <v>21543</v>
      </c>
      <c r="F204" s="64" t="n">
        <v>6086</v>
      </c>
      <c r="G204" s="64" t="n">
        <v>4024</v>
      </c>
      <c r="H204" s="62" t="n"/>
      <c r="I204" s="62" t="n"/>
      <c r="J204" s="62" t="n"/>
      <c r="K204" s="62" t="n"/>
      <c r="L204" s="62" t="n"/>
    </row>
    <row r="205" ht="20.1" customHeight="1" s="206">
      <c r="A205" s="59" t="n"/>
      <c r="B205" s="63" t="inlineStr">
        <is>
          <t>84 years</t>
        </is>
      </c>
      <c r="C205" s="61" t="n"/>
      <c r="D205" s="64" t="n">
        <v>31382</v>
      </c>
      <c r="E205" s="64" t="n">
        <v>21519</v>
      </c>
      <c r="F205" s="64" t="n">
        <v>6185</v>
      </c>
      <c r="G205" s="64" t="n">
        <v>4019</v>
      </c>
      <c r="H205" s="62" t="n"/>
      <c r="I205" s="62" t="n"/>
      <c r="J205" s="62" t="n"/>
      <c r="K205" s="62" t="n"/>
      <c r="L205" s="62" t="n"/>
    </row>
    <row r="206" ht="20.1" customHeight="1" s="206">
      <c r="A206" s="59" t="n"/>
      <c r="B206" s="63" t="inlineStr">
        <is>
          <t>85 years</t>
        </is>
      </c>
      <c r="C206" s="61" t="n"/>
      <c r="D206" s="64" t="n">
        <v>28719</v>
      </c>
      <c r="E206" s="64" t="n">
        <v>19226</v>
      </c>
      <c r="F206" s="64" t="n">
        <v>5661</v>
      </c>
      <c r="G206" s="64" t="n">
        <v>3591</v>
      </c>
      <c r="H206" s="62" t="n"/>
      <c r="I206" s="62" t="n"/>
      <c r="J206" s="62" t="n"/>
      <c r="K206" s="62" t="n"/>
      <c r="L206" s="62" t="n"/>
    </row>
    <row r="207" ht="20.1" customHeight="1" s="206">
      <c r="A207" s="59" t="n"/>
      <c r="B207" s="63" t="inlineStr">
        <is>
          <t>86 years</t>
        </is>
      </c>
      <c r="C207" s="61" t="n"/>
      <c r="D207" s="64" t="n">
        <v>18381</v>
      </c>
      <c r="E207" s="64" t="n">
        <v>11852</v>
      </c>
      <c r="F207" s="64" t="n">
        <v>3623</v>
      </c>
      <c r="G207" s="64" t="n">
        <v>2214</v>
      </c>
      <c r="H207" s="62" t="n"/>
      <c r="I207" s="62" t="n"/>
      <c r="J207" s="62" t="n"/>
      <c r="K207" s="62" t="n"/>
      <c r="L207" s="62" t="n"/>
    </row>
    <row r="208" ht="20.1" customHeight="1" s="206">
      <c r="A208" s="59" t="n"/>
      <c r="B208" s="63" t="inlineStr">
        <is>
          <t>87 years</t>
        </is>
      </c>
      <c r="C208" s="61" t="n"/>
      <c r="D208" s="64" t="n">
        <v>15039</v>
      </c>
      <c r="E208" s="64" t="n">
        <v>9505</v>
      </c>
      <c r="F208" s="64" t="n">
        <v>2964</v>
      </c>
      <c r="G208" s="64" t="n">
        <v>1775</v>
      </c>
      <c r="H208" s="62" t="n"/>
      <c r="I208" s="62" t="n"/>
      <c r="J208" s="62" t="n"/>
      <c r="K208" s="62" t="n"/>
      <c r="L208" s="62" t="n"/>
    </row>
    <row r="209" ht="20.1" customHeight="1" s="206">
      <c r="A209" s="59" t="n"/>
      <c r="B209" s="63" t="inlineStr">
        <is>
          <t>88 years</t>
        </is>
      </c>
      <c r="C209" s="61" t="n"/>
      <c r="D209" s="64" t="n">
        <v>13461</v>
      </c>
      <c r="E209" s="64" t="n">
        <v>7811</v>
      </c>
      <c r="F209" s="64" t="n">
        <v>2653</v>
      </c>
      <c r="G209" s="64" t="n">
        <v>1459</v>
      </c>
      <c r="H209" s="62" t="n"/>
      <c r="I209" s="62" t="n"/>
      <c r="J209" s="62" t="n"/>
      <c r="K209" s="62" t="n"/>
      <c r="L209" s="62" t="n"/>
    </row>
    <row r="210" ht="20.1" customHeight="1" s="206">
      <c r="A210" s="59" t="n"/>
      <c r="B210" s="63" t="inlineStr">
        <is>
          <t>89 years</t>
        </is>
      </c>
      <c r="C210" s="61" t="n"/>
      <c r="D210" s="64" t="n">
        <v>11680</v>
      </c>
      <c r="E210" s="64" t="n">
        <v>6324</v>
      </c>
      <c r="F210" s="64" t="n">
        <v>2302</v>
      </c>
      <c r="G210" s="64" t="n">
        <v>1181</v>
      </c>
      <c r="H210" s="62" t="n"/>
      <c r="I210" s="62" t="n"/>
      <c r="J210" s="62" t="n"/>
      <c r="K210" s="62" t="n"/>
      <c r="L210" s="62" t="n"/>
    </row>
    <row r="211" ht="20.1" customHeight="1" s="206">
      <c r="A211" s="59" t="n"/>
      <c r="B211" s="63" t="inlineStr">
        <is>
          <t>90 years</t>
        </is>
      </c>
      <c r="C211" s="61" t="n"/>
      <c r="D211" s="64" t="n">
        <v>10104</v>
      </c>
      <c r="E211" s="64" t="n">
        <v>5144</v>
      </c>
      <c r="F211" s="64" t="n">
        <v>1991</v>
      </c>
      <c r="G211" s="64" t="n">
        <v>961</v>
      </c>
      <c r="H211" s="62" t="n"/>
      <c r="I211" s="62" t="n"/>
      <c r="J211" s="62" t="n"/>
      <c r="K211" s="62" t="n"/>
      <c r="L211" s="62" t="n"/>
    </row>
    <row r="212" ht="20.1" customHeight="1" s="206">
      <c r="A212" s="59" t="n"/>
      <c r="B212" s="63" t="inlineStr">
        <is>
          <t>91 years</t>
        </is>
      </c>
      <c r="C212" s="61" t="n"/>
      <c r="D212" s="64" t="n">
        <v>8744</v>
      </c>
      <c r="E212" s="64" t="n">
        <v>4291</v>
      </c>
      <c r="F212" s="64" t="n">
        <v>1723</v>
      </c>
      <c r="G212" s="64" t="n">
        <v>802</v>
      </c>
      <c r="H212" s="62" t="n"/>
      <c r="I212" s="62" t="n"/>
      <c r="J212" s="62" t="n"/>
      <c r="K212" s="62" t="n"/>
      <c r="L212" s="62" t="n"/>
    </row>
    <row r="213" ht="20.1" customHeight="1" s="206">
      <c r="A213" s="59" t="n"/>
      <c r="B213" s="63" t="inlineStr">
        <is>
          <t>92 years</t>
        </is>
      </c>
      <c r="C213" s="61" t="n"/>
      <c r="D213" s="64" t="n">
        <v>7469</v>
      </c>
      <c r="E213" s="64" t="n">
        <v>3408</v>
      </c>
      <c r="F213" s="64" t="n">
        <v>1472</v>
      </c>
      <c r="G213" s="64" t="n">
        <v>637</v>
      </c>
      <c r="H213" s="62" t="n"/>
      <c r="I213" s="62" t="n"/>
      <c r="J213" s="62" t="n"/>
      <c r="K213" s="62" t="n"/>
      <c r="L213" s="62" t="n"/>
    </row>
    <row r="214" ht="20.1" customHeight="1" s="206">
      <c r="A214" s="59" t="n"/>
      <c r="B214" s="63" t="inlineStr">
        <is>
          <t>93 years</t>
        </is>
      </c>
      <c r="C214" s="61" t="n"/>
      <c r="D214" s="64" t="n">
        <v>5908</v>
      </c>
      <c r="E214" s="64" t="n">
        <v>2605</v>
      </c>
      <c r="F214" s="64" t="n">
        <v>1164</v>
      </c>
      <c r="G214" s="64" t="n">
        <v>486</v>
      </c>
      <c r="H214" s="62" t="n"/>
      <c r="I214" s="62" t="n"/>
      <c r="J214" s="62" t="n"/>
      <c r="K214" s="62" t="n"/>
      <c r="L214" s="62" t="n"/>
    </row>
    <row r="215" ht="20.1" customHeight="1" s="206">
      <c r="A215" s="59" t="n"/>
      <c r="B215" s="63" t="inlineStr">
        <is>
          <t>94 years</t>
        </is>
      </c>
      <c r="C215" s="61" t="n"/>
      <c r="D215" s="64" t="n">
        <v>4828</v>
      </c>
      <c r="E215" s="64" t="n">
        <v>2021</v>
      </c>
      <c r="F215" s="64" t="n">
        <v>952</v>
      </c>
      <c r="G215" s="64" t="n">
        <v>378</v>
      </c>
      <c r="H215" s="62" t="n"/>
      <c r="I215" s="62" t="n"/>
      <c r="J215" s="62" t="n"/>
      <c r="K215" s="62" t="n"/>
      <c r="L215" s="62" t="n"/>
    </row>
    <row r="216" ht="20.1" customHeight="1" s="206">
      <c r="A216" s="59" t="n"/>
      <c r="B216" s="63" t="inlineStr">
        <is>
          <t>95 years</t>
        </is>
      </c>
      <c r="C216" s="61" t="n"/>
      <c r="D216" s="64" t="n">
        <v>3509</v>
      </c>
      <c r="E216" s="64" t="n">
        <v>1309</v>
      </c>
      <c r="F216" s="64" t="n">
        <v>692</v>
      </c>
      <c r="G216" s="64" t="n">
        <v>245</v>
      </c>
      <c r="H216" s="62" t="n"/>
      <c r="I216" s="62" t="n"/>
      <c r="J216" s="62" t="n"/>
      <c r="K216" s="62" t="n"/>
      <c r="L216" s="62" t="n"/>
    </row>
    <row r="217" ht="20.1" customHeight="1" s="206">
      <c r="A217" s="59" t="n"/>
      <c r="B217" s="63" t="inlineStr">
        <is>
          <t>96 years</t>
        </is>
      </c>
      <c r="C217" s="61" t="n"/>
      <c r="D217" s="64" t="n">
        <v>2589</v>
      </c>
      <c r="E217" s="64" t="n">
        <v>938</v>
      </c>
      <c r="F217" s="64" t="n">
        <v>510</v>
      </c>
      <c r="G217" s="64" t="n">
        <v>175</v>
      </c>
      <c r="H217" s="62" t="n"/>
      <c r="I217" s="62" t="n"/>
      <c r="J217" s="62" t="n"/>
      <c r="K217" s="62" t="n"/>
      <c r="L217" s="62" t="n"/>
    </row>
    <row r="218" ht="20.1" customHeight="1" s="206">
      <c r="A218" s="59" t="n"/>
      <c r="B218" s="63" t="inlineStr">
        <is>
          <t>97 years</t>
        </is>
      </c>
      <c r="C218" s="61" t="n"/>
      <c r="D218" s="64" t="n">
        <v>1860</v>
      </c>
      <c r="E218" s="64" t="n">
        <v>563</v>
      </c>
      <c r="F218" s="64" t="n">
        <v>367</v>
      </c>
      <c r="G218" s="64" t="n">
        <v>105</v>
      </c>
      <c r="H218" s="62" t="n"/>
      <c r="I218" s="62" t="n"/>
      <c r="J218" s="62" t="n"/>
      <c r="K218" s="62" t="n"/>
      <c r="L218" s="62" t="n"/>
    </row>
    <row r="219" ht="20.1" customHeight="1" s="206">
      <c r="A219" s="59" t="n"/>
      <c r="B219" s="63" t="inlineStr">
        <is>
          <t>98 years</t>
        </is>
      </c>
      <c r="C219" s="61" t="n"/>
      <c r="D219" s="64" t="n">
        <v>1291</v>
      </c>
      <c r="E219" s="64" t="n">
        <v>383</v>
      </c>
      <c r="F219" s="64" t="n">
        <v>254</v>
      </c>
      <c r="G219" s="64" t="n">
        <v>71</v>
      </c>
      <c r="H219" s="62" t="n"/>
      <c r="I219" s="62" t="n"/>
      <c r="J219" s="62" t="n"/>
      <c r="K219" s="62" t="n"/>
      <c r="L219" s="62" t="n"/>
    </row>
    <row r="220" ht="20.1" customHeight="1" s="206">
      <c r="A220" s="59" t="n"/>
      <c r="B220" s="63" t="inlineStr">
        <is>
          <t>99 years and older</t>
        </is>
      </c>
      <c r="C220" s="61" t="n"/>
      <c r="D220" s="64" t="n">
        <v>880</v>
      </c>
      <c r="E220" s="64" t="n">
        <v>211</v>
      </c>
      <c r="F220" s="64" t="n">
        <v>174</v>
      </c>
      <c r="G220" s="64" t="n">
        <v>39</v>
      </c>
      <c r="H220" s="62" t="n"/>
      <c r="I220" s="62" t="n"/>
      <c r="J220" s="62" t="n"/>
      <c r="K220" s="62" t="n"/>
      <c r="L220" s="62" t="n"/>
    </row>
    <row r="221" ht="20.1" customHeight="1" s="206">
      <c r="A221" s="59" t="n"/>
      <c r="B221" s="60" t="n"/>
      <c r="C221" s="61" t="n"/>
      <c r="D221" s="62" t="n"/>
      <c r="E221" s="62" t="n"/>
      <c r="F221" s="62" t="n"/>
      <c r="G221" s="62" t="n"/>
      <c r="H221" s="62" t="n"/>
      <c r="I221" s="62" t="n"/>
      <c r="J221" s="62" t="n"/>
      <c r="K221" s="62" t="n"/>
      <c r="L221" s="62"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10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births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Fertility</t>
        </is>
      </c>
      <c r="C5" s="192" t="inlineStr">
        <is>
          <t>The values in this section are used to calculate the number of births in the population goups</t>
        </is>
      </c>
      <c r="D5" s="188" t="n"/>
      <c r="E5" s="188" t="n"/>
      <c r="F5" s="188" t="n"/>
      <c r="G5" s="188" t="n"/>
      <c r="H5" s="188" t="n"/>
      <c r="I5" s="188" t="n"/>
      <c r="J5" s="188" t="n"/>
      <c r="K5" s="188" t="n"/>
      <c r="L5" s="22" t="n"/>
    </row>
    <row r="6" ht="20.1" customHeight="1" s="206">
      <c r="A6" s="24" t="n"/>
      <c r="B6" s="25" t="n"/>
      <c r="C6" s="65" t="n"/>
      <c r="D6" s="65" t="n"/>
      <c r="E6" s="65" t="n"/>
      <c r="F6" s="65" t="n"/>
      <c r="G6" s="65" t="n"/>
      <c r="H6" s="65" t="n"/>
      <c r="I6" s="65" t="n"/>
      <c r="J6" s="66" t="n"/>
      <c r="K6" s="66" t="n"/>
      <c r="L6" s="52" t="n"/>
    </row>
    <row r="7" ht="20.1" customHeight="1" s="206">
      <c r="A7" s="67" t="inlineStr">
        <is>
          <t>f</t>
        </is>
      </c>
      <c r="B7" s="30" t="inlineStr">
        <is>
          <t>Official fertility rate</t>
        </is>
      </c>
      <c r="C7" s="68" t="n"/>
      <c r="D7" s="69" t="n">
        <v>0</v>
      </c>
      <c r="E7" s="68" t="n">
        <v>0</v>
      </c>
      <c r="F7" s="69" t="n">
        <v>0</v>
      </c>
      <c r="G7" s="68" t="n">
        <v>0</v>
      </c>
      <c r="H7" s="70" t="n"/>
      <c r="I7" s="71" t="n"/>
      <c r="J7" s="72" t="n"/>
      <c r="K7" s="72" t="n"/>
      <c r="L7" s="52" t="n"/>
    </row>
    <row r="8" ht="20.1" customHeight="1" s="206">
      <c r="A8" s="1" t="n"/>
      <c r="B8" s="23" t="inlineStr">
        <is>
          <t>Population of age 0 (=births)</t>
        </is>
      </c>
      <c r="C8" s="55">
        <f t="array" ref="C8">population!C9</f>
        <v/>
      </c>
      <c r="D8" s="55">
        <f t="array" ref="D8">population!D9</f>
        <v/>
      </c>
      <c r="E8" s="55">
        <f t="array" ref="E8">population!E9</f>
        <v/>
      </c>
      <c r="F8" s="55">
        <f t="array" ref="F8">population!F9</f>
        <v/>
      </c>
      <c r="G8" s="55">
        <f t="array" ref="G8">population!G9</f>
        <v/>
      </c>
      <c r="H8" s="55">
        <f t="array" ref="H8">population!H9</f>
        <v/>
      </c>
      <c r="I8" s="55">
        <f t="array" ref="I8">population!I9</f>
        <v/>
      </c>
      <c r="J8" s="55">
        <f t="array" ref="J8">population!J9</f>
        <v/>
      </c>
      <c r="K8" s="55">
        <f t="array" ref="K8">population!K9</f>
        <v/>
      </c>
      <c r="L8" s="52" t="n"/>
    </row>
    <row r="9" ht="20.1" customHeight="1" s="206">
      <c r="A9" s="1" t="n"/>
      <c r="B9" s="23" t="inlineStr">
        <is>
          <t>Population of women of age 15-49</t>
        </is>
      </c>
      <c r="C9" s="72" t="n"/>
      <c r="D9" s="55">
        <f t="array" ref="D9">SUM(population!D24:D58)</f>
        <v/>
      </c>
      <c r="E9" s="72" t="n"/>
      <c r="F9" s="55">
        <f t="array" ref="F9">SUM(population!F24:F58)</f>
        <v/>
      </c>
      <c r="G9" s="72" t="n"/>
      <c r="H9" s="72" t="n"/>
      <c r="I9" s="72" t="n"/>
      <c r="J9" s="66" t="n"/>
      <c r="K9" s="66" t="n"/>
      <c r="L9" s="52" t="n"/>
    </row>
    <row r="10" ht="20.1" customHeight="1" s="206">
      <c r="A10" s="1" t="n"/>
      <c r="B10" s="23" t="inlineStr">
        <is>
          <t>Factor: fertile women x fertility rate</t>
        </is>
      </c>
      <c r="C10" s="55">
        <f t="array" ref="C10">D10+F10</f>
        <v/>
      </c>
      <c r="D10" s="55">
        <f t="array" ref="D10">D9*D7</f>
        <v/>
      </c>
      <c r="E10" s="72" t="n"/>
      <c r="F10" s="55">
        <f t="array" ref="F10">F9*F7</f>
        <v/>
      </c>
      <c r="G10" s="72" t="n"/>
      <c r="H10" s="72" t="n"/>
      <c r="I10" s="72" t="n"/>
      <c r="J10" s="66" t="n"/>
      <c r="K10" s="66" t="n"/>
      <c r="L10" s="52" t="n"/>
    </row>
    <row r="11" ht="20.1" customHeight="1" s="206">
      <c r="A11" s="2" t="inlineStr">
        <is>
          <t>f00</t>
        </is>
      </c>
      <c r="B11" s="23" t="inlineStr">
        <is>
          <t>Calculated births by fertility rate</t>
        </is>
      </c>
      <c r="C11" s="55">
        <f t="array" ref="C11">H11+I11</f>
        <v/>
      </c>
      <c r="D11" s="55">
        <f t="array" ref="D11">(D8+F8)*D10/C10</f>
        <v/>
      </c>
      <c r="E11" s="55">
        <f t="array" ref="E11">(E8+G8)*D10/C10</f>
        <v/>
      </c>
      <c r="F11" s="55">
        <f t="array" ref="F11">(D8+F8)*F10/C10</f>
        <v/>
      </c>
      <c r="G11" s="55">
        <f t="array" ref="G11">(E8+G8)*F10/C10</f>
        <v/>
      </c>
      <c r="H11" s="55">
        <f t="array" ref="H11">E11+D11</f>
        <v/>
      </c>
      <c r="I11" s="55">
        <f t="array" ref="I11">G11+F11</f>
        <v/>
      </c>
      <c r="J11" s="55">
        <f t="array" ref="J11">D11+F11</f>
        <v/>
      </c>
      <c r="K11" s="55">
        <f t="array" ref="K11">E11+G11</f>
        <v/>
      </c>
      <c r="L11" s="52" t="n"/>
    </row>
    <row r="12" ht="20.1" customHeight="1" s="206">
      <c r="A12" s="1" t="n"/>
      <c r="B12" s="18" t="n"/>
      <c r="C12" s="52" t="n"/>
      <c r="D12" s="52" t="n"/>
      <c r="E12" s="52" t="n"/>
      <c r="F12" s="52" t="n"/>
      <c r="G12" s="52" t="n"/>
      <c r="H12" s="52" t="n"/>
      <c r="I12" s="52" t="n"/>
      <c r="J12" s="52" t="n"/>
      <c r="K12" s="52" t="n"/>
      <c r="L12" s="52" t="n"/>
    </row>
    <row r="13" ht="20.1" customHeight="1" s="206">
      <c r="A13" s="2" t="inlineStr">
        <is>
          <t>fs</t>
        </is>
      </c>
      <c r="B13" s="23" t="inlineStr">
        <is>
          <t>Source of the data (verbal)</t>
        </is>
      </c>
      <c r="C13" s="184" t="inlineStr">
        <is>
          <t>?</t>
        </is>
      </c>
      <c r="D13" s="177" t="n"/>
      <c r="E13" s="177" t="n"/>
      <c r="F13" s="177" t="n"/>
      <c r="G13" s="177" t="n"/>
      <c r="H13" s="177" t="n"/>
      <c r="I13" s="177" t="n"/>
      <c r="J13" s="177" t="n"/>
      <c r="K13" s="177" t="n"/>
      <c r="L13" s="13" t="n"/>
    </row>
    <row r="14" ht="20.1" customHeight="1" s="206">
      <c r="A14" s="1" t="n"/>
      <c r="B14" s="23" t="inlineStr">
        <is>
          <t>URLs, where the data was found</t>
        </is>
      </c>
      <c r="C14" s="185" t="inlineStr">
        <is>
          <t>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14" s="177" t="n"/>
      <c r="E14" s="177" t="n"/>
      <c r="F14" s="177" t="n"/>
      <c r="G14" s="177" t="n"/>
      <c r="H14" s="177" t="n"/>
      <c r="I14" s="177" t="n"/>
      <c r="J14" s="177" t="n"/>
      <c r="K14" s="177" t="n"/>
      <c r="L14" s="13" t="n"/>
    </row>
    <row r="15" ht="20.1" customHeight="1" s="206">
      <c r="A15" s="24" t="n"/>
      <c r="B15" s="33" t="inlineStr">
        <is>
          <t>Date, when the data was downloaded</t>
        </is>
      </c>
      <c r="C15" s="185" t="inlineStr">
        <is>
          <t>2026-05-20</t>
        </is>
      </c>
      <c r="D15" s="177" t="n"/>
      <c r="E15" s="177" t="n"/>
      <c r="F15" s="177" t="n"/>
      <c r="G15" s="177" t="n"/>
      <c r="H15" s="177" t="n"/>
      <c r="I15" s="177" t="n"/>
      <c r="J15" s="177" t="n"/>
      <c r="K15" s="177" t="n"/>
      <c r="L15" s="13" t="n"/>
    </row>
    <row r="16" ht="20.1" customHeight="1" s="206">
      <c r="A16" s="10" t="n"/>
      <c r="B16" s="11" t="inlineStr">
        <is>
          <t>Manual remarks (not for AI!)</t>
        </is>
      </c>
      <c r="C16" s="186" t="n"/>
      <c r="D16" s="177" t="n"/>
      <c r="E16" s="177" t="n"/>
      <c r="F16" s="177" t="n"/>
      <c r="G16" s="177" t="n"/>
      <c r="H16" s="177" t="n"/>
      <c r="I16" s="177" t="n"/>
      <c r="J16" s="177" t="n"/>
      <c r="K16" s="177" t="n"/>
      <c r="L16" s="13" t="n"/>
    </row>
    <row r="17" ht="20.1" customHeight="1" s="206">
      <c r="A17" s="10" t="n"/>
      <c r="B17" s="11" t="inlineStr">
        <is>
          <t>Remarks of the AI (e.g. calculation)</t>
        </is>
      </c>
      <c r="C17" s="186" t="inlineStr">
        <is>
          <t>TFR-Werte aus STAT Demographische Indikatoren Kapitel H Fertilität, Berichtsjahr 2024 (Datei Kap_H_Fertilitaet_2024.ods), Tabelle H9 'Gesamtfertilitätsrate nach Staatsangehörigkeit bzw. Herkunft der Mutter und Bundesländern', Zeile 'Österreich' (Spalte B): Frauen mit österr. Staatsangehörigkeit 1,216; Frauen mit nichtösterr. Staatsangehörigkeit 1,578. Methodische Approximation (CLAUDE.md §Fertilität): TFR-Migrant nach Staatsangehörigkeit (= Ausländer) wird auf gesamte Migrant-Population mit MH i.w.S. inkl. 2. Generation eingebürgert angewendet. Tendenz: TFR-Migrant-MH-i.w.S. liegt vermutlich leicht NIEDRIGER als 1,578 (2. Generation eingebürgert hat oft TFR näher an Native), d.h. Migrant-Geburten werden mit dieser Approximation leicht überschätzt. Cross-Check: TFR nach Herkunft (Tabelle H9 Zeile 'Frauen österr./nichtösterr. Herkunft') = 1,213/1,547 — sehr ähnliche Werte. TFR Insgesamt AT 2024 = 1,311 (laut H9 Zeile 'Insgesamt').</t>
        </is>
      </c>
      <c r="D17" s="177" t="n"/>
      <c r="E17" s="177" t="n"/>
      <c r="F17" s="177" t="n"/>
      <c r="G17" s="177" t="n"/>
      <c r="H17" s="177" t="n"/>
      <c r="I17" s="177" t="n"/>
      <c r="J17" s="177" t="n"/>
      <c r="K17" s="177" t="n"/>
      <c r="L17" s="13" t="n"/>
    </row>
    <row r="18" ht="20.1" customHeight="1" s="206">
      <c r="A18" s="10" t="n"/>
      <c r="B18" s="11" t="inlineStr">
        <is>
          <t>Internal remarks</t>
        </is>
      </c>
      <c r="C18" s="186" t="n"/>
      <c r="D18" s="177" t="n"/>
      <c r="E18" s="177" t="n"/>
      <c r="F18" s="177" t="n"/>
      <c r="G18" s="177" t="n"/>
      <c r="H18" s="177" t="n"/>
      <c r="I18" s="177" t="n"/>
      <c r="J18" s="177" t="n"/>
      <c r="K18" s="177" t="n"/>
      <c r="L18" s="13" t="n"/>
    </row>
    <row r="19" ht="20.1" customHeight="1" s="206">
      <c r="A19" s="15" t="n"/>
      <c r="B19" s="16" t="n"/>
      <c r="C19" s="13" t="n"/>
      <c r="D19" s="13" t="n"/>
      <c r="E19" s="13" t="n"/>
      <c r="F19" s="13" t="n"/>
      <c r="G19" s="13" t="n"/>
      <c r="H19" s="13" t="n"/>
      <c r="I19" s="13" t="n"/>
      <c r="J19" s="13" t="n"/>
      <c r="K19" s="13" t="n"/>
      <c r="L19" s="13" t="n"/>
    </row>
    <row r="20" ht="26.85" customHeight="1" s="206">
      <c r="A20" s="20" t="n"/>
      <c r="B20" s="21" t="inlineStr">
        <is>
          <t>Births</t>
        </is>
      </c>
      <c r="C20" s="195" t="inlineStr">
        <is>
          <t>The values in this section are used to calculate at which age of the mother the children are born</t>
        </is>
      </c>
      <c r="D20" s="177" t="n"/>
      <c r="E20" s="177" t="n"/>
      <c r="F20" s="177" t="n"/>
      <c r="G20" s="177" t="n"/>
      <c r="H20" s="177" t="n"/>
      <c r="I20" s="177" t="n"/>
      <c r="J20" s="177" t="n"/>
      <c r="K20" s="177" t="n"/>
      <c r="L20" s="22" t="n"/>
    </row>
    <row r="21" ht="20.1" customHeight="1" s="206">
      <c r="A21" s="1" t="n"/>
      <c r="B21" s="18" t="n"/>
      <c r="C21" s="52" t="n"/>
      <c r="D21" s="52" t="n"/>
      <c r="E21" s="52" t="n"/>
      <c r="F21" s="52" t="n"/>
      <c r="G21" s="52" t="n"/>
      <c r="H21" s="52" t="n"/>
      <c r="I21" s="52" t="n"/>
      <c r="J21" s="52" t="n"/>
      <c r="K21" s="52" t="n"/>
      <c r="L21" s="52" t="n"/>
    </row>
    <row r="22" ht="20.1" customHeight="1" s="206">
      <c r="A22" s="2" t="inlineStr">
        <is>
          <t>b15</t>
        </is>
      </c>
      <c r="B22" s="23" t="inlineStr">
        <is>
          <t>15 years and younger age of the mother</t>
        </is>
      </c>
      <c r="C22" s="55">
        <f t="array" ref="C22">D22+E22+F22+G22</f>
        <v/>
      </c>
      <c r="D22" s="55">
        <f t="array" ref="D22">D$11*$H22/$H$57</f>
        <v/>
      </c>
      <c r="E22" s="55">
        <f t="array" ref="E22">E$11*$H22/$H$57</f>
        <v/>
      </c>
      <c r="F22" s="55">
        <f t="array" ref="F22">F$11*$I22/$I$57</f>
        <v/>
      </c>
      <c r="G22" s="55">
        <f t="array" ref="G22">G$11*$I22/$I$57</f>
        <v/>
      </c>
      <c r="H22" s="56">
        <f t="array" ref="H22">H74</f>
        <v/>
      </c>
      <c r="I22" s="56">
        <f t="array" ref="I22">I74</f>
        <v/>
      </c>
      <c r="J22" s="55">
        <f t="array" ref="J22">D22+F22</f>
        <v/>
      </c>
      <c r="K22" s="55">
        <f t="array" ref="K22">E22+G22</f>
        <v/>
      </c>
      <c r="L22" s="57" t="n"/>
    </row>
    <row r="23" ht="20.1" customHeight="1" s="206">
      <c r="A23" s="2" t="inlineStr">
        <is>
          <t>b16</t>
        </is>
      </c>
      <c r="B23" s="23" t="inlineStr">
        <is>
          <t>16 years age of the mother</t>
        </is>
      </c>
      <c r="C23" s="55" t="n">
        <v>4811.08778704471</v>
      </c>
      <c r="D23" s="55" t="n">
        <v>1924.98137752519</v>
      </c>
      <c r="E23" s="55" t="n">
        <v>2020.11406521038</v>
      </c>
      <c r="F23" s="55" t="n">
        <v>422.558405614318</v>
      </c>
      <c r="G23" s="55" t="n">
        <v>443.433938694822</v>
      </c>
      <c r="H23" s="56">
        <f t="array" ref="H23">H75</f>
        <v/>
      </c>
      <c r="I23" s="56">
        <f t="array" ref="I23">I75</f>
        <v/>
      </c>
      <c r="J23" s="55">
        <f t="array" ref="J23">D23+F23</f>
        <v/>
      </c>
      <c r="K23" s="55">
        <f t="array" ref="K23">E23+G23</f>
        <v/>
      </c>
      <c r="L23" s="57" t="n"/>
    </row>
    <row r="24" ht="20.1" customHeight="1" s="206">
      <c r="A24" s="2" t="inlineStr">
        <is>
          <t>b17</t>
        </is>
      </c>
      <c r="B24" s="23" t="inlineStr">
        <is>
          <t>17 years age of the mother</t>
        </is>
      </c>
      <c r="C24" s="55" t="n">
        <v>5788.7967014984</v>
      </c>
      <c r="D24" s="55" t="n">
        <v>2316.1759547748</v>
      </c>
      <c r="E24" s="55" t="n">
        <v>2430.64150041702</v>
      </c>
      <c r="F24" s="55" t="n">
        <v>508.430694446579</v>
      </c>
      <c r="G24" s="55" t="n">
        <v>533.548551860001</v>
      </c>
      <c r="H24" s="56">
        <f t="array" ref="H24">H76</f>
        <v/>
      </c>
      <c r="I24" s="56">
        <f t="array" ref="I24">I76</f>
        <v/>
      </c>
      <c r="J24" s="55">
        <f t="array" ref="J24">D24+F24</f>
        <v/>
      </c>
      <c r="K24" s="55">
        <f t="array" ref="K24">E24+G24</f>
        <v/>
      </c>
      <c r="L24" s="57" t="n"/>
    </row>
    <row r="25" ht="20.1" customHeight="1" s="206">
      <c r="A25" s="2" t="inlineStr">
        <is>
          <t>b18</t>
        </is>
      </c>
      <c r="B25" s="23" t="inlineStr">
        <is>
          <t>18 years age of the mother</t>
        </is>
      </c>
      <c r="C25" s="55" t="n">
        <v>6895.89023661914</v>
      </c>
      <c r="D25" s="55" t="n">
        <v>2759.1390709384</v>
      </c>
      <c r="E25" s="55" t="n">
        <v>2895.49587863544</v>
      </c>
      <c r="F25" s="55" t="n">
        <v>605.666849714053</v>
      </c>
      <c r="G25" s="55" t="n">
        <v>635.588437331247</v>
      </c>
      <c r="H25" s="56">
        <f t="array" ref="H25">H77</f>
        <v/>
      </c>
      <c r="I25" s="56">
        <f t="array" ref="I25">I77</f>
        <v/>
      </c>
      <c r="J25" s="55">
        <f t="array" ref="J25">D25+F25</f>
        <v/>
      </c>
      <c r="K25" s="55">
        <f t="array" ref="K25">E25+G25</f>
        <v/>
      </c>
      <c r="L25" s="57" t="n"/>
    </row>
    <row r="26" ht="20.1" customHeight="1" s="206">
      <c r="A26" s="2" t="inlineStr">
        <is>
          <t>b19</t>
        </is>
      </c>
      <c r="B26" s="23" t="inlineStr">
        <is>
          <t>19 years age of the mother</t>
        </is>
      </c>
      <c r="C26" s="55" t="n">
        <v>8132.97446321149</v>
      </c>
      <c r="D26" s="55" t="n">
        <v>3254.11322315258</v>
      </c>
      <c r="E26" s="55" t="n">
        <v>3414.93168122431</v>
      </c>
      <c r="F26" s="55" t="n">
        <v>714.320102686722</v>
      </c>
      <c r="G26" s="55" t="n">
        <v>749.6094561478779</v>
      </c>
      <c r="H26" s="56">
        <f t="array" ref="H26">H78</f>
        <v/>
      </c>
      <c r="I26" s="56">
        <f t="array" ref="I26">I78</f>
        <v/>
      </c>
      <c r="J26" s="55">
        <f t="array" ref="J26">D26+F26</f>
        <v/>
      </c>
      <c r="K26" s="55">
        <f t="array" ref="K26">E26+G26</f>
        <v/>
      </c>
      <c r="L26" s="57" t="n"/>
    </row>
    <row r="27" ht="20.1" customHeight="1" s="206">
      <c r="A27" s="2" t="inlineStr">
        <is>
          <t>b20</t>
        </is>
      </c>
      <c r="B27" s="23" t="inlineStr">
        <is>
          <t>20 years age of the mother</t>
        </is>
      </c>
      <c r="C27" s="55" t="n">
        <v>9496.542219381499</v>
      </c>
      <c r="D27" s="55" t="n">
        <v>3799.69514844798</v>
      </c>
      <c r="E27" s="55" t="n">
        <v>3987.47629587963</v>
      </c>
      <c r="F27" s="55" t="n">
        <v>834.082418923364</v>
      </c>
      <c r="G27" s="55" t="n">
        <v>875.288356130526</v>
      </c>
      <c r="H27" s="56">
        <f t="array" ref="H27">H79</f>
        <v/>
      </c>
      <c r="I27" s="56">
        <f t="array" ref="I27">I79</f>
        <v/>
      </c>
      <c r="J27" s="55">
        <f t="array" ref="J27">D27+F27</f>
        <v/>
      </c>
      <c r="K27" s="55">
        <f t="array" ref="K27">E27+G27</f>
        <v/>
      </c>
      <c r="L27" s="57" t="n"/>
    </row>
    <row r="28" ht="20.1" customHeight="1" s="206">
      <c r="A28" s="2" t="inlineStr">
        <is>
          <t>b21</t>
        </is>
      </c>
      <c r="B28" s="23" t="inlineStr">
        <is>
          <t>21 years age of the mother</t>
        </is>
      </c>
      <c r="C28" s="55" t="n">
        <v>10978.389227811</v>
      </c>
      <c r="D28" s="55" t="n">
        <v>4392.60220436358</v>
      </c>
      <c r="E28" s="55" t="n">
        <v>4609.68485176571</v>
      </c>
      <c r="F28" s="55" t="n">
        <v>964.233215783162</v>
      </c>
      <c r="G28" s="55" t="n">
        <v>1011.86895589852</v>
      </c>
      <c r="H28" s="56">
        <f t="array" ref="H28">H80</f>
        <v/>
      </c>
      <c r="I28" s="56">
        <f t="array" ref="I28">I80</f>
        <v/>
      </c>
      <c r="J28" s="55">
        <f t="array" ref="J28">D28+F28</f>
        <v/>
      </c>
      <c r="K28" s="55">
        <f t="array" ref="K28">E28+G28</f>
        <v/>
      </c>
      <c r="L28" s="57" t="n"/>
    </row>
    <row r="29" ht="20.1" customHeight="1" s="206">
      <c r="A29" s="2" t="inlineStr">
        <is>
          <t>b22</t>
        </is>
      </c>
      <c r="B29" s="23" t="inlineStr">
        <is>
          <t>22 years age of the mother</t>
        </is>
      </c>
      <c r="C29" s="55" t="n">
        <v>12565.1816437671</v>
      </c>
      <c r="D29" s="55" t="n">
        <v>5027.49933904878</v>
      </c>
      <c r="E29" s="55" t="n">
        <v>5275.95863847022</v>
      </c>
      <c r="F29" s="55" t="n">
        <v>1103.60138011657</v>
      </c>
      <c r="G29" s="55" t="n">
        <v>1158.1222861315</v>
      </c>
      <c r="H29" s="56">
        <f t="array" ref="H29">H81</f>
        <v/>
      </c>
      <c r="I29" s="56">
        <f t="array" ref="I29">I81</f>
        <v/>
      </c>
      <c r="J29" s="55">
        <f t="array" ref="J29">D29+F29</f>
        <v/>
      </c>
      <c r="K29" s="55">
        <f t="array" ref="K29">E29+G29</f>
        <v/>
      </c>
      <c r="L29" s="57" t="n"/>
    </row>
    <row r="30" ht="20.1" customHeight="1" s="206">
      <c r="A30" s="2" t="inlineStr">
        <is>
          <t>b23</t>
        </is>
      </c>
      <c r="B30" s="23" t="inlineStr">
        <is>
          <t>23 years age of the mother</t>
        </is>
      </c>
      <c r="C30" s="55" t="n">
        <v>14238.2280397997</v>
      </c>
      <c r="D30" s="55" t="n">
        <v>5696.90785925307</v>
      </c>
      <c r="E30" s="55" t="n">
        <v>5978.44936530253</v>
      </c>
      <c r="F30" s="55" t="n">
        <v>1250.5452416545</v>
      </c>
      <c r="G30" s="55" t="n">
        <v>1312.32557358961</v>
      </c>
      <c r="H30" s="56">
        <f t="array" ref="H30">H82</f>
        <v/>
      </c>
      <c r="I30" s="56">
        <f t="array" ref="I30">I82</f>
        <v/>
      </c>
      <c r="J30" s="55">
        <f t="array" ref="J30">D30+F30</f>
        <v/>
      </c>
      <c r="K30" s="55">
        <f t="array" ref="K30">E30+G30</f>
        <v/>
      </c>
      <c r="L30" s="57" t="n"/>
    </row>
    <row r="31" ht="20.1" customHeight="1" s="206">
      <c r="A31" s="2" t="inlineStr">
        <is>
          <t>b24</t>
        </is>
      </c>
      <c r="B31" s="23" t="inlineStr">
        <is>
          <t>24 years age of the mother</t>
        </is>
      </c>
      <c r="C31" s="55" t="n">
        <v>15973.5021158096</v>
      </c>
      <c r="D31" s="55" t="n">
        <v>6391.21451693166</v>
      </c>
      <c r="E31" s="55" t="n">
        <v>6707.06869696014</v>
      </c>
      <c r="F31" s="55" t="n">
        <v>1402.95456763627</v>
      </c>
      <c r="G31" s="55" t="n">
        <v>1472.26433428156</v>
      </c>
      <c r="H31" s="56">
        <f t="array" ref="H31">H83</f>
        <v/>
      </c>
      <c r="I31" s="56">
        <f t="array" ref="I31">I83</f>
        <v/>
      </c>
      <c r="J31" s="55">
        <f t="array" ref="J31">D31+F31</f>
        <v/>
      </c>
      <c r="K31" s="55">
        <f t="array" ref="K31">E31+G31</f>
        <v/>
      </c>
      <c r="L31" s="57" t="n"/>
    </row>
    <row r="32" ht="20.1" customHeight="1" s="206">
      <c r="A32" s="2" t="inlineStr">
        <is>
          <t>b25</t>
        </is>
      </c>
      <c r="B32" s="23" t="inlineStr">
        <is>
          <t>25 years age of the mother</t>
        </is>
      </c>
      <c r="C32" s="55" t="n">
        <v>17741.9507379232</v>
      </c>
      <c r="D32" s="55" t="n">
        <v>7098.79475977106</v>
      </c>
      <c r="E32" s="55" t="n">
        <v>7449.61759510194</v>
      </c>
      <c r="F32" s="55" t="n">
        <v>1558.27761790016</v>
      </c>
      <c r="G32" s="55" t="n">
        <v>1635.26076515005</v>
      </c>
      <c r="H32" s="56">
        <f t="array" ref="H32">H84</f>
        <v/>
      </c>
      <c r="I32" s="56">
        <f t="array" ref="I32">I84</f>
        <v/>
      </c>
      <c r="J32" s="55">
        <f t="array" ref="J32">D32+F32</f>
        <v/>
      </c>
      <c r="K32" s="55">
        <f t="array" ref="K32">E32+G32</f>
        <v/>
      </c>
      <c r="L32" s="57" t="n"/>
    </row>
    <row r="33" ht="20.1" customHeight="1" s="206">
      <c r="A33" s="2" t="inlineStr">
        <is>
          <t>b26</t>
        </is>
      </c>
      <c r="B33" s="23" t="inlineStr">
        <is>
          <t>26 years age of the mother</t>
        </is>
      </c>
      <c r="C33" s="55" t="n">
        <v>19510.1056263853</v>
      </c>
      <c r="D33" s="55" t="n">
        <v>7806.25747579862</v>
      </c>
      <c r="E33" s="55" t="n">
        <v>8192.043158250281</v>
      </c>
      <c r="F33" s="55" t="n">
        <v>1713.57486950293</v>
      </c>
      <c r="G33" s="55" t="n">
        <v>1798.23012283348</v>
      </c>
      <c r="H33" s="56">
        <f t="array" ref="H33">H85</f>
        <v/>
      </c>
      <c r="I33" s="56">
        <f t="array" ref="I33">I85</f>
        <v/>
      </c>
      <c r="J33" s="55">
        <f t="array" ref="J33">D33+F33</f>
        <v/>
      </c>
      <c r="K33" s="55">
        <f t="array" ref="K33">E33+G33</f>
        <v/>
      </c>
      <c r="L33" s="57" t="n"/>
    </row>
    <row r="34" ht="20.1" customHeight="1" s="206">
      <c r="A34" s="2" t="inlineStr">
        <is>
          <t>b27</t>
        </is>
      </c>
      <c r="B34" s="23" t="inlineStr">
        <is>
          <t>27 years age of the mother</t>
        </is>
      </c>
      <c r="C34" s="55" t="n">
        <v>21240.9970380409</v>
      </c>
      <c r="D34" s="55" t="n">
        <v>8498.810570117041</v>
      </c>
      <c r="E34" s="55" t="n">
        <v>8918.822265348061</v>
      </c>
      <c r="F34" s="55" t="n">
        <v>1865.59926555953</v>
      </c>
      <c r="G34" s="55" t="n">
        <v>1957.76493701631</v>
      </c>
      <c r="H34" s="56">
        <f t="array" ref="H34">H86</f>
        <v/>
      </c>
      <c r="I34" s="56">
        <f t="array" ref="I34">I86</f>
        <v/>
      </c>
      <c r="J34" s="55">
        <f t="array" ref="J34">D34+F34</f>
        <v/>
      </c>
      <c r="K34" s="55">
        <f t="array" ref="K34">E34+G34</f>
        <v/>
      </c>
      <c r="L34" s="57" t="n"/>
    </row>
    <row r="35" ht="20.1" customHeight="1" s="206">
      <c r="A35" s="2" t="inlineStr">
        <is>
          <t>b28</t>
        </is>
      </c>
      <c r="B35" s="23" t="inlineStr">
        <is>
          <t>28 years age of the mother</t>
        </is>
      </c>
      <c r="C35" s="55" t="n">
        <v>22895.345535295</v>
      </c>
      <c r="D35" s="55" t="n">
        <v>9160.737807804589</v>
      </c>
      <c r="E35" s="55" t="n">
        <v>9613.46198426191</v>
      </c>
      <c r="F35" s="55" t="n">
        <v>2010.90088845084</v>
      </c>
      <c r="G35" s="55" t="n">
        <v>2110.24485477767</v>
      </c>
      <c r="H35" s="56">
        <f t="array" ref="H35">H87</f>
        <v/>
      </c>
      <c r="I35" s="56">
        <f t="array" ref="I35">I87</f>
        <v/>
      </c>
      <c r="J35" s="55">
        <f t="array" ref="J35">D35+F35</f>
        <v/>
      </c>
      <c r="K35" s="55">
        <f t="array" ref="K35">E35+G35</f>
        <v/>
      </c>
      <c r="L35" s="57" t="n"/>
    </row>
    <row r="36" ht="20.1" customHeight="1" s="206">
      <c r="A36" s="2" t="inlineStr">
        <is>
          <t>b29</t>
        </is>
      </c>
      <c r="B36" s="23" t="inlineStr">
        <is>
          <t>29 years age of the mother</t>
        </is>
      </c>
      <c r="C36" s="55" t="n">
        <v>24432.9852209884</v>
      </c>
      <c r="D36" s="55" t="n">
        <v>9775.96826946317</v>
      </c>
      <c r="E36" s="55" t="n">
        <v>10259.0971698553</v>
      </c>
      <c r="F36" s="55" t="n">
        <v>2145.95196271007</v>
      </c>
      <c r="G36" s="55" t="n">
        <v>2251.96781895982</v>
      </c>
      <c r="H36" s="56">
        <f t="array" ref="H36">H88</f>
        <v/>
      </c>
      <c r="I36" s="56">
        <f t="array" ref="I36">I88</f>
        <v/>
      </c>
      <c r="J36" s="55">
        <f t="array" ref="J36">D36+F36</f>
        <v/>
      </c>
      <c r="K36" s="55">
        <f t="array" ref="K36">E36+G36</f>
        <v/>
      </c>
      <c r="L36" s="57" t="n"/>
    </row>
    <row r="37" ht="20.1" customHeight="1" s="206">
      <c r="A37" s="2" t="inlineStr">
        <is>
          <t>b30</t>
        </is>
      </c>
      <c r="B37" s="23" t="inlineStr">
        <is>
          <t>30 years age of the mother</t>
        </is>
      </c>
      <c r="C37" s="55" t="n">
        <v>25814.4507149447</v>
      </c>
      <c r="D37" s="55" t="n">
        <v>10328.7113220261</v>
      </c>
      <c r="E37" s="55" t="n">
        <v>10839.1568150896</v>
      </c>
      <c r="F37" s="55" t="n">
        <v>2267.28623935938</v>
      </c>
      <c r="G37" s="55" t="n">
        <v>2379.2963384696</v>
      </c>
      <c r="H37" s="56">
        <f t="array" ref="H37">H89</f>
        <v/>
      </c>
      <c r="I37" s="56">
        <f t="array" ref="I37">I89</f>
        <v/>
      </c>
      <c r="J37" s="55">
        <f t="array" ref="J37">D37+F37</f>
        <v/>
      </c>
      <c r="K37" s="55">
        <f t="array" ref="K37">E37+G37</f>
        <v/>
      </c>
      <c r="L37" s="57" t="n"/>
    </row>
    <row r="38" ht="20.1" customHeight="1" s="206">
      <c r="A38" s="2" t="inlineStr">
        <is>
          <t>b31</t>
        </is>
      </c>
      <c r="B38" s="23" t="inlineStr">
        <is>
          <t>31 years age of the mother</t>
        </is>
      </c>
      <c r="C38" s="55" t="n">
        <v>27002.6427590369</v>
      </c>
      <c r="D38" s="55" t="n">
        <v>10804.1230499019</v>
      </c>
      <c r="E38" s="55" t="n">
        <v>11338.0634172317</v>
      </c>
      <c r="F38" s="55" t="n">
        <v>2371.64528619847</v>
      </c>
      <c r="G38" s="55" t="n">
        <v>2488.81100570483</v>
      </c>
      <c r="H38" s="56">
        <f t="array" ref="H38">H90</f>
        <v/>
      </c>
      <c r="I38" s="56">
        <f t="array" ref="I38">I90</f>
        <v/>
      </c>
      <c r="J38" s="55">
        <f t="array" ref="J38">D38+F38</f>
        <v/>
      </c>
      <c r="K38" s="55">
        <f t="array" ref="K38">E38+G38</f>
        <v/>
      </c>
      <c r="L38" s="57" t="n"/>
    </row>
    <row r="39" ht="20.1" customHeight="1" s="206">
      <c r="A39" s="2" t="inlineStr">
        <is>
          <t>b32</t>
        </is>
      </c>
      <c r="B39" s="23" t="inlineStr">
        <is>
          <t>32 years age of the mother</t>
        </is>
      </c>
      <c r="C39" s="55" t="n">
        <v>27964.4755738373</v>
      </c>
      <c r="D39" s="55" t="n">
        <v>11188.9653846789</v>
      </c>
      <c r="E39" s="55" t="n">
        <v>11741.9246817863</v>
      </c>
      <c r="F39" s="55" t="n">
        <v>2456.12317533283</v>
      </c>
      <c r="G39" s="55" t="n">
        <v>2577.46233203925</v>
      </c>
      <c r="H39" s="56">
        <f t="array" ref="H39">H91</f>
        <v/>
      </c>
      <c r="I39" s="56">
        <f t="array" ref="I39">I91</f>
        <v/>
      </c>
      <c r="J39" s="55">
        <f t="array" ref="J39">D39+F39</f>
        <v/>
      </c>
      <c r="K39" s="55">
        <f t="array" ref="K39">E39+G39</f>
        <v/>
      </c>
      <c r="L39" s="57" t="n"/>
    </row>
    <row r="40" ht="20.1" customHeight="1" s="206">
      <c r="A40" s="2" t="inlineStr">
        <is>
          <t>b33</t>
        </is>
      </c>
      <c r="B40" s="23" t="inlineStr">
        <is>
          <t>33 years age of the mother</t>
        </is>
      </c>
      <c r="C40" s="55" t="n">
        <v>28672.4044352049</v>
      </c>
      <c r="D40" s="55" t="n">
        <v>11472.2173092052</v>
      </c>
      <c r="E40" s="55" t="n">
        <v>12039.1749323155</v>
      </c>
      <c r="F40" s="55" t="n">
        <v>2518.30065040476</v>
      </c>
      <c r="G40" s="55" t="n">
        <v>2642.71154327945</v>
      </c>
      <c r="H40" s="56">
        <f t="array" ref="H40">H92</f>
        <v/>
      </c>
      <c r="I40" s="56">
        <f t="array" ref="I40">I92</f>
        <v/>
      </c>
      <c r="J40" s="55">
        <f t="array" ref="J40">D40+F40</f>
        <v/>
      </c>
      <c r="K40" s="55">
        <f t="array" ref="K40">E40+G40</f>
        <v/>
      </c>
      <c r="L40" s="57" t="n"/>
    </row>
    <row r="41" ht="20.1" customHeight="1" s="206">
      <c r="A41" s="2" t="inlineStr">
        <is>
          <t>b34</t>
        </is>
      </c>
      <c r="B41" s="23" t="inlineStr">
        <is>
          <t>34 years age of the mother</t>
        </is>
      </c>
      <c r="C41" s="55" t="n">
        <v>29105.7352546621</v>
      </c>
      <c r="D41" s="55" t="n">
        <v>11645.5988384321</v>
      </c>
      <c r="E41" s="55" t="n">
        <v>12221.124986445</v>
      </c>
      <c r="F41" s="55" t="n">
        <v>2556.36014719184</v>
      </c>
      <c r="G41" s="55" t="n">
        <v>2682.65128259311</v>
      </c>
      <c r="H41" s="56">
        <f t="array" ref="H41">H93</f>
        <v/>
      </c>
      <c r="I41" s="56">
        <f t="array" ref="I41">I93</f>
        <v/>
      </c>
      <c r="J41" s="55">
        <f t="array" ref="J41">D41+F41</f>
        <v/>
      </c>
      <c r="K41" s="55">
        <f t="array" ref="K41">E41+G41</f>
        <v/>
      </c>
      <c r="L41" s="57" t="n"/>
    </row>
    <row r="42" ht="20.1" customHeight="1" s="206">
      <c r="A42" s="2" t="inlineStr">
        <is>
          <t>b35</t>
        </is>
      </c>
      <c r="B42" s="23" t="inlineStr">
        <is>
          <t>35 years age of the mother</t>
        </is>
      </c>
      <c r="C42" s="55" t="n">
        <v>29251.6293374775</v>
      </c>
      <c r="D42" s="55" t="n">
        <v>11703.9730367303</v>
      </c>
      <c r="E42" s="55" t="n">
        <v>12282.3840408983</v>
      </c>
      <c r="F42" s="55" t="n">
        <v>2569.17404162732</v>
      </c>
      <c r="G42" s="55" t="n">
        <v>2696.09821822154</v>
      </c>
      <c r="H42" s="56">
        <f t="array" ref="H42">H94</f>
        <v/>
      </c>
      <c r="I42" s="56">
        <f t="array" ref="I42">I94</f>
        <v/>
      </c>
      <c r="J42" s="55">
        <f t="array" ref="J42">D42+F42</f>
        <v/>
      </c>
      <c r="K42" s="55">
        <f t="array" ref="K42">E42+G42</f>
        <v/>
      </c>
      <c r="L42" s="57" t="n"/>
    </row>
    <row r="43" ht="20.1" customHeight="1" s="206">
      <c r="A43" s="2" t="inlineStr">
        <is>
          <t>b36</t>
        </is>
      </c>
      <c r="B43" s="23" t="inlineStr">
        <is>
          <t>36 years age of the mother</t>
        </is>
      </c>
      <c r="C43" s="55" t="n">
        <v>29105.7352546621</v>
      </c>
      <c r="D43" s="55" t="n">
        <v>11645.5988384321</v>
      </c>
      <c r="E43" s="55" t="n">
        <v>12221.124986445</v>
      </c>
      <c r="F43" s="55" t="n">
        <v>2556.36014719184</v>
      </c>
      <c r="G43" s="55" t="n">
        <v>2682.65128259311</v>
      </c>
      <c r="H43" s="56">
        <f t="array" ref="H43">H95</f>
        <v/>
      </c>
      <c r="I43" s="56">
        <f t="array" ref="I43">I95</f>
        <v/>
      </c>
      <c r="J43" s="55">
        <f t="array" ref="J43">D43+F43</f>
        <v/>
      </c>
      <c r="K43" s="55">
        <f t="array" ref="K43">E43+G43</f>
        <v/>
      </c>
      <c r="L43" s="57" t="n"/>
    </row>
    <row r="44" ht="20.1" customHeight="1" s="206">
      <c r="A44" s="2" t="inlineStr">
        <is>
          <t>b37</t>
        </is>
      </c>
      <c r="B44" s="23" t="inlineStr">
        <is>
          <t>37 years age of the mother</t>
        </is>
      </c>
      <c r="C44" s="55" t="n">
        <v>28672.4044352049</v>
      </c>
      <c r="D44" s="55" t="n">
        <v>11472.2173092052</v>
      </c>
      <c r="E44" s="55" t="n">
        <v>12039.1749323155</v>
      </c>
      <c r="F44" s="55" t="n">
        <v>2518.30065040476</v>
      </c>
      <c r="G44" s="55" t="n">
        <v>2642.71154327945</v>
      </c>
      <c r="H44" s="56">
        <f t="array" ref="H44">H96</f>
        <v/>
      </c>
      <c r="I44" s="56">
        <f t="array" ref="I44">I96</f>
        <v/>
      </c>
      <c r="J44" s="55">
        <f t="array" ref="J44">D44+F44</f>
        <v/>
      </c>
      <c r="K44" s="55">
        <f t="array" ref="K44">E44+G44</f>
        <v/>
      </c>
      <c r="L44" s="57" t="n"/>
    </row>
    <row r="45" ht="20.1" customHeight="1" s="206">
      <c r="A45" s="2" t="inlineStr">
        <is>
          <t>b38</t>
        </is>
      </c>
      <c r="B45" s="23" t="inlineStr">
        <is>
          <t>38 years age of the mother</t>
        </is>
      </c>
      <c r="C45" s="55" t="n">
        <v>27964.4755738373</v>
      </c>
      <c r="D45" s="55" t="n">
        <v>11188.9653846789</v>
      </c>
      <c r="E45" s="55" t="n">
        <v>11741.9246817863</v>
      </c>
      <c r="F45" s="55" t="n">
        <v>2456.12317533283</v>
      </c>
      <c r="G45" s="55" t="n">
        <v>2577.46233203925</v>
      </c>
      <c r="H45" s="56">
        <f t="array" ref="H45">H97</f>
        <v/>
      </c>
      <c r="I45" s="56">
        <f t="array" ref="I45">I97</f>
        <v/>
      </c>
      <c r="J45" s="55">
        <f t="array" ref="J45">D45+F45</f>
        <v/>
      </c>
      <c r="K45" s="55">
        <f t="array" ref="K45">E45+G45</f>
        <v/>
      </c>
      <c r="L45" s="57" t="n"/>
    </row>
    <row r="46" ht="20.1" customHeight="1" s="206">
      <c r="A46" s="2" t="inlineStr">
        <is>
          <t>b39</t>
        </is>
      </c>
      <c r="B46" s="23" t="inlineStr">
        <is>
          <t>39 years age of the mother</t>
        </is>
      </c>
      <c r="C46" s="55" t="n">
        <v>27002.6427590369</v>
      </c>
      <c r="D46" s="55" t="n">
        <v>10804.1230499019</v>
      </c>
      <c r="E46" s="55" t="n">
        <v>11338.0634172317</v>
      </c>
      <c r="F46" s="55" t="n">
        <v>2371.64528619847</v>
      </c>
      <c r="G46" s="55" t="n">
        <v>2488.81100570483</v>
      </c>
      <c r="H46" s="56">
        <f t="array" ref="H46">H98</f>
        <v/>
      </c>
      <c r="I46" s="56">
        <f t="array" ref="I46">I98</f>
        <v/>
      </c>
      <c r="J46" s="55">
        <f t="array" ref="J46">D46+F46</f>
        <v/>
      </c>
      <c r="K46" s="55">
        <f t="array" ref="K46">E46+G46</f>
        <v/>
      </c>
      <c r="L46" s="57" t="n"/>
    </row>
    <row r="47" ht="20.1" customHeight="1" s="206">
      <c r="A47" s="2" t="inlineStr">
        <is>
          <t>b40</t>
        </is>
      </c>
      <c r="B47" s="23" t="inlineStr">
        <is>
          <t>40 years age of the mother</t>
        </is>
      </c>
      <c r="C47" s="55" t="n">
        <v>25814.4507149447</v>
      </c>
      <c r="D47" s="55" t="n">
        <v>10328.7113220261</v>
      </c>
      <c r="E47" s="55" t="n">
        <v>10839.1568150896</v>
      </c>
      <c r="F47" s="55" t="n">
        <v>2267.28623935938</v>
      </c>
      <c r="G47" s="55" t="n">
        <v>2379.2963384696</v>
      </c>
      <c r="H47" s="56">
        <f t="array" ref="H47">H99</f>
        <v/>
      </c>
      <c r="I47" s="56">
        <f t="array" ref="I47">I99</f>
        <v/>
      </c>
      <c r="J47" s="55">
        <f t="array" ref="J47">D47+F47</f>
        <v/>
      </c>
      <c r="K47" s="55">
        <f t="array" ref="K47">E47+G47</f>
        <v/>
      </c>
      <c r="L47" s="57" t="n"/>
    </row>
    <row r="48" ht="20.1" customHeight="1" s="206">
      <c r="A48" s="2" t="inlineStr">
        <is>
          <t>b41</t>
        </is>
      </c>
      <c r="B48" s="23" t="inlineStr">
        <is>
          <t>41 years age of the mother</t>
        </is>
      </c>
      <c r="C48" s="55" t="n">
        <v>24432.9852209884</v>
      </c>
      <c r="D48" s="55" t="n">
        <v>9775.96826946317</v>
      </c>
      <c r="E48" s="55" t="n">
        <v>10259.0971698553</v>
      </c>
      <c r="F48" s="55" t="n">
        <v>2145.95196271007</v>
      </c>
      <c r="G48" s="55" t="n">
        <v>2251.96781895982</v>
      </c>
      <c r="H48" s="56">
        <f t="array" ref="H48">H100</f>
        <v/>
      </c>
      <c r="I48" s="56">
        <f t="array" ref="I48">I100</f>
        <v/>
      </c>
      <c r="J48" s="55">
        <f t="array" ref="J48">D48+F48</f>
        <v/>
      </c>
      <c r="K48" s="55">
        <f t="array" ref="K48">E48+G48</f>
        <v/>
      </c>
      <c r="L48" s="57" t="n"/>
    </row>
    <row r="49" ht="20.1" customHeight="1" s="206">
      <c r="A49" s="2" t="inlineStr">
        <is>
          <t>b42</t>
        </is>
      </c>
      <c r="B49" s="23" t="inlineStr">
        <is>
          <t>42 years age of the mother</t>
        </is>
      </c>
      <c r="C49" s="55" t="n">
        <v>22895.345535295</v>
      </c>
      <c r="D49" s="55" t="n">
        <v>9160.737807804589</v>
      </c>
      <c r="E49" s="55" t="n">
        <v>9613.46198426191</v>
      </c>
      <c r="F49" s="55" t="n">
        <v>2010.90088845084</v>
      </c>
      <c r="G49" s="55" t="n">
        <v>2110.24485477767</v>
      </c>
      <c r="H49" s="56">
        <f t="array" ref="H49">H101</f>
        <v/>
      </c>
      <c r="I49" s="56">
        <f t="array" ref="I49">I101</f>
        <v/>
      </c>
      <c r="J49" s="55">
        <f t="array" ref="J49">D49+F49</f>
        <v/>
      </c>
      <c r="K49" s="55">
        <f t="array" ref="K49">E49+G49</f>
        <v/>
      </c>
      <c r="L49" s="57" t="n"/>
    </row>
    <row r="50" ht="20.1" customHeight="1" s="206">
      <c r="A50" s="2" t="inlineStr">
        <is>
          <t>b43</t>
        </is>
      </c>
      <c r="B50" s="23" t="inlineStr">
        <is>
          <t>43 years age of the mother</t>
        </is>
      </c>
      <c r="C50" s="55" t="n">
        <v>21240.9970380409</v>
      </c>
      <c r="D50" s="55" t="n">
        <v>8498.810570117041</v>
      </c>
      <c r="E50" s="55" t="n">
        <v>8918.822265348061</v>
      </c>
      <c r="F50" s="55" t="n">
        <v>1865.59926555953</v>
      </c>
      <c r="G50" s="55" t="n">
        <v>1957.76493701631</v>
      </c>
      <c r="H50" s="56">
        <f t="array" ref="H50">H102</f>
        <v/>
      </c>
      <c r="I50" s="56">
        <f t="array" ref="I50">I102</f>
        <v/>
      </c>
      <c r="J50" s="55">
        <f t="array" ref="J50">D50+F50</f>
        <v/>
      </c>
      <c r="K50" s="55">
        <f t="array" ref="K50">E50+G50</f>
        <v/>
      </c>
      <c r="L50" s="57" t="n"/>
    </row>
    <row r="51" ht="20.1" customHeight="1" s="206">
      <c r="A51" s="2" t="inlineStr">
        <is>
          <t>b44</t>
        </is>
      </c>
      <c r="B51" s="23" t="inlineStr">
        <is>
          <t>44 years age of the mother</t>
        </is>
      </c>
      <c r="C51" s="55" t="n">
        <v>19510.1056263853</v>
      </c>
      <c r="D51" s="55" t="n">
        <v>7806.25747579862</v>
      </c>
      <c r="E51" s="55" t="n">
        <v>8192.043158250281</v>
      </c>
      <c r="F51" s="55" t="n">
        <v>1713.57486950293</v>
      </c>
      <c r="G51" s="55" t="n">
        <v>1798.23012283348</v>
      </c>
      <c r="H51" s="56">
        <f t="array" ref="H51">H103</f>
        <v/>
      </c>
      <c r="I51" s="56">
        <f t="array" ref="I51">I103</f>
        <v/>
      </c>
      <c r="J51" s="55">
        <f t="array" ref="J51">D51+F51</f>
        <v/>
      </c>
      <c r="K51" s="55">
        <f t="array" ref="K51">E51+G51</f>
        <v/>
      </c>
      <c r="L51" s="57" t="n"/>
    </row>
    <row r="52" ht="20.1" customHeight="1" s="206">
      <c r="A52" s="2" t="inlineStr">
        <is>
          <t>b45</t>
        </is>
      </c>
      <c r="B52" s="23" t="inlineStr">
        <is>
          <t>45 years age of the mother</t>
        </is>
      </c>
      <c r="C52" s="55" t="n">
        <v>17741.9507379232</v>
      </c>
      <c r="D52" s="55" t="n">
        <v>7098.79475977106</v>
      </c>
      <c r="E52" s="55" t="n">
        <v>7449.61759510194</v>
      </c>
      <c r="F52" s="55" t="n">
        <v>1558.27761790016</v>
      </c>
      <c r="G52" s="55" t="n">
        <v>1635.26076515005</v>
      </c>
      <c r="H52" s="56">
        <f t="array" ref="H52">H104</f>
        <v/>
      </c>
      <c r="I52" s="56">
        <f t="array" ref="I52">I104</f>
        <v/>
      </c>
      <c r="J52" s="55">
        <f t="array" ref="J52">D52+F52</f>
        <v/>
      </c>
      <c r="K52" s="55">
        <f t="array" ref="K52">E52+G52</f>
        <v/>
      </c>
      <c r="L52" s="57" t="n"/>
    </row>
    <row r="53" ht="20.1" customHeight="1" s="206">
      <c r="A53" s="2" t="inlineStr">
        <is>
          <t>b46</t>
        </is>
      </c>
      <c r="B53" s="23" t="inlineStr">
        <is>
          <t>46 years age of the mother</t>
        </is>
      </c>
      <c r="C53" s="55" t="n">
        <v>15973.5021158096</v>
      </c>
      <c r="D53" s="55" t="n">
        <v>6391.21451693166</v>
      </c>
      <c r="E53" s="55" t="n">
        <v>6707.06869696014</v>
      </c>
      <c r="F53" s="55" t="n">
        <v>1402.95456763627</v>
      </c>
      <c r="G53" s="55" t="n">
        <v>1472.26433428156</v>
      </c>
      <c r="H53" s="56">
        <f t="array" ref="H53">H105</f>
        <v/>
      </c>
      <c r="I53" s="56">
        <f t="array" ref="I53">I105</f>
        <v/>
      </c>
      <c r="J53" s="55">
        <f t="array" ref="J53">D53+F53</f>
        <v/>
      </c>
      <c r="K53" s="55">
        <f t="array" ref="K53">E53+G53</f>
        <v/>
      </c>
      <c r="L53" s="57" t="n"/>
    </row>
    <row r="54" ht="20.1" customHeight="1" s="206">
      <c r="A54" s="2" t="inlineStr">
        <is>
          <t>b47</t>
        </is>
      </c>
      <c r="B54" s="23" t="inlineStr">
        <is>
          <t>47 years age of the mother</t>
        </is>
      </c>
      <c r="C54" s="55" t="n">
        <v>14238.2280397997</v>
      </c>
      <c r="D54" s="55" t="n">
        <v>5696.90785925307</v>
      </c>
      <c r="E54" s="55" t="n">
        <v>5978.44936530253</v>
      </c>
      <c r="F54" s="55" t="n">
        <v>1250.5452416545</v>
      </c>
      <c r="G54" s="55" t="n">
        <v>1312.32557358961</v>
      </c>
      <c r="H54" s="56">
        <f t="array" ref="H54">H106</f>
        <v/>
      </c>
      <c r="I54" s="56">
        <f t="array" ref="I54">I106</f>
        <v/>
      </c>
      <c r="J54" s="55">
        <f t="array" ref="J54">D54+F54</f>
        <v/>
      </c>
      <c r="K54" s="55">
        <f t="array" ref="K54">E54+G54</f>
        <v/>
      </c>
      <c r="L54" s="57" t="n"/>
    </row>
    <row r="55" ht="20.1" customHeight="1" s="206">
      <c r="A55" s="2" t="inlineStr">
        <is>
          <t>b48</t>
        </is>
      </c>
      <c r="B55" s="23" t="inlineStr">
        <is>
          <t>48 years age of the mother</t>
        </is>
      </c>
      <c r="C55" s="55" t="n">
        <v>12565.1816437671</v>
      </c>
      <c r="D55" s="55" t="n">
        <v>5027.49933904878</v>
      </c>
      <c r="E55" s="55" t="n">
        <v>5275.95863847022</v>
      </c>
      <c r="F55" s="55" t="n">
        <v>1103.60138011657</v>
      </c>
      <c r="G55" s="55" t="n">
        <v>1158.1222861315</v>
      </c>
      <c r="H55" s="56">
        <f t="array" ref="H55">H107</f>
        <v/>
      </c>
      <c r="I55" s="56">
        <f t="array" ref="I55">I107</f>
        <v/>
      </c>
      <c r="J55" s="55">
        <f t="array" ref="J55">D55+F55</f>
        <v/>
      </c>
      <c r="K55" s="55">
        <f t="array" ref="K55">E55+G55</f>
        <v/>
      </c>
      <c r="L55" s="57" t="n"/>
    </row>
    <row r="56" ht="20.1" customHeight="1" s="206">
      <c r="A56" s="2" t="inlineStr">
        <is>
          <t>b49</t>
        </is>
      </c>
      <c r="B56" s="23" t="inlineStr">
        <is>
          <t>49 years and older age of the mother</t>
        </is>
      </c>
      <c r="C56" s="55" t="n">
        <v>10978.389227811</v>
      </c>
      <c r="D56" s="55" t="n">
        <v>4392.60220436358</v>
      </c>
      <c r="E56" s="55" t="n">
        <v>4609.68485176571</v>
      </c>
      <c r="F56" s="55" t="n">
        <v>964.233215783162</v>
      </c>
      <c r="G56" s="55" t="n">
        <v>1011.86895589852</v>
      </c>
      <c r="H56" s="56">
        <f t="array" ref="H56">H108</f>
        <v/>
      </c>
      <c r="I56" s="56">
        <f t="array" ref="I56">I108</f>
        <v/>
      </c>
      <c r="J56" s="55">
        <f t="array" ref="J56">D56+F56</f>
        <v/>
      </c>
      <c r="K56" s="55">
        <f t="array" ref="K56">E56+G56</f>
        <v/>
      </c>
      <c r="L56" s="57" t="n"/>
    </row>
    <row r="57" ht="20.1" customHeight="1" s="206">
      <c r="A57" s="2" t="inlineStr">
        <is>
          <t>bt</t>
        </is>
      </c>
      <c r="B57" s="23" t="inlineStr">
        <is>
          <t>Total</t>
        </is>
      </c>
      <c r="C57" s="55">
        <f t="array" ref="C57">SUM(C22:C56)</f>
        <v/>
      </c>
      <c r="D57" s="55">
        <f t="array" ref="D57">SUM(D22:D56)</f>
        <v/>
      </c>
      <c r="E57" s="55">
        <f t="array" ref="E57">SUM(E22:E56)</f>
        <v/>
      </c>
      <c r="F57" s="55">
        <f t="array" ref="F57">SUM(F22:F56)</f>
        <v/>
      </c>
      <c r="G57" s="55">
        <f t="array" ref="G57">SUM(G22:G56)</f>
        <v/>
      </c>
      <c r="H57" s="55">
        <f t="array" ref="H57">SUM(H22:H56)</f>
        <v/>
      </c>
      <c r="I57" s="55">
        <f t="array" ref="I57">SUM(I22:I56)</f>
        <v/>
      </c>
      <c r="J57" s="55">
        <f t="array" ref="J57">SUM(J22:J56)</f>
        <v/>
      </c>
      <c r="K57" s="55">
        <f t="array" ref="K57">SUM(K22:K56)</f>
        <v/>
      </c>
      <c r="L57" s="57" t="n"/>
    </row>
    <row r="58" ht="20.1" customHeight="1" s="206">
      <c r="A58" s="1" t="n"/>
      <c r="B58" s="18" t="n"/>
      <c r="C58" s="52" t="n"/>
      <c r="D58" s="52" t="n"/>
      <c r="E58" s="52" t="n"/>
      <c r="F58" s="52" t="n"/>
      <c r="G58" s="52" t="n"/>
      <c r="H58" s="13" t="n"/>
      <c r="I58" s="13" t="n"/>
      <c r="J58" s="13" t="n"/>
      <c r="K58" s="13" t="n"/>
      <c r="L58" s="13" t="n"/>
    </row>
    <row r="59" ht="20.1" customHeight="1" s="206">
      <c r="A59" s="2" t="inlineStr">
        <is>
          <t>bs</t>
        </is>
      </c>
      <c r="B59" s="23" t="inlineStr">
        <is>
          <t>Source of the data (verbal)</t>
        </is>
      </c>
      <c r="C59" s="184">
        <f t="array" ref="C59">IF(C60="","?",C60)&amp;IF(C61="","","; downloaded "&amp;C61)&amp;IF(C62="","","; "&amp;C62)</f>
        <v/>
      </c>
      <c r="D59" s="177" t="n"/>
      <c r="E59" s="177" t="n"/>
      <c r="F59" s="177" t="n"/>
      <c r="G59" s="177" t="n"/>
      <c r="H59" s="177" t="n"/>
      <c r="I59" s="177" t="n"/>
      <c r="J59" s="177" t="n"/>
      <c r="K59" s="177" t="n"/>
      <c r="L59" s="13" t="n"/>
    </row>
    <row r="60" ht="20.1" customHeight="1" s="206">
      <c r="A60" s="1" t="n"/>
      <c r="B60" s="23" t="inlineStr">
        <is>
          <t>URLs, where the data was found</t>
        </is>
      </c>
      <c r="C60" s="185" t="inlineStr">
        <is>
          <t>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60" s="177" t="n"/>
      <c r="E60" s="177" t="n"/>
      <c r="F60" s="177" t="n"/>
      <c r="G60" s="177" t="n"/>
      <c r="H60" s="177" t="n"/>
      <c r="I60" s="177" t="n"/>
      <c r="J60" s="177" t="n"/>
      <c r="K60" s="177" t="n"/>
      <c r="L60" s="13" t="n"/>
    </row>
    <row r="61" ht="20.1" customHeight="1" s="206">
      <c r="A61" s="24" t="n"/>
      <c r="B61" s="33" t="inlineStr">
        <is>
          <t>Date, when the data was downloaded</t>
        </is>
      </c>
      <c r="C61" s="185" t="inlineStr">
        <is>
          <t>2026-05-20</t>
        </is>
      </c>
      <c r="D61" s="177" t="n"/>
      <c r="E61" s="177" t="n"/>
      <c r="F61" s="177" t="n"/>
      <c r="G61" s="177" t="n"/>
      <c r="H61" s="177" t="n"/>
      <c r="I61" s="177" t="n"/>
      <c r="J61" s="177" t="n"/>
      <c r="K61" s="177" t="n"/>
      <c r="L61" s="13" t="n"/>
    </row>
    <row r="62" ht="20.1" customHeight="1" s="206">
      <c r="A62" s="10" t="n"/>
      <c r="B62" s="11" t="inlineStr">
        <is>
          <t>Manual remarks (not for AI!)</t>
        </is>
      </c>
      <c r="C62" s="186" t="n"/>
      <c r="D62" s="177" t="n"/>
      <c r="E62" s="177" t="n"/>
      <c r="F62" s="177" t="n"/>
      <c r="G62" s="177" t="n"/>
      <c r="H62" s="177" t="n"/>
      <c r="I62" s="177" t="n"/>
      <c r="J62" s="177" t="n"/>
      <c r="K62" s="177" t="n"/>
      <c r="L62" s="13" t="n"/>
    </row>
    <row r="63" ht="20.1" customHeight="1" s="206">
      <c r="A63" s="10" t="n"/>
      <c r="B63" s="11" t="inlineStr">
        <is>
          <t>Remarks of the AI (e.g. calculation)</t>
        </is>
      </c>
      <c r="C63" s="186" t="inlineStr">
        <is>
          <t>Altersspezifische Aufschlüsselung der Geburten pro Alter × NAT/MIG (H74:H108 = Native total, I74:I108 = Migrant total) aus STAT Tabelle H6 'Altersspezifische Fertilitätsraten nach Staatsangehörigkeitsgruppen' (Kap_H_Fertilitaet_2024.ods), Spalten 3 (Native = Frauen mit österr. Staatsangehörigkeit) und 4 (Migrant = nicht-österr.) — ASFR pro 1000 Frauen × Population per Einzelalter (Native: pop.D[121+age], Migrant: pop.F[121+age]) → absolute Geburten pro Alter × NAT/MIG. Sex-Aufteilung in Display-Zeilen 22-56 erfolgt via Vorlagen-Formel D22/E22 = D11/E11 × H22/H57 (distribuiert Total-Native-Geburten anteilig). Cross-Check: ASFR-Sum Native 1.215,7 (Referenz H9: 1.216), ASFR-Sum Migrant 1.578,3 (Referenz H9: 1.578) — exakte Übereinstimmung mit TFR. Die Default-Vorlagen-Kurve L74:L108 (symmetrisch, Peak Alter 32) wird durch H/I überschrieben — H/I sind genauere AT-2024-Daten (Migrant peakt früher bei 25-30, Native bei 32). Methodisch identisch zur TFR-Approximation oben (Staatsangehörigkeit auf MH i.w.S. angewendet). Quelle wie Fertility-Sektion oben (Kap_H_Fertilitaet_2024.ods), siehe C14.</t>
        </is>
      </c>
      <c r="D63" s="177" t="n"/>
      <c r="E63" s="177" t="n"/>
      <c r="F63" s="177" t="n"/>
      <c r="G63" s="177" t="n"/>
      <c r="H63" s="177" t="n"/>
      <c r="I63" s="177" t="n"/>
      <c r="J63" s="177" t="n"/>
      <c r="K63" s="177" t="n"/>
      <c r="L63" s="13" t="n"/>
    </row>
    <row r="64" ht="20.1" customHeight="1" s="206">
      <c r="A64" s="10" t="n"/>
      <c r="B64" s="11" t="inlineStr">
        <is>
          <t>Internal remarks</t>
        </is>
      </c>
      <c r="C64" s="186" t="n"/>
      <c r="D64" s="177" t="n"/>
      <c r="E64" s="177" t="n"/>
      <c r="F64" s="177" t="n"/>
      <c r="G64" s="177" t="n"/>
      <c r="H64" s="177" t="n"/>
      <c r="I64" s="177" t="n"/>
      <c r="J64" s="177" t="n"/>
      <c r="K64" s="177" t="n"/>
      <c r="L64" s="13" t="n"/>
    </row>
    <row r="65" ht="20.1" customHeight="1" s="206">
      <c r="A65" s="10" t="n"/>
      <c r="B65" s="14" t="n"/>
      <c r="C65" s="26" t="n"/>
      <c r="D65" s="26" t="n"/>
      <c r="E65" s="26" t="n"/>
      <c r="F65" s="26" t="n"/>
      <c r="G65" s="26" t="n"/>
      <c r="H65" s="26" t="n"/>
      <c r="I65" s="26" t="n"/>
      <c r="J65" s="26" t="n"/>
      <c r="K65" s="26" t="n"/>
      <c r="L65" s="13" t="n"/>
    </row>
    <row r="66" ht="33.4" customHeight="1" s="206">
      <c r="A66" s="47" t="n"/>
      <c r="B66" s="48" t="inlineStr">
        <is>
          <t>✏️</t>
        </is>
      </c>
      <c r="C66" s="194" t="inlineStr">
        <is>
          <t>Enter your data below and make sure that you adjust the formulas above, if necessary.  If calculations are necessary, use the fields below for it and use formulas in the area above, to fill in the fields above exactly as intended.</t>
        </is>
      </c>
      <c r="L66" s="58" t="n"/>
    </row>
    <row r="67" ht="26.85" customHeight="1" s="206">
      <c r="A67" s="50" t="n"/>
      <c r="B67" s="51" t="inlineStr">
        <is>
          <t>Births</t>
        </is>
      </c>
      <c r="C67" s="192" t="inlineStr">
        <is>
          <t>Calculation of the births</t>
        </is>
      </c>
      <c r="D67" s="188" t="n"/>
      <c r="E67" s="188" t="n"/>
      <c r="F67" s="188" t="n"/>
      <c r="G67" s="188" t="n"/>
      <c r="H67" s="188" t="n"/>
      <c r="I67" s="188" t="n"/>
      <c r="J67" s="188" t="n"/>
      <c r="K67" s="188" t="n"/>
      <c r="L67" s="22" t="n"/>
    </row>
    <row r="68" ht="32.1" customHeight="1" s="206">
      <c r="A68" s="73" t="n"/>
      <c r="B68" s="74" t="inlineStr">
        <is>
          <t>Use the fields of this row, if numbers for age, natives/migrants are known</t>
        </is>
      </c>
      <c r="C68" s="57" t="n"/>
      <c r="D68" s="57" t="n"/>
      <c r="E68" s="57" t="n"/>
      <c r="F68" s="57" t="n"/>
      <c r="G68" s="57" t="n"/>
      <c r="H68" s="75" t="n"/>
      <c r="I68" s="75" t="n"/>
      <c r="J68" s="57" t="n"/>
      <c r="K68" s="57" t="n"/>
      <c r="L68" s="13" t="n"/>
    </row>
    <row r="69" ht="32.1" customHeight="1" s="206">
      <c r="A69" s="76" t="n"/>
      <c r="B69" s="77" t="inlineStr">
        <is>
          <t>Use the fields of this row, if numbers for age are known (but not natives/migrants)</t>
        </is>
      </c>
      <c r="C69" s="78" t="n"/>
      <c r="D69" s="78" t="n"/>
      <c r="E69" s="78" t="n"/>
      <c r="F69" s="78" t="n"/>
      <c r="G69" s="78" t="n"/>
      <c r="H69" s="79">
        <f t="array" ref="H69">J69*H$11/$C$11</f>
        <v/>
      </c>
      <c r="I69" s="79">
        <f t="array" ref="I69">J69*I$11/$C$11</f>
        <v/>
      </c>
      <c r="J69" s="75" t="n"/>
      <c r="K69" s="57" t="n"/>
      <c r="L69" s="13" t="n"/>
    </row>
    <row r="70" ht="32.1" customHeight="1" s="206">
      <c r="A70" s="80" t="n"/>
      <c r="B70" s="81" t="inlineStr">
        <is>
          <t>Use the fields of this row, if numbers for natives/migrants are known (but not age)</t>
        </is>
      </c>
      <c r="C70" s="82" t="n"/>
      <c r="D70" s="82" t="n"/>
      <c r="E70" s="82" t="n"/>
      <c r="F70" s="82" t="n"/>
      <c r="G70" s="82" t="n"/>
      <c r="H70" s="83">
        <f t="array" ref="H70">H$72*$L70</f>
        <v/>
      </c>
      <c r="I70" s="83">
        <f t="array" ref="I70">I$72*$L70</f>
        <v/>
      </c>
      <c r="J70" s="78" t="n"/>
      <c r="K70" s="57" t="n"/>
      <c r="L70" s="13" t="n"/>
    </row>
    <row r="71" ht="32.1" customHeight="1" s="206">
      <c r="A71" s="80" t="n"/>
      <c r="B71" s="81" t="inlineStr">
        <is>
          <t>Use the fields of this row, if only the total of births is known</t>
        </is>
      </c>
      <c r="C71" s="82" t="n"/>
      <c r="D71" s="82" t="n"/>
      <c r="E71" s="82" t="n"/>
      <c r="F71" s="82" t="n"/>
      <c r="G71" s="82" t="n"/>
      <c r="H71" s="83">
        <f t="array" ref="H71">J71*H$11/$C$11</f>
        <v/>
      </c>
      <c r="I71" s="83">
        <f t="array" ref="I71">J71*I$11/$C$11</f>
        <v/>
      </c>
      <c r="J71" s="83">
        <f t="array" ref="J71">L71*J$11/$C$11</f>
        <v/>
      </c>
      <c r="K71" s="57" t="n"/>
      <c r="L71" s="13" t="n"/>
    </row>
    <row r="72" ht="32.1" customHeight="1" s="206">
      <c r="A72" s="84" t="n"/>
      <c r="B72" s="85" t="inlineStr">
        <is>
          <t>If no age specific numbers are found enter the available values here</t>
        </is>
      </c>
      <c r="C72" s="86" t="n"/>
      <c r="D72" s="86" t="n"/>
      <c r="E72" s="86" t="n"/>
      <c r="F72" s="86" t="n"/>
      <c r="G72" s="86" t="n"/>
      <c r="H72" s="87" t="n"/>
      <c r="I72" s="87" t="n"/>
      <c r="J72" s="87" t="n"/>
      <c r="K72" s="57" t="n"/>
      <c r="L72" s="52" t="n"/>
    </row>
    <row r="73" ht="20.1" customHeight="1" s="206">
      <c r="A73" s="73" t="n"/>
      <c r="B73" s="18" t="n"/>
      <c r="C73" s="57" t="n"/>
      <c r="D73" s="57" t="n"/>
      <c r="E73" s="57" t="n"/>
      <c r="F73" s="57" t="n"/>
      <c r="G73" s="57" t="n"/>
      <c r="H73" s="57" t="n"/>
      <c r="I73" s="57" t="n"/>
      <c r="J73" s="57" t="n"/>
      <c r="K73" s="57" t="n"/>
      <c r="L73" s="52" t="n"/>
    </row>
    <row r="74" ht="20.1" customHeight="1" s="206">
      <c r="A74" s="88" t="n"/>
      <c r="B74" s="23" t="inlineStr">
        <is>
          <t>15 years and younger age of the mother</t>
        </is>
      </c>
      <c r="C74" s="57" t="n"/>
      <c r="D74" s="57" t="n"/>
      <c r="E74" s="57" t="n"/>
      <c r="F74" s="57" t="n"/>
      <c r="G74" s="57" t="n"/>
      <c r="H74" s="89" t="n">
        <v>11</v>
      </c>
      <c r="I74" s="89" t="n">
        <v>9</v>
      </c>
      <c r="J74" s="57" t="n"/>
      <c r="K74" s="57" t="n"/>
      <c r="L74" s="90" t="n">
        <v>0.0007836476</v>
      </c>
    </row>
    <row r="75" ht="20.1" customHeight="1" s="206">
      <c r="A75" s="88" t="n"/>
      <c r="B75" s="23" t="inlineStr">
        <is>
          <t>16 years age of the mother</t>
        </is>
      </c>
      <c r="C75" s="57" t="n"/>
      <c r="D75" s="57" t="n"/>
      <c r="E75" s="57" t="n"/>
      <c r="F75" s="57" t="n"/>
      <c r="G75" s="57" t="n"/>
      <c r="H75" s="89" t="n">
        <v>17</v>
      </c>
      <c r="I75" s="89" t="n">
        <v>33</v>
      </c>
      <c r="J75" s="57" t="n"/>
      <c r="K75" s="57" t="n"/>
      <c r="L75" s="90" t="n">
        <v>0.0013100234</v>
      </c>
    </row>
    <row r="76" ht="20.1" customHeight="1" s="206">
      <c r="A76" s="88" t="n"/>
      <c r="B76" s="23" t="inlineStr">
        <is>
          <t>17 years age of the mother</t>
        </is>
      </c>
      <c r="C76" s="57" t="n"/>
      <c r="D76" s="57" t="n"/>
      <c r="E76" s="57" t="n"/>
      <c r="F76" s="57" t="n"/>
      <c r="G76" s="57" t="n"/>
      <c r="H76" s="89" t="n">
        <v>41</v>
      </c>
      <c r="I76" s="89" t="n">
        <v>92</v>
      </c>
      <c r="J76" s="57" t="n"/>
      <c r="K76" s="57" t="n"/>
      <c r="L76" s="90" t="n">
        <v>0.002122817</v>
      </c>
    </row>
    <row r="77" ht="20.1" customHeight="1" s="206">
      <c r="A77" s="88" t="n"/>
      <c r="B77" s="23" t="inlineStr">
        <is>
          <t>18 years age of the mother</t>
        </is>
      </c>
      <c r="C77" s="57" t="n"/>
      <c r="D77" s="57" t="n"/>
      <c r="E77" s="57" t="n"/>
      <c r="F77" s="57" t="n"/>
      <c r="G77" s="57" t="n"/>
      <c r="H77" s="89" t="n">
        <v>92</v>
      </c>
      <c r="I77" s="89" t="n">
        <v>225</v>
      </c>
      <c r="J77" s="57" t="n"/>
      <c r="K77" s="57" t="n"/>
      <c r="L77" s="90" t="n">
        <v>0.0033344277</v>
      </c>
    </row>
    <row r="78" ht="20.1" customHeight="1" s="206">
      <c r="A78" s="88" t="n"/>
      <c r="B78" s="23" t="inlineStr">
        <is>
          <t>19 years age of the mother</t>
        </is>
      </c>
      <c r="C78" s="57" t="n"/>
      <c r="D78" s="57" t="n"/>
      <c r="E78" s="57" t="n"/>
      <c r="F78" s="57" t="n"/>
      <c r="G78" s="57" t="n"/>
      <c r="H78" s="89" t="n">
        <v>174</v>
      </c>
      <c r="I78" s="89" t="n">
        <v>394</v>
      </c>
      <c r="J78" s="57" t="n"/>
      <c r="K78" s="57" t="n"/>
      <c r="L78" s="90" t="n">
        <v>0.0050769784</v>
      </c>
    </row>
    <row r="79" ht="20.1" customHeight="1" s="206">
      <c r="A79" s="88" t="n"/>
      <c r="B79" s="23" t="inlineStr">
        <is>
          <t>20 years age of the mother</t>
        </is>
      </c>
      <c r="C79" s="57" t="n"/>
      <c r="D79" s="57" t="n"/>
      <c r="E79" s="57" t="n"/>
      <c r="F79" s="57" t="n"/>
      <c r="G79" s="57" t="n"/>
      <c r="H79" s="89" t="n">
        <v>278</v>
      </c>
      <c r="I79" s="89" t="n">
        <v>604</v>
      </c>
      <c r="J79" s="57" t="n"/>
      <c r="K79" s="57" t="n"/>
      <c r="L79" s="90" t="n">
        <v>0.0074931527</v>
      </c>
    </row>
    <row r="80" ht="20.1" customHeight="1" s="206">
      <c r="A80" s="88" t="n"/>
      <c r="B80" s="23" t="inlineStr">
        <is>
          <t>21 years age of the mother</t>
        </is>
      </c>
      <c r="C80" s="57" t="n"/>
      <c r="D80" s="57" t="n"/>
      <c r="E80" s="57" t="n"/>
      <c r="F80" s="57" t="n"/>
      <c r="G80" s="57" t="n"/>
      <c r="H80" s="89" t="n">
        <v>435</v>
      </c>
      <c r="I80" s="89" t="n">
        <v>840</v>
      </c>
      <c r="J80" s="57" t="n"/>
      <c r="K80" s="57" t="n"/>
      <c r="L80" s="90" t="n">
        <v>0.0107201068</v>
      </c>
    </row>
    <row r="81" ht="20.1" customHeight="1" s="206">
      <c r="A81" s="88" t="n"/>
      <c r="B81" s="23" t="inlineStr">
        <is>
          <t>22 years age of the mother</t>
        </is>
      </c>
      <c r="C81" s="57" t="n"/>
      <c r="D81" s="57" t="n"/>
      <c r="E81" s="57" t="n"/>
      <c r="F81" s="57" t="n"/>
      <c r="G81" s="57" t="n"/>
      <c r="H81" s="89" t="n">
        <v>603</v>
      </c>
      <c r="I81" s="89" t="n">
        <v>1004</v>
      </c>
      <c r="J81" s="57" t="n"/>
      <c r="K81" s="57" t="n"/>
      <c r="L81" s="90" t="n">
        <v>0.0148665056</v>
      </c>
    </row>
    <row r="82" ht="20.1" customHeight="1" s="206">
      <c r="A82" s="88" t="n"/>
      <c r="B82" s="23" t="inlineStr">
        <is>
          <t>23 years age of the mother</t>
        </is>
      </c>
      <c r="C82" s="57" t="n"/>
      <c r="D82" s="57" t="n"/>
      <c r="E82" s="57" t="n"/>
      <c r="F82" s="57" t="n"/>
      <c r="G82" s="57" t="n"/>
      <c r="H82" s="89" t="n">
        <v>785</v>
      </c>
      <c r="I82" s="89" t="n">
        <v>1232</v>
      </c>
      <c r="J82" s="57" t="n"/>
      <c r="K82" s="57" t="n"/>
      <c r="L82" s="90" t="n">
        <v>0.0199845303</v>
      </c>
    </row>
    <row r="83" ht="20.1" customHeight="1" s="206">
      <c r="A83" s="88" t="n"/>
      <c r="B83" s="23" t="inlineStr">
        <is>
          <t>24 years age of the mother</t>
        </is>
      </c>
      <c r="C83" s="57" t="n"/>
      <c r="D83" s="57" t="n"/>
      <c r="E83" s="57" t="n"/>
      <c r="F83" s="57" t="n"/>
      <c r="G83" s="57" t="n"/>
      <c r="H83" s="89" t="n">
        <v>1177</v>
      </c>
      <c r="I83" s="89" t="n">
        <v>1417</v>
      </c>
      <c r="J83" s="57" t="n"/>
      <c r="K83" s="57" t="n"/>
      <c r="L83" s="90" t="n">
        <v>0.0260407957</v>
      </c>
    </row>
    <row r="84" ht="20.1" customHeight="1" s="206">
      <c r="A84" s="88" t="n"/>
      <c r="B84" s="23" t="inlineStr">
        <is>
          <t>25 years age of the mother</t>
        </is>
      </c>
      <c r="C84" s="57" t="n"/>
      <c r="D84" s="57" t="n"/>
      <c r="E84" s="57" t="n"/>
      <c r="F84" s="57" t="n"/>
      <c r="G84" s="57" t="n"/>
      <c r="H84" s="89" t="n">
        <v>1473</v>
      </c>
      <c r="I84" s="89" t="n">
        <v>1499</v>
      </c>
      <c r="J84" s="57" t="n"/>
      <c r="K84" s="57" t="n"/>
      <c r="L84" s="90" t="n">
        <v>0.0328919644</v>
      </c>
    </row>
    <row r="85" ht="20.1" customHeight="1" s="206">
      <c r="A85" s="88" t="n"/>
      <c r="B85" s="23" t="inlineStr">
        <is>
          <t>26 years age of the mother</t>
        </is>
      </c>
      <c r="C85" s="57" t="n"/>
      <c r="D85" s="57" t="n"/>
      <c r="E85" s="57" t="n"/>
      <c r="F85" s="57" t="n"/>
      <c r="G85" s="57" t="n"/>
      <c r="H85" s="89" t="n">
        <v>1891</v>
      </c>
      <c r="I85" s="89" t="n">
        <v>1634</v>
      </c>
      <c r="J85" s="57" t="n"/>
      <c r="K85" s="57" t="n"/>
      <c r="L85" s="90" t="n">
        <v>0.0402717621</v>
      </c>
    </row>
    <row r="86" ht="20.1" customHeight="1" s="206">
      <c r="A86" s="88" t="n"/>
      <c r="B86" s="23" t="inlineStr">
        <is>
          <t>27 years age of the mother</t>
        </is>
      </c>
      <c r="C86" s="57" t="n"/>
      <c r="D86" s="57" t="n"/>
      <c r="E86" s="57" t="n"/>
      <c r="F86" s="57" t="n"/>
      <c r="G86" s="57" t="n"/>
      <c r="H86" s="89" t="n">
        <v>2447</v>
      </c>
      <c r="I86" s="89" t="n">
        <v>1869</v>
      </c>
      <c r="J86" s="57" t="n"/>
      <c r="K86" s="57" t="n"/>
      <c r="L86" s="90" t="n">
        <v>0.0477954673</v>
      </c>
    </row>
    <row r="87" ht="20.1" customHeight="1" s="206">
      <c r="A87" s="88" t="n"/>
      <c r="B87" s="23" t="inlineStr">
        <is>
          <t>28 years age of the mother</t>
        </is>
      </c>
      <c r="C87" s="57" t="n"/>
      <c r="D87" s="57" t="n"/>
      <c r="E87" s="57" t="n"/>
      <c r="F87" s="57" t="n"/>
      <c r="G87" s="57" t="n"/>
      <c r="H87" s="89" t="n">
        <v>2899</v>
      </c>
      <c r="I87" s="89" t="n">
        <v>1985</v>
      </c>
      <c r="J87" s="57" t="n"/>
      <c r="K87" s="57" t="n"/>
      <c r="L87" s="90" t="n">
        <v>0.0549854836</v>
      </c>
    </row>
    <row r="88" ht="20.1" customHeight="1" s="206">
      <c r="A88" s="88" t="n"/>
      <c r="B88" s="23" t="inlineStr">
        <is>
          <t>29 years age of the mother</t>
        </is>
      </c>
      <c r="C88" s="57" t="n"/>
      <c r="D88" s="57" t="n"/>
      <c r="E88" s="57" t="n"/>
      <c r="F88" s="57" t="n"/>
      <c r="G88" s="57" t="n"/>
      <c r="H88" s="89" t="n">
        <v>3486</v>
      </c>
      <c r="I88" s="89" t="n">
        <v>1929</v>
      </c>
      <c r="J88" s="57" t="n"/>
      <c r="K88" s="57" t="n"/>
      <c r="L88" s="90" t="n">
        <v>0.061317529</v>
      </c>
    </row>
    <row r="89" ht="20.1" customHeight="1" s="206">
      <c r="A89" s="88" t="n"/>
      <c r="B89" s="23" t="inlineStr">
        <is>
          <t>30 years age of the mother</t>
        </is>
      </c>
      <c r="C89" s="57" t="n"/>
      <c r="D89" s="57" t="n"/>
      <c r="E89" s="57" t="n"/>
      <c r="F89" s="57" t="n"/>
      <c r="G89" s="57" t="n"/>
      <c r="H89" s="89" t="n">
        <v>3510</v>
      </c>
      <c r="I89" s="89" t="n">
        <v>2110</v>
      </c>
      <c r="J89" s="57" t="n"/>
      <c r="K89" s="57" t="n"/>
      <c r="L89" s="90" t="n">
        <v>0.0662821366</v>
      </c>
    </row>
    <row r="90" ht="20.1" customHeight="1" s="206">
      <c r="A90" s="88" t="n"/>
      <c r="B90" s="23" t="inlineStr">
        <is>
          <t>31 years age of the mother</t>
        </is>
      </c>
      <c r="C90" s="57" t="n"/>
      <c r="D90" s="57" t="n"/>
      <c r="E90" s="57" t="n"/>
      <c r="F90" s="57" t="n"/>
      <c r="G90" s="57" t="n"/>
      <c r="H90" s="89" t="n">
        <v>3787</v>
      </c>
      <c r="I90" s="89" t="n">
        <v>2231</v>
      </c>
      <c r="J90" s="57" t="n"/>
      <c r="K90" s="57" t="n"/>
      <c r="L90" s="90" t="n">
        <v>0.0694518169</v>
      </c>
    </row>
    <row r="91" ht="20.1" customHeight="1" s="206">
      <c r="A91" s="88" t="n"/>
      <c r="B91" s="23" t="inlineStr">
        <is>
          <t>32 years age of the mother</t>
        </is>
      </c>
      <c r="C91" s="57" t="n"/>
      <c r="D91" s="57" t="n"/>
      <c r="E91" s="57" t="n"/>
      <c r="F91" s="57" t="n"/>
      <c r="G91" s="57" t="n"/>
      <c r="H91" s="89" t="n">
        <v>3681</v>
      </c>
      <c r="I91" s="89" t="n">
        <v>2051</v>
      </c>
      <c r="J91" s="57" t="n"/>
      <c r="K91" s="57" t="n"/>
      <c r="L91" s="90" t="n">
        <v>0.0705417099</v>
      </c>
    </row>
    <row r="92" ht="20.1" customHeight="1" s="206">
      <c r="A92" s="88" t="n"/>
      <c r="B92" s="23" t="inlineStr">
        <is>
          <t>33 years age of the mother</t>
        </is>
      </c>
      <c r="C92" s="57" t="n"/>
      <c r="D92" s="57" t="n"/>
      <c r="E92" s="57" t="n"/>
      <c r="F92" s="57" t="n"/>
      <c r="G92" s="57" t="n"/>
      <c r="H92" s="89" t="n">
        <v>3642</v>
      </c>
      <c r="I92" s="89" t="n">
        <v>2064</v>
      </c>
      <c r="J92" s="57" t="n"/>
      <c r="K92" s="57" t="n"/>
      <c r="L92" s="90" t="n">
        <v>0.0694518169</v>
      </c>
    </row>
    <row r="93" ht="20.1" customHeight="1" s="206">
      <c r="A93" s="88" t="n"/>
      <c r="B93" s="23" t="inlineStr">
        <is>
          <t>34 years age of the mother</t>
        </is>
      </c>
      <c r="C93" s="57" t="n"/>
      <c r="D93" s="57" t="n"/>
      <c r="E93" s="57" t="n"/>
      <c r="F93" s="57" t="n"/>
      <c r="G93" s="57" t="n"/>
      <c r="H93" s="89" t="n">
        <v>3261</v>
      </c>
      <c r="I93" s="89" t="n">
        <v>1815</v>
      </c>
      <c r="J93" s="57" t="n"/>
      <c r="K93" s="57" t="n"/>
      <c r="L93" s="90" t="n">
        <v>0.0662821366</v>
      </c>
    </row>
    <row r="94" ht="20.1" customHeight="1" s="206">
      <c r="A94" s="88" t="n"/>
      <c r="B94" s="23" t="inlineStr">
        <is>
          <t>35 years age of the mother</t>
        </is>
      </c>
      <c r="C94" s="57" t="n"/>
      <c r="D94" s="57" t="n"/>
      <c r="E94" s="57" t="n"/>
      <c r="F94" s="57" t="n"/>
      <c r="G94" s="57" t="n"/>
      <c r="H94" s="89" t="n">
        <v>2788</v>
      </c>
      <c r="I94" s="89" t="n">
        <v>1735</v>
      </c>
      <c r="J94" s="57" t="n"/>
      <c r="K94" s="57" t="n"/>
      <c r="L94" s="90" t="n">
        <v>0.061317529</v>
      </c>
    </row>
    <row r="95" ht="20.1" customHeight="1" s="206">
      <c r="A95" s="88" t="n"/>
      <c r="B95" s="23" t="inlineStr">
        <is>
          <t>36 years age of the mother</t>
        </is>
      </c>
      <c r="C95" s="57" t="n"/>
      <c r="D95" s="57" t="n"/>
      <c r="E95" s="57" t="n"/>
      <c r="F95" s="57" t="n"/>
      <c r="G95" s="57" t="n"/>
      <c r="H95" s="89" t="n">
        <v>2354</v>
      </c>
      <c r="I95" s="89" t="n">
        <v>1536</v>
      </c>
      <c r="J95" s="57" t="n"/>
      <c r="K95" s="57" t="n"/>
      <c r="L95" s="90" t="n">
        <v>0.0549854836</v>
      </c>
    </row>
    <row r="96" ht="20.1" customHeight="1" s="206">
      <c r="A96" s="88" t="n"/>
      <c r="B96" s="23" t="inlineStr">
        <is>
          <t>37 years age of the mother</t>
        </is>
      </c>
      <c r="C96" s="57" t="n"/>
      <c r="D96" s="57" t="n"/>
      <c r="E96" s="57" t="n"/>
      <c r="F96" s="57" t="n"/>
      <c r="G96" s="57" t="n"/>
      <c r="H96" s="89" t="n">
        <v>1865</v>
      </c>
      <c r="I96" s="89" t="n">
        <v>1270</v>
      </c>
      <c r="J96" s="57" t="n"/>
      <c r="K96" s="57" t="n"/>
      <c r="L96" s="90" t="n">
        <v>0.0477954673</v>
      </c>
    </row>
    <row r="97" ht="20.1" customHeight="1" s="206">
      <c r="A97" s="88" t="n"/>
      <c r="B97" s="23" t="inlineStr">
        <is>
          <t>38 years age of the mother</t>
        </is>
      </c>
      <c r="C97" s="57" t="n"/>
      <c r="D97" s="57" t="n"/>
      <c r="E97" s="57" t="n"/>
      <c r="F97" s="57" t="n"/>
      <c r="G97" s="57" t="n"/>
      <c r="H97" s="89" t="n">
        <v>1498</v>
      </c>
      <c r="I97" s="89" t="n">
        <v>1006</v>
      </c>
      <c r="J97" s="57" t="n"/>
      <c r="K97" s="57" t="n"/>
      <c r="L97" s="90" t="n">
        <v>0.0402717621</v>
      </c>
    </row>
    <row r="98" ht="20.1" customHeight="1" s="206">
      <c r="A98" s="88" t="n"/>
      <c r="B98" s="23" t="inlineStr">
        <is>
          <t>39 years age of the mother</t>
        </is>
      </c>
      <c r="C98" s="57" t="n"/>
      <c r="D98" s="57" t="n"/>
      <c r="E98" s="57" t="n"/>
      <c r="F98" s="57" t="n"/>
      <c r="G98" s="57" t="n"/>
      <c r="H98" s="89" t="n">
        <v>1111</v>
      </c>
      <c r="I98" s="89" t="n">
        <v>786</v>
      </c>
      <c r="J98" s="57" t="n"/>
      <c r="K98" s="57" t="n"/>
      <c r="L98" s="90" t="n">
        <v>0.0328919644</v>
      </c>
    </row>
    <row r="99" ht="20.1" customHeight="1" s="206">
      <c r="A99" s="88" t="n"/>
      <c r="B99" s="23" t="inlineStr">
        <is>
          <t>40 years age of the mother</t>
        </is>
      </c>
      <c r="C99" s="57" t="n"/>
      <c r="D99" s="57" t="n"/>
      <c r="E99" s="57" t="n"/>
      <c r="F99" s="57" t="n"/>
      <c r="G99" s="57" t="n"/>
      <c r="H99" s="89" t="n">
        <v>912</v>
      </c>
      <c r="I99" s="89" t="n">
        <v>682</v>
      </c>
      <c r="J99" s="57" t="n"/>
      <c r="K99" s="57" t="n"/>
      <c r="L99" s="90" t="n">
        <v>0.0260407957</v>
      </c>
    </row>
    <row r="100" ht="20.1" customHeight="1" s="206">
      <c r="A100" s="88" t="n"/>
      <c r="B100" s="23" t="inlineStr">
        <is>
          <t>41 years age of the mother</t>
        </is>
      </c>
      <c r="C100" s="57" t="n"/>
      <c r="D100" s="57" t="n"/>
      <c r="E100" s="57" t="n"/>
      <c r="F100" s="57" t="n"/>
      <c r="G100" s="57" t="n"/>
      <c r="H100" s="89" t="n">
        <v>524</v>
      </c>
      <c r="I100" s="89" t="n">
        <v>454</v>
      </c>
      <c r="J100" s="57" t="n"/>
      <c r="K100" s="57" t="n"/>
      <c r="L100" s="90" t="n">
        <v>0.0199845303</v>
      </c>
    </row>
    <row r="101" ht="20.1" customHeight="1" s="206">
      <c r="A101" s="88" t="n"/>
      <c r="B101" s="23" t="inlineStr">
        <is>
          <t>42 years age of the mother</t>
        </is>
      </c>
      <c r="C101" s="57" t="n"/>
      <c r="D101" s="57" t="n"/>
      <c r="E101" s="57" t="n"/>
      <c r="F101" s="57" t="n"/>
      <c r="G101" s="57" t="n"/>
      <c r="H101" s="89" t="n">
        <v>343</v>
      </c>
      <c r="I101" s="89" t="n">
        <v>314</v>
      </c>
      <c r="J101" s="57" t="n"/>
      <c r="K101" s="57" t="n"/>
      <c r="L101" s="90" t="n">
        <v>0.0148665056</v>
      </c>
    </row>
    <row r="102" ht="20.1" customHeight="1" s="206">
      <c r="A102" s="88" t="n"/>
      <c r="B102" s="23" t="inlineStr">
        <is>
          <t>43 years age of the mother</t>
        </is>
      </c>
      <c r="C102" s="57" t="n"/>
      <c r="D102" s="57" t="n"/>
      <c r="E102" s="57" t="n"/>
      <c r="F102" s="57" t="n"/>
      <c r="G102" s="57" t="n"/>
      <c r="H102" s="89" t="n">
        <v>174</v>
      </c>
      <c r="I102" s="89" t="n">
        <v>191</v>
      </c>
      <c r="J102" s="57" t="n"/>
      <c r="K102" s="57" t="n"/>
      <c r="L102" s="90" t="n">
        <v>0.0107201068</v>
      </c>
    </row>
    <row r="103" ht="20.1" customHeight="1" s="206">
      <c r="A103" s="88" t="n"/>
      <c r="B103" s="23" t="inlineStr">
        <is>
          <t>44 years age of the mother</t>
        </is>
      </c>
      <c r="C103" s="57" t="n"/>
      <c r="D103" s="57" t="n"/>
      <c r="E103" s="57" t="n"/>
      <c r="F103" s="57" t="n"/>
      <c r="G103" s="57" t="n"/>
      <c r="H103" s="89" t="n">
        <v>92</v>
      </c>
      <c r="I103" s="89" t="n">
        <v>112</v>
      </c>
      <c r="J103" s="57" t="n"/>
      <c r="K103" s="57" t="n"/>
      <c r="L103" s="90" t="n">
        <v>0.0074931527</v>
      </c>
    </row>
    <row r="104" ht="20.1" customHeight="1" s="206">
      <c r="A104" s="88" t="n"/>
      <c r="B104" s="23" t="inlineStr">
        <is>
          <t>45 years age of the mother</t>
        </is>
      </c>
      <c r="C104" s="57" t="n"/>
      <c r="D104" s="57" t="n"/>
      <c r="E104" s="57" t="n"/>
      <c r="F104" s="57" t="n"/>
      <c r="G104" s="57" t="n"/>
      <c r="H104" s="89" t="n">
        <v>65</v>
      </c>
      <c r="I104" s="89" t="n">
        <v>48</v>
      </c>
      <c r="J104" s="57" t="n"/>
      <c r="K104" s="57" t="n"/>
      <c r="L104" s="90" t="n">
        <v>0.0050769784</v>
      </c>
    </row>
    <row r="105" ht="20.1" customHeight="1" s="206">
      <c r="A105" s="88" t="n"/>
      <c r="B105" s="23" t="inlineStr">
        <is>
          <t>46 years age of the mother</t>
        </is>
      </c>
      <c r="C105" s="57" t="n"/>
      <c r="D105" s="57" t="n"/>
      <c r="E105" s="57" t="n"/>
      <c r="F105" s="57" t="n"/>
      <c r="G105" s="57" t="n"/>
      <c r="H105" s="89" t="n">
        <v>36</v>
      </c>
      <c r="I105" s="89" t="n">
        <v>25</v>
      </c>
      <c r="J105" s="57" t="n"/>
      <c r="K105" s="57" t="n"/>
      <c r="L105" s="90" t="n">
        <v>0.0033344277</v>
      </c>
    </row>
    <row r="106" ht="20.1" customHeight="1" s="206">
      <c r="A106" s="88" t="n"/>
      <c r="B106" s="23" t="inlineStr">
        <is>
          <t>47 years age of the mother</t>
        </is>
      </c>
      <c r="C106" s="57" t="n"/>
      <c r="D106" s="57" t="n"/>
      <c r="E106" s="57" t="n"/>
      <c r="F106" s="57" t="n"/>
      <c r="G106" s="57" t="n"/>
      <c r="H106" s="89" t="n">
        <v>20</v>
      </c>
      <c r="I106" s="89" t="n">
        <v>23</v>
      </c>
      <c r="J106" s="57" t="n"/>
      <c r="K106" s="57" t="n"/>
      <c r="L106" s="90" t="n">
        <v>0.002122817</v>
      </c>
    </row>
    <row r="107" ht="20.1" customHeight="1" s="206">
      <c r="A107" s="88" t="n"/>
      <c r="B107" s="23" t="inlineStr">
        <is>
          <t>48 years age of the mother</t>
        </is>
      </c>
      <c r="C107" s="57" t="n"/>
      <c r="D107" s="57" t="n"/>
      <c r="E107" s="57" t="n"/>
      <c r="F107" s="57" t="n"/>
      <c r="G107" s="57" t="n"/>
      <c r="H107" s="89" t="n">
        <v>12</v>
      </c>
      <c r="I107" s="89" t="n">
        <v>12</v>
      </c>
      <c r="J107" s="57" t="n"/>
      <c r="K107" s="57" t="n"/>
      <c r="L107" s="90" t="n">
        <v>0.0013100234</v>
      </c>
    </row>
    <row r="108" ht="20.1" customHeight="1" s="206">
      <c r="A108" s="91" t="n"/>
      <c r="B108" s="33" t="inlineStr">
        <is>
          <t>49 years and older age of the mother</t>
        </is>
      </c>
      <c r="C108" s="78" t="n"/>
      <c r="D108" s="78" t="n"/>
      <c r="E108" s="78" t="n"/>
      <c r="F108" s="78" t="n"/>
      <c r="G108" s="78" t="n"/>
      <c r="H108" s="92" t="n">
        <v>25</v>
      </c>
      <c r="I108" s="92" t="n">
        <v>20</v>
      </c>
      <c r="J108" s="78" t="n"/>
      <c r="K108" s="78" t="n"/>
      <c r="L108" s="90" t="n">
        <v>0.0007836475</v>
      </c>
    </row>
    <row r="109" ht="20.1" customHeight="1" s="206">
      <c r="A109" s="93" t="n"/>
      <c r="B109" s="94" t="n"/>
      <c r="C109" s="95" t="n"/>
      <c r="D109" s="96" t="n"/>
      <c r="E109" s="96" t="n"/>
      <c r="F109" s="96" t="n"/>
      <c r="G109" s="96" t="n"/>
      <c r="H109" s="96" t="n"/>
      <c r="I109" s="96" t="n"/>
      <c r="J109" s="96" t="n"/>
      <c r="K109" s="96" t="n"/>
      <c r="L109" s="97">
        <f t="array" ref="L109">SUM(L74:L108)</f>
        <v/>
      </c>
    </row>
  </sheetData>
  <mergeCells count="18">
    <mergeCell ref="C59:K59"/>
    <mergeCell ref="C16:K16"/>
    <mergeCell ref="C60:K60"/>
    <mergeCell ref="C67:K67"/>
    <mergeCell ref="C15:K15"/>
    <mergeCell ref="C63:K63"/>
    <mergeCell ref="C62:K62"/>
    <mergeCell ref="C5:K5"/>
    <mergeCell ref="C14:K14"/>
    <mergeCell ref="C66:K66"/>
    <mergeCell ref="A1:L1"/>
    <mergeCell ref="C13:K13"/>
    <mergeCell ref="C18:K18"/>
    <mergeCell ref="C64:K64"/>
    <mergeCell ref="C17:K17"/>
    <mergeCell ref="C61:K61"/>
    <mergeCell ref="C4:K4"/>
    <mergeCell ref="C20:K2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1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deaths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overview!C11&amp;" / "&amp;overview!C12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33.6" customHeight="1" s="206">
      <c r="A4" s="98" t="n"/>
      <c r="B4" s="99" t="inlineStr">
        <is>
          <t>⚠️</t>
        </is>
      </c>
      <c r="C4" s="199" t="inlineStr">
        <is>
          <t>Do not add or delete lines until the next dark grey row below! The fields below are the fields used in other sheets and in the calculation. The address of these fields and their contents must remain always the same, so we can add calculations later!</t>
        </is>
      </c>
      <c r="D4" s="200" t="n"/>
      <c r="E4" s="200" t="n"/>
      <c r="F4" s="200" t="n"/>
      <c r="G4" s="200" t="n"/>
      <c r="H4" s="200" t="n"/>
      <c r="I4" s="200" t="n"/>
      <c r="J4" s="200" t="n"/>
      <c r="K4" s="200" t="n"/>
      <c r="L4" s="49" t="n"/>
    </row>
    <row r="5" ht="26.85" customHeight="1" s="206">
      <c r="A5" s="20" t="n"/>
      <c r="B5" s="21" t="inlineStr">
        <is>
          <t>Deaths</t>
        </is>
      </c>
      <c r="C5" s="195" t="inlineStr">
        <is>
          <t>This table is needed to calculate the Leslie matrix</t>
        </is>
      </c>
      <c r="D5" s="177" t="n"/>
      <c r="E5" s="177" t="n"/>
      <c r="F5" s="177" t="n"/>
      <c r="G5" s="177" t="n"/>
      <c r="H5" s="177" t="n"/>
      <c r="I5" s="177" t="n"/>
      <c r="J5" s="177" t="n"/>
      <c r="K5" s="177" t="n"/>
      <c r="L5" s="22" t="n"/>
    </row>
    <row r="6" ht="20.1" customHeight="1" s="206">
      <c r="A6" s="24" t="n"/>
      <c r="B6" s="25" t="n"/>
      <c r="C6" s="52" t="n"/>
      <c r="D6" s="52" t="n"/>
      <c r="E6" s="52" t="n"/>
      <c r="F6" s="52" t="n"/>
      <c r="G6" s="52" t="n"/>
      <c r="H6" s="52" t="n"/>
      <c r="I6" s="52" t="n"/>
      <c r="J6" s="52" t="n"/>
      <c r="K6" s="52" t="n"/>
      <c r="L6" s="52" t="n"/>
    </row>
    <row r="7" ht="20.1" customHeight="1" s="206">
      <c r="A7" s="38" t="inlineStr">
        <is>
          <t>d00</t>
        </is>
      </c>
      <c r="B7" s="11" t="inlineStr">
        <is>
          <t>0 years age of the deceased</t>
        </is>
      </c>
      <c r="C7" s="55" t="n">
        <v>2445</v>
      </c>
      <c r="D7" s="56" t="n">
        <v>880.679430572697</v>
      </c>
      <c r="E7" s="56" t="n">
        <v>1124.22261673534</v>
      </c>
      <c r="F7" s="56" t="n">
        <v>193.320569427303</v>
      </c>
      <c r="G7" s="56" t="n">
        <v>246.77738326466</v>
      </c>
      <c r="H7" s="55">
        <f t="array" ref="H7">E7+D7</f>
        <v/>
      </c>
      <c r="I7" s="55">
        <f t="array" ref="I7">G7+F7</f>
        <v/>
      </c>
      <c r="J7" s="55">
        <f t="array" ref="J7">D7+F7</f>
        <v/>
      </c>
      <c r="K7" s="55">
        <f t="array" ref="K7">E7+G7</f>
        <v/>
      </c>
      <c r="L7" s="57" t="n"/>
    </row>
    <row r="8" ht="20.1" customHeight="1" s="206">
      <c r="A8" s="38" t="inlineStr">
        <is>
          <t>d01</t>
        </is>
      </c>
      <c r="B8" s="11" t="inlineStr">
        <is>
          <t>1 years age of the deceased</t>
        </is>
      </c>
      <c r="C8" s="55" t="n">
        <v>132</v>
      </c>
      <c r="D8" s="56" t="n">
        <v>50.0200612137079</v>
      </c>
      <c r="E8" s="56" t="n">
        <v>58.2199281311859</v>
      </c>
      <c r="F8" s="56" t="n">
        <v>10.9799387862921</v>
      </c>
      <c r="G8" s="56" t="n">
        <v>12.7800718688141</v>
      </c>
      <c r="H8" s="55">
        <f t="array" ref="H8">E8+D8</f>
        <v/>
      </c>
      <c r="I8" s="55">
        <f t="array" ref="I8">G8+F8</f>
        <v/>
      </c>
      <c r="J8" s="55">
        <f t="array" ref="J8">D8+F8</f>
        <v/>
      </c>
      <c r="K8" s="55">
        <f t="array" ref="K8">E8+G8</f>
        <v/>
      </c>
      <c r="L8" s="57" t="n"/>
    </row>
    <row r="9" ht="20.1" customHeight="1" s="206">
      <c r="A9" s="38" t="inlineStr">
        <is>
          <t>d02</t>
        </is>
      </c>
      <c r="B9" s="11" t="inlineStr">
        <is>
          <t>2 years age of the deceased</t>
        </is>
      </c>
      <c r="C9" s="55" t="n">
        <v>91</v>
      </c>
      <c r="D9" s="56" t="n">
        <v>31.979991054892</v>
      </c>
      <c r="E9" s="56" t="n">
        <v>42.6399431025522</v>
      </c>
      <c r="F9" s="56" t="n">
        <v>7.020008945108</v>
      </c>
      <c r="G9" s="56" t="n">
        <v>9.360056897447819</v>
      </c>
      <c r="H9" s="55">
        <f t="array" ref="H9">E9+D9</f>
        <v/>
      </c>
      <c r="I9" s="55">
        <f t="array" ref="I9">G9+F9</f>
        <v/>
      </c>
      <c r="J9" s="55">
        <f t="array" ref="J9">D9+F9</f>
        <v/>
      </c>
      <c r="K9" s="55">
        <f t="array" ref="K9">E9+G9</f>
        <v/>
      </c>
      <c r="L9" s="57" t="n"/>
    </row>
    <row r="10" ht="20.1" customHeight="1" s="206">
      <c r="A10" s="38" t="inlineStr">
        <is>
          <t>d03</t>
        </is>
      </c>
      <c r="B10" s="11" t="inlineStr">
        <is>
          <t>3 years age of the deceased</t>
        </is>
      </c>
      <c r="C10" s="55" t="n">
        <v>60</v>
      </c>
      <c r="D10" s="56" t="n">
        <v>20.4999872952775</v>
      </c>
      <c r="E10" s="56" t="n">
        <v>28.7000526256437</v>
      </c>
      <c r="F10" s="56" t="n">
        <v>4.50001270472249</v>
      </c>
      <c r="G10" s="56" t="n">
        <v>6.29994737435628</v>
      </c>
      <c r="H10" s="55">
        <f t="array" ref="H10">E10+D10</f>
        <v/>
      </c>
      <c r="I10" s="55">
        <f t="array" ref="I10">G10+F10</f>
        <v/>
      </c>
      <c r="J10" s="55">
        <f t="array" ref="J10">D10+F10</f>
        <v/>
      </c>
      <c r="K10" s="55">
        <f t="array" ref="K10">E10+G10</f>
        <v/>
      </c>
      <c r="L10" s="57" t="n"/>
    </row>
    <row r="11" ht="20.1" customHeight="1" s="206">
      <c r="A11" s="38" t="inlineStr">
        <is>
          <t>d04</t>
        </is>
      </c>
      <c r="B11" s="11" t="inlineStr">
        <is>
          <t>4 years age of the deceased</t>
        </is>
      </c>
      <c r="C11" s="55" t="n">
        <v>64</v>
      </c>
      <c r="D11" s="56" t="n">
        <v>25.4199757882757</v>
      </c>
      <c r="E11" s="56" t="n">
        <v>27.0600052678208</v>
      </c>
      <c r="F11" s="56" t="n">
        <v>5.58002421172428</v>
      </c>
      <c r="G11" s="56" t="n">
        <v>5.9399947321792</v>
      </c>
      <c r="H11" s="55">
        <f t="array" ref="H11">E11+D11</f>
        <v/>
      </c>
      <c r="I11" s="55">
        <f t="array" ref="I11">G11+F11</f>
        <v/>
      </c>
      <c r="J11" s="55">
        <f t="array" ref="J11">D11+F11</f>
        <v/>
      </c>
      <c r="K11" s="55">
        <f t="array" ref="K11">E11+G11</f>
        <v/>
      </c>
      <c r="L11" s="57" t="n"/>
    </row>
    <row r="12" ht="20.1" customHeight="1" s="206">
      <c r="A12" s="38" t="inlineStr">
        <is>
          <t>d05</t>
        </is>
      </c>
      <c r="B12" s="11" t="inlineStr">
        <is>
          <t>5 years age of the deceased</t>
        </is>
      </c>
      <c r="C12" s="55" t="n">
        <v>59</v>
      </c>
      <c r="D12" s="56" t="n">
        <v>24.6000295726748</v>
      </c>
      <c r="E12" s="56" t="n">
        <v>23.7800090889147</v>
      </c>
      <c r="F12" s="56" t="n">
        <v>5.39997042732515</v>
      </c>
      <c r="G12" s="56" t="n">
        <v>5.21999091108534</v>
      </c>
      <c r="H12" s="55">
        <f t="array" ref="H12">E12+D12</f>
        <v/>
      </c>
      <c r="I12" s="55">
        <f t="array" ref="I12">G12+F12</f>
        <v/>
      </c>
      <c r="J12" s="55">
        <f t="array" ref="J12">D12+F12</f>
        <v/>
      </c>
      <c r="K12" s="55">
        <f t="array" ref="K12">E12+G12</f>
        <v/>
      </c>
      <c r="L12" s="57" t="n"/>
    </row>
    <row r="13" ht="20.1" customHeight="1" s="206">
      <c r="A13" s="38" t="inlineStr">
        <is>
          <t>d06</t>
        </is>
      </c>
      <c r="B13" s="11" t="inlineStr">
        <is>
          <t>6 years age of the deceased</t>
        </is>
      </c>
      <c r="C13" s="55" t="n">
        <v>52.9999999999999</v>
      </c>
      <c r="D13" s="56" t="n">
        <v>16.4000321784833</v>
      </c>
      <c r="E13" s="56" t="n">
        <v>27.0599697053153</v>
      </c>
      <c r="F13" s="56" t="n">
        <v>3.59996782151668</v>
      </c>
      <c r="G13" s="56" t="n">
        <v>5.94003029468466</v>
      </c>
      <c r="H13" s="55">
        <f t="array" ref="H13">E13+D13</f>
        <v/>
      </c>
      <c r="I13" s="55">
        <f t="array" ref="I13">G13+F13</f>
        <v/>
      </c>
      <c r="J13" s="55">
        <f t="array" ref="J13">D13+F13</f>
        <v/>
      </c>
      <c r="K13" s="55">
        <f t="array" ref="K13">E13+G13</f>
        <v/>
      </c>
      <c r="L13" s="57" t="n"/>
    </row>
    <row r="14" ht="20.1" customHeight="1" s="206">
      <c r="A14" s="38" t="inlineStr">
        <is>
          <t>d07</t>
        </is>
      </c>
      <c r="B14" s="11" t="inlineStr">
        <is>
          <t>7 years age of the deceased</t>
        </is>
      </c>
      <c r="C14" s="55" t="n">
        <v>43</v>
      </c>
      <c r="D14" s="56" t="n">
        <v>17.2199853065047</v>
      </c>
      <c r="E14" s="56" t="n">
        <v>18.0400259522448</v>
      </c>
      <c r="F14" s="56" t="n">
        <v>3.7800146934953</v>
      </c>
      <c r="G14" s="56" t="n">
        <v>3.95997404775521</v>
      </c>
      <c r="H14" s="55">
        <f t="array" ref="H14">E14+D14</f>
        <v/>
      </c>
      <c r="I14" s="55">
        <f t="array" ref="I14">G14+F14</f>
        <v/>
      </c>
      <c r="J14" s="55">
        <f t="array" ref="J14">D14+F14</f>
        <v/>
      </c>
      <c r="K14" s="55">
        <f t="array" ref="K14">E14+G14</f>
        <v/>
      </c>
      <c r="L14" s="57" t="n"/>
    </row>
    <row r="15" ht="20.1" customHeight="1" s="206">
      <c r="A15" s="38" t="inlineStr">
        <is>
          <t>d08</t>
        </is>
      </c>
      <c r="B15" s="11" t="inlineStr">
        <is>
          <t>8 years age of the deceased</t>
        </is>
      </c>
      <c r="C15" s="55" t="n">
        <v>50.0000000000001</v>
      </c>
      <c r="D15" s="56" t="n">
        <v>17.2199932487824</v>
      </c>
      <c r="E15" s="56" t="n">
        <v>23.7800177724211</v>
      </c>
      <c r="F15" s="56" t="n">
        <v>3.78000675121763</v>
      </c>
      <c r="G15" s="56" t="n">
        <v>5.21998222757892</v>
      </c>
      <c r="H15" s="55">
        <f t="array" ref="H15">E15+D15</f>
        <v/>
      </c>
      <c r="I15" s="55">
        <f t="array" ref="I15">G15+F15</f>
        <v/>
      </c>
      <c r="J15" s="55">
        <f t="array" ref="J15">D15+F15</f>
        <v/>
      </c>
      <c r="K15" s="55">
        <f t="array" ref="K15">E15+G15</f>
        <v/>
      </c>
      <c r="L15" s="57" t="n"/>
    </row>
    <row r="16" ht="20.1" customHeight="1" s="206">
      <c r="A16" s="38" t="inlineStr">
        <is>
          <t>d09</t>
        </is>
      </c>
      <c r="B16" s="11" t="inlineStr">
        <is>
          <t>9 years age of the deceased</t>
        </is>
      </c>
      <c r="C16" s="55" t="n">
        <v>39</v>
      </c>
      <c r="D16" s="56" t="n">
        <v>13.1200075669796</v>
      </c>
      <c r="E16" s="56" t="n">
        <v>18.8599758337482</v>
      </c>
      <c r="F16" s="56" t="n">
        <v>2.87999243302041</v>
      </c>
      <c r="G16" s="56" t="n">
        <v>4.1400241662518</v>
      </c>
      <c r="H16" s="55">
        <f t="array" ref="H16">E16+D16</f>
        <v/>
      </c>
      <c r="I16" s="55">
        <f t="array" ref="I16">G16+F16</f>
        <v/>
      </c>
      <c r="J16" s="55">
        <f t="array" ref="J16">D16+F16</f>
        <v/>
      </c>
      <c r="K16" s="55">
        <f t="array" ref="K16">E16+G16</f>
        <v/>
      </c>
      <c r="L16" s="57" t="n"/>
    </row>
    <row r="17" ht="20.1" customHeight="1" s="206">
      <c r="A17" s="38" t="inlineStr">
        <is>
          <t>d10</t>
        </is>
      </c>
      <c r="B17" s="11" t="inlineStr">
        <is>
          <t>10 years age of the deceased</t>
        </is>
      </c>
      <c r="C17" s="55" t="n">
        <v>40</v>
      </c>
      <c r="D17" s="56" t="n">
        <v>18.040002234478</v>
      </c>
      <c r="E17" s="56" t="n">
        <v>14.7599799638478</v>
      </c>
      <c r="F17" s="56" t="n">
        <v>3.959997765522</v>
      </c>
      <c r="G17" s="56" t="n">
        <v>3.24002003615219</v>
      </c>
      <c r="H17" s="55">
        <f t="array" ref="H17">E17+D17</f>
        <v/>
      </c>
      <c r="I17" s="55">
        <f t="array" ref="I17">G17+F17</f>
        <v/>
      </c>
      <c r="J17" s="55">
        <f t="array" ref="J17">D17+F17</f>
        <v/>
      </c>
      <c r="K17" s="55">
        <f t="array" ref="K17">E17+G17</f>
        <v/>
      </c>
      <c r="L17" s="57" t="n"/>
    </row>
    <row r="18" ht="20.1" customHeight="1" s="206">
      <c r="A18" s="38" t="inlineStr">
        <is>
          <t>d11</t>
        </is>
      </c>
      <c r="B18" s="11" t="inlineStr">
        <is>
          <t>11 years age of the deceased</t>
        </is>
      </c>
      <c r="C18" s="55" t="n">
        <v>49</v>
      </c>
      <c r="D18" s="56" t="n">
        <v>15.5799826152376</v>
      </c>
      <c r="E18" s="56" t="n">
        <v>24.6000014498392</v>
      </c>
      <c r="F18" s="56" t="n">
        <v>3.42001738476241</v>
      </c>
      <c r="G18" s="56" t="n">
        <v>5.39999855016081</v>
      </c>
      <c r="H18" s="55">
        <f t="array" ref="H18">E18+D18</f>
        <v/>
      </c>
      <c r="I18" s="55">
        <f t="array" ref="I18">G18+F18</f>
        <v/>
      </c>
      <c r="J18" s="55">
        <f t="array" ref="J18">D18+F18</f>
        <v/>
      </c>
      <c r="K18" s="55">
        <f t="array" ref="K18">E18+G18</f>
        <v/>
      </c>
      <c r="L18" s="57" t="n"/>
    </row>
    <row r="19" ht="20.1" customHeight="1" s="206">
      <c r="A19" s="38" t="inlineStr">
        <is>
          <t>d12</t>
        </is>
      </c>
      <c r="B19" s="11" t="inlineStr">
        <is>
          <t>12 years age of the deceased</t>
        </is>
      </c>
      <c r="C19" s="55" t="n">
        <v>66</v>
      </c>
      <c r="D19" s="56" t="n">
        <v>21.3199736120978</v>
      </c>
      <c r="E19" s="56" t="n">
        <v>32.7999941907328</v>
      </c>
      <c r="F19" s="56" t="n">
        <v>4.68002638790216</v>
      </c>
      <c r="G19" s="56" t="n">
        <v>7.20000580926723</v>
      </c>
      <c r="H19" s="55">
        <f t="array" ref="H19">E19+D19</f>
        <v/>
      </c>
      <c r="I19" s="55">
        <f t="array" ref="I19">G19+F19</f>
        <v/>
      </c>
      <c r="J19" s="55">
        <f t="array" ref="J19">D19+F19</f>
        <v/>
      </c>
      <c r="K19" s="55">
        <f t="array" ref="K19">E19+G19</f>
        <v/>
      </c>
      <c r="L19" s="57" t="n"/>
    </row>
    <row r="20" ht="20.1" customHeight="1" s="206">
      <c r="A20" s="38" t="inlineStr">
        <is>
          <t>d13</t>
        </is>
      </c>
      <c r="B20" s="11" t="inlineStr">
        <is>
          <t>13 years age of the deceased</t>
        </is>
      </c>
      <c r="C20" s="55" t="n">
        <v>75.0000000000001</v>
      </c>
      <c r="D20" s="56" t="n">
        <v>22.9600497695619</v>
      </c>
      <c r="E20" s="56" t="n">
        <v>38.5399704825927</v>
      </c>
      <c r="F20" s="56" t="n">
        <v>5.03995023043815</v>
      </c>
      <c r="G20" s="56" t="n">
        <v>8.4600295174073</v>
      </c>
      <c r="H20" s="55">
        <f t="array" ref="H20">E20+D20</f>
        <v/>
      </c>
      <c r="I20" s="55">
        <f t="array" ref="I20">G20+F20</f>
        <v/>
      </c>
      <c r="J20" s="55">
        <f t="array" ref="J20">D20+F20</f>
        <v/>
      </c>
      <c r="K20" s="55">
        <f t="array" ref="K20">E20+G20</f>
        <v/>
      </c>
      <c r="L20" s="57" t="n"/>
    </row>
    <row r="21" ht="20.1" customHeight="1" s="206">
      <c r="A21" s="38" t="inlineStr">
        <is>
          <t>d14</t>
        </is>
      </c>
      <c r="B21" s="11" t="inlineStr">
        <is>
          <t>14 years age of the deceased</t>
        </is>
      </c>
      <c r="C21" s="55" t="n">
        <v>87</v>
      </c>
      <c r="D21" s="56" t="n">
        <v>31.159992369363</v>
      </c>
      <c r="E21" s="56" t="n">
        <v>40.1800610132802</v>
      </c>
      <c r="F21" s="56" t="n">
        <v>6.84000763063701</v>
      </c>
      <c r="G21" s="56" t="n">
        <v>8.819938986719791</v>
      </c>
      <c r="H21" s="55">
        <f t="array" ref="H21">E21+D21</f>
        <v/>
      </c>
      <c r="I21" s="55">
        <f t="array" ref="I21">G21+F21</f>
        <v/>
      </c>
      <c r="J21" s="55">
        <f t="array" ref="J21">D21+F21</f>
        <v/>
      </c>
      <c r="K21" s="55">
        <f t="array" ref="K21">E21+G21</f>
        <v/>
      </c>
      <c r="L21" s="57" t="n"/>
    </row>
    <row r="22" ht="20.1" customHeight="1" s="206">
      <c r="A22" s="38" t="inlineStr">
        <is>
          <t>d15</t>
        </is>
      </c>
      <c r="B22" s="11" t="inlineStr">
        <is>
          <t>15 years age of the deceased</t>
        </is>
      </c>
      <c r="C22" s="55" t="n">
        <v>101</v>
      </c>
      <c r="D22" s="56" t="n">
        <v>29.5200110930222</v>
      </c>
      <c r="E22" s="56" t="n">
        <v>53.2999112428921</v>
      </c>
      <c r="F22" s="56" t="n">
        <v>6.47998890697782</v>
      </c>
      <c r="G22" s="56" t="n">
        <v>11.7000887571079</v>
      </c>
      <c r="H22" s="55">
        <f t="array" ref="H22">E22+D22</f>
        <v/>
      </c>
      <c r="I22" s="55">
        <f t="array" ref="I22">G22+F22</f>
        <v/>
      </c>
      <c r="J22" s="55">
        <f t="array" ref="J22">D22+F22</f>
        <v/>
      </c>
      <c r="K22" s="55">
        <f t="array" ref="K22">E22+G22</f>
        <v/>
      </c>
      <c r="L22" s="57" t="n"/>
    </row>
    <row r="23" ht="20.1" customHeight="1" s="206">
      <c r="A23" s="38" t="inlineStr">
        <is>
          <t>d16</t>
        </is>
      </c>
      <c r="B23" s="11" t="inlineStr">
        <is>
          <t>16 years age of the deceased</t>
        </is>
      </c>
      <c r="C23" s="55" t="n">
        <v>128</v>
      </c>
      <c r="D23" s="56" t="n">
        <v>41.0000128983993</v>
      </c>
      <c r="E23" s="56" t="n">
        <v>63.9600038110222</v>
      </c>
      <c r="F23" s="56" t="n">
        <v>8.99998710160069</v>
      </c>
      <c r="G23" s="56" t="n">
        <v>14.0399961889778</v>
      </c>
      <c r="H23" s="55">
        <f t="array" ref="H23">E23+D23</f>
        <v/>
      </c>
      <c r="I23" s="55">
        <f t="array" ref="I23">G23+F23</f>
        <v/>
      </c>
      <c r="J23" s="55">
        <f t="array" ref="J23">D23+F23</f>
        <v/>
      </c>
      <c r="K23" s="55">
        <f t="array" ref="K23">E23+G23</f>
        <v/>
      </c>
      <c r="L23" s="57" t="n"/>
    </row>
    <row r="24" ht="20.1" customHeight="1" s="206">
      <c r="A24" s="38" t="inlineStr">
        <is>
          <t>d17</t>
        </is>
      </c>
      <c r="B24" s="11" t="inlineStr">
        <is>
          <t>17 years age of the deceased</t>
        </is>
      </c>
      <c r="C24" s="55" t="n">
        <v>167</v>
      </c>
      <c r="D24" s="56" t="n">
        <v>45.9199941964702</v>
      </c>
      <c r="E24" s="56" t="n">
        <v>91.0198861485637</v>
      </c>
      <c r="F24" s="56" t="n">
        <v>10.0800058035298</v>
      </c>
      <c r="G24" s="56" t="n">
        <v>19.9801138514363</v>
      </c>
      <c r="H24" s="55">
        <f t="array" ref="H24">E24+D24</f>
        <v/>
      </c>
      <c r="I24" s="55">
        <f t="array" ref="I24">G24+F24</f>
        <v/>
      </c>
      <c r="J24" s="55">
        <f t="array" ref="J24">D24+F24</f>
        <v/>
      </c>
      <c r="K24" s="55">
        <f t="array" ref="K24">E24+G24</f>
        <v/>
      </c>
      <c r="L24" s="57" t="n"/>
    </row>
    <row r="25" ht="20.1" customHeight="1" s="206">
      <c r="A25" s="38" t="inlineStr">
        <is>
          <t>d18</t>
        </is>
      </c>
      <c r="B25" s="11" t="inlineStr">
        <is>
          <t>18 years age of the deceased</t>
        </is>
      </c>
      <c r="C25" s="55" t="n">
        <v>222</v>
      </c>
      <c r="D25" s="56" t="n">
        <v>54.1199830749702</v>
      </c>
      <c r="E25" s="56" t="n">
        <v>127.920075446148</v>
      </c>
      <c r="F25" s="56" t="n">
        <v>11.8800169250298</v>
      </c>
      <c r="G25" s="56" t="n">
        <v>28.0799245538521</v>
      </c>
      <c r="H25" s="55">
        <f t="array" ref="H25">E25+D25</f>
        <v/>
      </c>
      <c r="I25" s="55">
        <f t="array" ref="I25">G25+F25</f>
        <v/>
      </c>
      <c r="J25" s="55">
        <f t="array" ref="J25">D25+F25</f>
        <v/>
      </c>
      <c r="K25" s="55">
        <f t="array" ref="K25">E25+G25</f>
        <v/>
      </c>
      <c r="L25" s="57" t="n"/>
    </row>
    <row r="26" ht="20.1" customHeight="1" s="206">
      <c r="A26" s="38" t="inlineStr">
        <is>
          <t>d19</t>
        </is>
      </c>
      <c r="B26" s="11" t="inlineStr">
        <is>
          <t>19 years age of the deceased</t>
        </is>
      </c>
      <c r="C26" s="55" t="n">
        <v>236</v>
      </c>
      <c r="D26" s="56" t="n">
        <v>56.5800452565167</v>
      </c>
      <c r="E26" s="56" t="n">
        <v>136.939936379135</v>
      </c>
      <c r="F26" s="56" t="n">
        <v>12.4199547434833</v>
      </c>
      <c r="G26" s="56" t="n">
        <v>30.0600636208654</v>
      </c>
      <c r="H26" s="55">
        <f t="array" ref="H26">E26+D26</f>
        <v/>
      </c>
      <c r="I26" s="55">
        <f t="array" ref="I26">G26+F26</f>
        <v/>
      </c>
      <c r="J26" s="55">
        <f t="array" ref="J26">D26+F26</f>
        <v/>
      </c>
      <c r="K26" s="55">
        <f t="array" ref="K26">E26+G26</f>
        <v/>
      </c>
      <c r="L26" s="57" t="n"/>
    </row>
    <row r="27" ht="20.1" customHeight="1" s="206">
      <c r="A27" s="38" t="inlineStr">
        <is>
          <t>d20</t>
        </is>
      </c>
      <c r="B27" s="11" t="inlineStr">
        <is>
          <t>20 years age of the deceased</t>
        </is>
      </c>
      <c r="C27" s="55" t="n">
        <v>281</v>
      </c>
      <c r="D27" s="56" t="n">
        <v>68.8799504950495</v>
      </c>
      <c r="E27" s="56" t="n">
        <v>161.540342735157</v>
      </c>
      <c r="F27" s="56" t="n">
        <v>15.1200495049505</v>
      </c>
      <c r="G27" s="56" t="n">
        <v>35.4596572648427</v>
      </c>
      <c r="H27" s="55">
        <f t="array" ref="H27">E27+D27</f>
        <v/>
      </c>
      <c r="I27" s="55">
        <f t="array" ref="I27">G27+F27</f>
        <v/>
      </c>
      <c r="J27" s="55">
        <f t="array" ref="J27">D27+F27</f>
        <v/>
      </c>
      <c r="K27" s="55">
        <f t="array" ref="K27">E27+G27</f>
        <v/>
      </c>
      <c r="L27" s="57" t="n"/>
    </row>
    <row r="28" ht="20.1" customHeight="1" s="206">
      <c r="A28" s="38" t="inlineStr">
        <is>
          <t>d21</t>
        </is>
      </c>
      <c r="B28" s="11" t="inlineStr">
        <is>
          <t>21 years age of the deceased</t>
        </is>
      </c>
      <c r="C28" s="55" t="n">
        <v>246</v>
      </c>
      <c r="D28" s="56" t="n">
        <v>68.0599192842556</v>
      </c>
      <c r="E28" s="56" t="n">
        <v>133.660076010166</v>
      </c>
      <c r="F28" s="56" t="n">
        <v>14.9400807157444</v>
      </c>
      <c r="G28" s="56" t="n">
        <v>29.3399239898342</v>
      </c>
      <c r="H28" s="55">
        <f t="array" ref="H28">E28+D28</f>
        <v/>
      </c>
      <c r="I28" s="55">
        <f t="array" ref="I28">G28+F28</f>
        <v/>
      </c>
      <c r="J28" s="55">
        <f t="array" ref="J28">D28+F28</f>
        <v/>
      </c>
      <c r="K28" s="55">
        <f t="array" ref="K28">E28+G28</f>
        <v/>
      </c>
      <c r="L28" s="57" t="n"/>
    </row>
    <row r="29" ht="20.1" customHeight="1" s="206">
      <c r="A29" s="38" t="inlineStr">
        <is>
          <t>d22</t>
        </is>
      </c>
      <c r="B29" s="11" t="inlineStr">
        <is>
          <t>22 years age of the deceased</t>
        </is>
      </c>
      <c r="C29" s="55" t="n">
        <v>241</v>
      </c>
      <c r="D29" s="56" t="n">
        <v>56.5799867814193</v>
      </c>
      <c r="E29" s="56" t="n">
        <v>141.039849646545</v>
      </c>
      <c r="F29" s="56" t="n">
        <v>12.4200132185807</v>
      </c>
      <c r="G29" s="56" t="n">
        <v>30.9601503534548</v>
      </c>
      <c r="H29" s="55">
        <f t="array" ref="H29">E29+D29</f>
        <v/>
      </c>
      <c r="I29" s="55">
        <f t="array" ref="I29">G29+F29</f>
        <v/>
      </c>
      <c r="J29" s="55">
        <f t="array" ref="J29">D29+F29</f>
        <v/>
      </c>
      <c r="K29" s="55">
        <f t="array" ref="K29">E29+G29</f>
        <v/>
      </c>
      <c r="L29" s="57" t="n"/>
    </row>
    <row r="30" ht="20.1" customHeight="1" s="206">
      <c r="A30" s="38" t="inlineStr">
        <is>
          <t>d23</t>
        </is>
      </c>
      <c r="B30" s="11" t="inlineStr">
        <is>
          <t>23 years age of the deceased</t>
        </is>
      </c>
      <c r="C30" s="55" t="n">
        <v>264.000000000001</v>
      </c>
      <c r="D30" s="56" t="n">
        <v>59.040036685434</v>
      </c>
      <c r="E30" s="56" t="n">
        <v>157.439965471042</v>
      </c>
      <c r="F30" s="56" t="n">
        <v>12.959963314566</v>
      </c>
      <c r="G30" s="56" t="n">
        <v>34.5600345289585</v>
      </c>
      <c r="H30" s="55">
        <f t="array" ref="H30">E30+D30</f>
        <v/>
      </c>
      <c r="I30" s="55">
        <f t="array" ref="I30">G30+F30</f>
        <v/>
      </c>
      <c r="J30" s="55">
        <f t="array" ref="J30">D30+F30</f>
        <v/>
      </c>
      <c r="K30" s="55">
        <f t="array" ref="K30">E30+G30</f>
        <v/>
      </c>
      <c r="L30" s="57" t="n"/>
    </row>
    <row r="31" ht="20.1" customHeight="1" s="206">
      <c r="A31" s="38" t="inlineStr">
        <is>
          <t>d24</t>
        </is>
      </c>
      <c r="B31" s="11" t="inlineStr">
        <is>
          <t>24 years age of the deceased</t>
        </is>
      </c>
      <c r="C31" s="55" t="n">
        <v>272</v>
      </c>
      <c r="D31" s="56" t="n">
        <v>69.6999961347033</v>
      </c>
      <c r="E31" s="56" t="n">
        <v>153.33990804053</v>
      </c>
      <c r="F31" s="56" t="n">
        <v>15.3000038652967</v>
      </c>
      <c r="G31" s="56" t="n">
        <v>33.6600919594699</v>
      </c>
      <c r="H31" s="55">
        <f t="array" ref="H31">E31+D31</f>
        <v/>
      </c>
      <c r="I31" s="55">
        <f t="array" ref="I31">G31+F31</f>
        <v/>
      </c>
      <c r="J31" s="55">
        <f t="array" ref="J31">D31+F31</f>
        <v/>
      </c>
      <c r="K31" s="55">
        <f t="array" ref="K31">E31+G31</f>
        <v/>
      </c>
      <c r="L31" s="57" t="n"/>
    </row>
    <row r="32" ht="20.1" customHeight="1" s="206">
      <c r="A32" s="38" t="inlineStr">
        <is>
          <t>d25</t>
        </is>
      </c>
      <c r="B32" s="11" t="inlineStr">
        <is>
          <t>25 years age of the deceased</t>
        </is>
      </c>
      <c r="C32" s="55" t="n">
        <v>291.000000000001</v>
      </c>
      <c r="D32" s="56" t="n">
        <v>78.7200607325868</v>
      </c>
      <c r="E32" s="56" t="n">
        <v>159.899800023632</v>
      </c>
      <c r="F32" s="56" t="n">
        <v>17.2799392674132</v>
      </c>
      <c r="G32" s="56" t="n">
        <v>35.1001999763685</v>
      </c>
      <c r="H32" s="55">
        <f t="array" ref="H32">E32+D32</f>
        <v/>
      </c>
      <c r="I32" s="55">
        <f t="array" ref="I32">G32+F32</f>
        <v/>
      </c>
      <c r="J32" s="55">
        <f t="array" ref="J32">D32+F32</f>
        <v/>
      </c>
      <c r="K32" s="55">
        <f t="array" ref="K32">E32+G32</f>
        <v/>
      </c>
      <c r="L32" s="57" t="n"/>
    </row>
    <row r="33" ht="20.1" customHeight="1" s="206">
      <c r="A33" s="38" t="inlineStr">
        <is>
          <t>d26</t>
        </is>
      </c>
      <c r="B33" s="11" t="inlineStr">
        <is>
          <t>26 years age of the deceased</t>
        </is>
      </c>
      <c r="C33" s="55" t="n">
        <v>325</v>
      </c>
      <c r="D33" s="56" t="n">
        <v>73.7999548121624</v>
      </c>
      <c r="E33" s="56" t="n">
        <v>192.699915131433</v>
      </c>
      <c r="F33" s="56" t="n">
        <v>16.2000451878376</v>
      </c>
      <c r="G33" s="56" t="n">
        <v>42.3000848685666</v>
      </c>
      <c r="H33" s="55">
        <f t="array" ref="H33">E33+D33</f>
        <v/>
      </c>
      <c r="I33" s="55">
        <f t="array" ref="I33">G33+F33</f>
        <v/>
      </c>
      <c r="J33" s="55">
        <f t="array" ref="J33">D33+F33</f>
        <v/>
      </c>
      <c r="K33" s="55">
        <f t="array" ref="K33">E33+G33</f>
        <v/>
      </c>
      <c r="L33" s="57" t="n"/>
    </row>
    <row r="34" ht="20.1" customHeight="1" s="206">
      <c r="A34" s="38" t="inlineStr">
        <is>
          <t>d27</t>
        </is>
      </c>
      <c r="B34" s="11" t="inlineStr">
        <is>
          <t>27 years age of the deceased</t>
        </is>
      </c>
      <c r="C34" s="55" t="n">
        <v>319</v>
      </c>
      <c r="D34" s="56" t="n">
        <v>88.5599613628538</v>
      </c>
      <c r="E34" s="56" t="n">
        <v>173.02</v>
      </c>
      <c r="F34" s="56" t="n">
        <v>19.4400386371462</v>
      </c>
      <c r="G34" s="56" t="n">
        <v>37.98</v>
      </c>
      <c r="H34" s="55">
        <f t="array" ref="H34">E34+D34</f>
        <v/>
      </c>
      <c r="I34" s="55">
        <f t="array" ref="I34">G34+F34</f>
        <v/>
      </c>
      <c r="J34" s="55">
        <f t="array" ref="J34">D34+F34</f>
        <v/>
      </c>
      <c r="K34" s="55">
        <f t="array" ref="K34">E34+G34</f>
        <v/>
      </c>
      <c r="L34" s="57" t="n"/>
    </row>
    <row r="35" ht="20.1" customHeight="1" s="206">
      <c r="A35" s="38" t="inlineStr">
        <is>
          <t>d28</t>
        </is>
      </c>
      <c r="B35" s="11" t="inlineStr">
        <is>
          <t>28 years age of the deceased</t>
        </is>
      </c>
      <c r="C35" s="55" t="n">
        <v>357</v>
      </c>
      <c r="D35" s="56" t="n">
        <v>82.8200875823795</v>
      </c>
      <c r="E35" s="56" t="n">
        <v>209.920044852674</v>
      </c>
      <c r="F35" s="56" t="n">
        <v>18.1799124176205</v>
      </c>
      <c r="G35" s="56" t="n">
        <v>46.0799551473261</v>
      </c>
      <c r="H35" s="55">
        <f t="array" ref="H35">E35+D35</f>
        <v/>
      </c>
      <c r="I35" s="55">
        <f t="array" ref="I35">G35+F35</f>
        <v/>
      </c>
      <c r="J35" s="55">
        <f t="array" ref="J35">D35+F35</f>
        <v/>
      </c>
      <c r="K35" s="55">
        <f t="array" ref="K35">E35+G35</f>
        <v/>
      </c>
      <c r="L35" s="57" t="n"/>
    </row>
    <row r="36" ht="20.1" customHeight="1" s="206">
      <c r="A36" s="38" t="inlineStr">
        <is>
          <t>d29</t>
        </is>
      </c>
      <c r="B36" s="11" t="inlineStr">
        <is>
          <t>29 years age of the deceased</t>
        </is>
      </c>
      <c r="C36" s="55" t="n">
        <v>390.000000000001</v>
      </c>
      <c r="D36" s="56" t="n">
        <v>105.779883341121</v>
      </c>
      <c r="E36" s="56" t="n">
        <v>214.020137362999</v>
      </c>
      <c r="F36" s="56" t="n">
        <v>23.2201166588794</v>
      </c>
      <c r="G36" s="56" t="n">
        <v>46.9798626370012</v>
      </c>
      <c r="H36" s="55">
        <f t="array" ref="H36">E36+D36</f>
        <v/>
      </c>
      <c r="I36" s="55">
        <f t="array" ref="I36">G36+F36</f>
        <v/>
      </c>
      <c r="J36" s="55">
        <f t="array" ref="J36">D36+F36</f>
        <v/>
      </c>
      <c r="K36" s="55">
        <f t="array" ref="K36">E36+G36</f>
        <v/>
      </c>
      <c r="L36" s="57" t="n"/>
    </row>
    <row r="37" ht="20.1" customHeight="1" s="206">
      <c r="A37" s="38" t="inlineStr">
        <is>
          <t>d30</t>
        </is>
      </c>
      <c r="B37" s="11" t="inlineStr">
        <is>
          <t>30 years age of the deceased</t>
        </is>
      </c>
      <c r="C37" s="55" t="n">
        <v>430</v>
      </c>
      <c r="D37" s="56" t="n">
        <v>104.95997855695</v>
      </c>
      <c r="E37" s="56" t="n">
        <v>247.639804410479</v>
      </c>
      <c r="F37" s="56" t="n">
        <v>23.0400214430503</v>
      </c>
      <c r="G37" s="56" t="n">
        <v>54.3601955895211</v>
      </c>
      <c r="H37" s="55">
        <f t="array" ref="H37">E37+D37</f>
        <v/>
      </c>
      <c r="I37" s="55">
        <f t="array" ref="I37">G37+F37</f>
        <v/>
      </c>
      <c r="J37" s="55">
        <f t="array" ref="J37">D37+F37</f>
        <v/>
      </c>
      <c r="K37" s="55">
        <f t="array" ref="K37">E37+G37</f>
        <v/>
      </c>
      <c r="L37" s="57" t="n"/>
    </row>
    <row r="38" ht="20.1" customHeight="1" s="206">
      <c r="A38" s="38" t="inlineStr">
        <is>
          <t>d31</t>
        </is>
      </c>
      <c r="B38" s="11" t="inlineStr">
        <is>
          <t>31 years age of the deceased</t>
        </is>
      </c>
      <c r="C38" s="55" t="n">
        <v>473</v>
      </c>
      <c r="D38" s="56" t="n">
        <v>122.18014754423</v>
      </c>
      <c r="E38" s="56" t="n">
        <v>265.679958517646</v>
      </c>
      <c r="F38" s="56" t="n">
        <v>26.8198524557697</v>
      </c>
      <c r="G38" s="56" t="n">
        <v>58.320041482354</v>
      </c>
      <c r="H38" s="55">
        <f t="array" ref="H38">E38+D38</f>
        <v/>
      </c>
      <c r="I38" s="55">
        <f t="array" ref="I38">G38+F38</f>
        <v/>
      </c>
      <c r="J38" s="55">
        <f t="array" ref="J38">D38+F38</f>
        <v/>
      </c>
      <c r="K38" s="55">
        <f t="array" ref="K38">E38+G38</f>
        <v/>
      </c>
      <c r="L38" s="57" t="n"/>
    </row>
    <row r="39" ht="20.1" customHeight="1" s="206">
      <c r="A39" s="38" t="inlineStr">
        <is>
          <t>d32</t>
        </is>
      </c>
      <c r="B39" s="11" t="inlineStr">
        <is>
          <t>32 years age of the deceased</t>
        </is>
      </c>
      <c r="C39" s="55" t="n">
        <v>479.000000000001</v>
      </c>
      <c r="D39" s="56" t="n">
        <v>139.400146245845</v>
      </c>
      <c r="E39" s="56" t="n">
        <v>253.379815641887</v>
      </c>
      <c r="F39" s="56" t="n">
        <v>30.5998537541554</v>
      </c>
      <c r="G39" s="56" t="n">
        <v>55.6201843581133</v>
      </c>
      <c r="H39" s="55">
        <f t="array" ref="H39">E39+D39</f>
        <v/>
      </c>
      <c r="I39" s="55">
        <f t="array" ref="I39">G39+F39</f>
        <v/>
      </c>
      <c r="J39" s="55">
        <f t="array" ref="J39">D39+F39</f>
        <v/>
      </c>
      <c r="K39" s="55">
        <f t="array" ref="K39">E39+G39</f>
        <v/>
      </c>
      <c r="L39" s="57" t="n"/>
    </row>
    <row r="40" ht="20.1" customHeight="1" s="206">
      <c r="A40" s="38" t="inlineStr">
        <is>
          <t>d33</t>
        </is>
      </c>
      <c r="B40" s="11" t="inlineStr">
        <is>
          <t>33 years age of the deceased</t>
        </is>
      </c>
      <c r="C40" s="55" t="n">
        <v>581</v>
      </c>
      <c r="D40" s="56" t="n">
        <v>182.040271354941</v>
      </c>
      <c r="E40" s="56" t="n">
        <v>294.379755613986</v>
      </c>
      <c r="F40" s="56" t="n">
        <v>39.9597286450588</v>
      </c>
      <c r="G40" s="56" t="n">
        <v>64.62024438601421</v>
      </c>
      <c r="H40" s="55">
        <f t="array" ref="H40">E40+D40</f>
        <v/>
      </c>
      <c r="I40" s="55">
        <f t="array" ref="I40">G40+F40</f>
        <v/>
      </c>
      <c r="J40" s="55">
        <f t="array" ref="J40">D40+F40</f>
        <v/>
      </c>
      <c r="K40" s="55">
        <f t="array" ref="K40">E40+G40</f>
        <v/>
      </c>
      <c r="L40" s="57" t="n"/>
    </row>
    <row r="41" ht="20.1" customHeight="1" s="206">
      <c r="A41" s="38" t="inlineStr">
        <is>
          <t>d34</t>
        </is>
      </c>
      <c r="B41" s="11" t="inlineStr">
        <is>
          <t>34 years age of the deceased</t>
        </is>
      </c>
      <c r="C41" s="55" t="n">
        <v>590.999999999999</v>
      </c>
      <c r="D41" s="56" t="n">
        <v>182.040142744045</v>
      </c>
      <c r="E41" s="56" t="n">
        <v>302.579671743647</v>
      </c>
      <c r="F41" s="56" t="n">
        <v>39.9598572559547</v>
      </c>
      <c r="G41" s="56" t="n">
        <v>66.4203282563526</v>
      </c>
      <c r="H41" s="55">
        <f t="array" ref="H41">E41+D41</f>
        <v/>
      </c>
      <c r="I41" s="55">
        <f t="array" ref="I41">G41+F41</f>
        <v/>
      </c>
      <c r="J41" s="55">
        <f t="array" ref="J41">D41+F41</f>
        <v/>
      </c>
      <c r="K41" s="55">
        <f t="array" ref="K41">E41+G41</f>
        <v/>
      </c>
      <c r="L41" s="57" t="n"/>
    </row>
    <row r="42" ht="20.1" customHeight="1" s="206">
      <c r="A42" s="38" t="inlineStr">
        <is>
          <t>d35</t>
        </is>
      </c>
      <c r="B42" s="11" t="inlineStr">
        <is>
          <t>35 years age of the deceased</t>
        </is>
      </c>
      <c r="C42" s="55" t="n">
        <v>646</v>
      </c>
      <c r="D42" s="56" t="n">
        <v>185.31986245093</v>
      </c>
      <c r="E42" s="56" t="n">
        <v>344.400288273448</v>
      </c>
      <c r="F42" s="56" t="n">
        <v>40.6801375490703</v>
      </c>
      <c r="G42" s="56" t="n">
        <v>75.599711726552</v>
      </c>
      <c r="H42" s="55">
        <f t="array" ref="H42">E42+D42</f>
        <v/>
      </c>
      <c r="I42" s="55">
        <f t="array" ref="I42">G42+F42</f>
        <v/>
      </c>
      <c r="J42" s="55">
        <f t="array" ref="J42">D42+F42</f>
        <v/>
      </c>
      <c r="K42" s="55">
        <f t="array" ref="K42">E42+G42</f>
        <v/>
      </c>
      <c r="L42" s="57" t="n"/>
    </row>
    <row r="43" ht="20.1" customHeight="1" s="206">
      <c r="A43" s="38" t="inlineStr">
        <is>
          <t>d36</t>
        </is>
      </c>
      <c r="B43" s="11" t="inlineStr">
        <is>
          <t>36 years age of the deceased</t>
        </is>
      </c>
      <c r="C43" s="55" t="n">
        <v>720</v>
      </c>
      <c r="D43" s="56" t="n">
        <v>225.500339492202</v>
      </c>
      <c r="E43" s="56" t="n">
        <v>364.899653994186</v>
      </c>
      <c r="F43" s="56" t="n">
        <v>49.499660507798</v>
      </c>
      <c r="G43" s="56" t="n">
        <v>80.1003460058143</v>
      </c>
      <c r="H43" s="55">
        <f t="array" ref="H43">E43+D43</f>
        <v/>
      </c>
      <c r="I43" s="55">
        <f t="array" ref="I43">G43+F43</f>
        <v/>
      </c>
      <c r="J43" s="55">
        <f t="array" ref="J43">D43+F43</f>
        <v/>
      </c>
      <c r="K43" s="55">
        <f t="array" ref="K43">E43+G43</f>
        <v/>
      </c>
      <c r="L43" s="57" t="n"/>
    </row>
    <row r="44" ht="20.1" customHeight="1" s="206">
      <c r="A44" s="38" t="inlineStr">
        <is>
          <t>d37</t>
        </is>
      </c>
      <c r="B44" s="11" t="inlineStr">
        <is>
          <t>37 years age of the deceased</t>
        </is>
      </c>
      <c r="C44" s="55" t="n">
        <v>776</v>
      </c>
      <c r="D44" s="56" t="n">
        <v>250.9201133331</v>
      </c>
      <c r="E44" s="56" t="n">
        <v>385.39947069321</v>
      </c>
      <c r="F44" s="56" t="n">
        <v>55.0798866668999</v>
      </c>
      <c r="G44" s="56" t="n">
        <v>84.60052930678999</v>
      </c>
      <c r="H44" s="55">
        <f t="array" ref="H44">E44+D44</f>
        <v/>
      </c>
      <c r="I44" s="55">
        <f t="array" ref="I44">G44+F44</f>
        <v/>
      </c>
      <c r="J44" s="55">
        <f t="array" ref="J44">D44+F44</f>
        <v/>
      </c>
      <c r="K44" s="55">
        <f t="array" ref="K44">E44+G44</f>
        <v/>
      </c>
      <c r="L44" s="57" t="n"/>
    </row>
    <row r="45" ht="20.1" customHeight="1" s="206">
      <c r="A45" s="38" t="inlineStr">
        <is>
          <t>d38</t>
        </is>
      </c>
      <c r="B45" s="11" t="inlineStr">
        <is>
          <t>38 years age of the deceased</t>
        </is>
      </c>
      <c r="C45" s="55" t="n">
        <v>807</v>
      </c>
      <c r="D45" s="56" t="n">
        <v>244.36</v>
      </c>
      <c r="E45" s="56" t="n">
        <v>417.380089799231</v>
      </c>
      <c r="F45" s="56" t="n">
        <v>53.64</v>
      </c>
      <c r="G45" s="56" t="n">
        <v>91.6199102007692</v>
      </c>
      <c r="H45" s="55">
        <f t="array" ref="H45">E45+D45</f>
        <v/>
      </c>
      <c r="I45" s="55">
        <f t="array" ref="I45">G45+F45</f>
        <v/>
      </c>
      <c r="J45" s="55">
        <f t="array" ref="J45">D45+F45</f>
        <v/>
      </c>
      <c r="K45" s="55">
        <f t="array" ref="K45">E45+G45</f>
        <v/>
      </c>
      <c r="L45" s="57" t="n"/>
    </row>
    <row r="46" ht="20.1" customHeight="1" s="206">
      <c r="A46" s="38" t="inlineStr">
        <is>
          <t>d39</t>
        </is>
      </c>
      <c r="B46" s="11" t="inlineStr">
        <is>
          <t>39 years age of the deceased</t>
        </is>
      </c>
      <c r="C46" s="55" t="n">
        <v>907</v>
      </c>
      <c r="D46" s="56" t="n">
        <v>292.740134406747</v>
      </c>
      <c r="E46" s="56" t="n">
        <v>450.999367446963</v>
      </c>
      <c r="F46" s="56" t="n">
        <v>64.25986559325329</v>
      </c>
      <c r="G46" s="56" t="n">
        <v>99.00063255303709</v>
      </c>
      <c r="H46" s="55">
        <f t="array" ref="H46">E46+D46</f>
        <v/>
      </c>
      <c r="I46" s="55">
        <f t="array" ref="I46">G46+F46</f>
        <v/>
      </c>
      <c r="J46" s="55">
        <f t="array" ref="J46">D46+F46</f>
        <v/>
      </c>
      <c r="K46" s="55">
        <f t="array" ref="K46">E46+G46</f>
        <v/>
      </c>
      <c r="L46" s="57" t="n"/>
    </row>
    <row r="47" ht="20.1" customHeight="1" s="206">
      <c r="A47" s="38" t="inlineStr">
        <is>
          <t>d40</t>
        </is>
      </c>
      <c r="B47" s="11" t="inlineStr">
        <is>
          <t>40 years age of the deceased</t>
        </is>
      </c>
      <c r="C47" s="55" t="n">
        <v>906</v>
      </c>
      <c r="D47" s="56" t="n">
        <v>300.939555169178</v>
      </c>
      <c r="E47" s="56" t="n">
        <v>441.980285111016</v>
      </c>
      <c r="F47" s="56" t="n">
        <v>66.06044483082179</v>
      </c>
      <c r="G47" s="56" t="n">
        <v>97.0197148889839</v>
      </c>
      <c r="H47" s="55">
        <f t="array" ref="H47">E47+D47</f>
        <v/>
      </c>
      <c r="I47" s="55">
        <f t="array" ref="I47">G47+F47</f>
        <v/>
      </c>
      <c r="J47" s="55">
        <f t="array" ref="J47">D47+F47</f>
        <v/>
      </c>
      <c r="K47" s="55">
        <f t="array" ref="K47">E47+G47</f>
        <v/>
      </c>
      <c r="L47" s="57" t="n"/>
    </row>
    <row r="48" ht="20.1" customHeight="1" s="206">
      <c r="A48" s="38" t="inlineStr">
        <is>
          <t>d41</t>
        </is>
      </c>
      <c r="B48" s="11" t="inlineStr">
        <is>
          <t>41 years age of the deceased</t>
        </is>
      </c>
      <c r="C48" s="55" t="n">
        <v>1004</v>
      </c>
      <c r="D48" s="56" t="n">
        <v>315.700063813565</v>
      </c>
      <c r="E48" s="56" t="n">
        <v>507.579566589209</v>
      </c>
      <c r="F48" s="56" t="n">
        <v>69.2999361864351</v>
      </c>
      <c r="G48" s="56" t="n">
        <v>111.420433410791</v>
      </c>
      <c r="H48" s="55">
        <f t="array" ref="H48">E48+D48</f>
        <v/>
      </c>
      <c r="I48" s="55">
        <f t="array" ref="I48">G48+F48</f>
        <v/>
      </c>
      <c r="J48" s="55">
        <f t="array" ref="J48">D48+F48</f>
        <v/>
      </c>
      <c r="K48" s="55">
        <f t="array" ref="K48">E48+G48</f>
        <v/>
      </c>
      <c r="L48" s="57" t="n"/>
    </row>
    <row r="49" ht="20.1" customHeight="1" s="206">
      <c r="A49" s="38" t="inlineStr">
        <is>
          <t>d42</t>
        </is>
      </c>
      <c r="B49" s="11" t="inlineStr">
        <is>
          <t>42 years age of the deceased</t>
        </is>
      </c>
      <c r="C49" s="55" t="n">
        <v>1168</v>
      </c>
      <c r="D49" s="56" t="n">
        <v>355.880234737584</v>
      </c>
      <c r="E49" s="56" t="n">
        <v>601.87967835937</v>
      </c>
      <c r="F49" s="56" t="n">
        <v>78.1197652624156</v>
      </c>
      <c r="G49" s="56" t="n">
        <v>132.12032164063</v>
      </c>
      <c r="H49" s="55">
        <f t="array" ref="H49">E49+D49</f>
        <v/>
      </c>
      <c r="I49" s="55">
        <f t="array" ref="I49">G49+F49</f>
        <v/>
      </c>
      <c r="J49" s="55">
        <f t="array" ref="J49">D49+F49</f>
        <v/>
      </c>
      <c r="K49" s="55">
        <f t="array" ref="K49">E49+G49</f>
        <v/>
      </c>
      <c r="L49" s="57" t="n"/>
    </row>
    <row r="50" ht="20.1" customHeight="1" s="206">
      <c r="A50" s="38" t="inlineStr">
        <is>
          <t>d43</t>
        </is>
      </c>
      <c r="B50" s="11" t="inlineStr">
        <is>
          <t>43 years age of the deceased</t>
        </is>
      </c>
      <c r="C50" s="55" t="n">
        <v>1197</v>
      </c>
      <c r="D50" s="56" t="n">
        <v>372.279863246245</v>
      </c>
      <c r="E50" s="56" t="n">
        <v>609.260268557048</v>
      </c>
      <c r="F50" s="56" t="n">
        <v>81.720136753755</v>
      </c>
      <c r="G50" s="56" t="n">
        <v>133.739731442952</v>
      </c>
      <c r="H50" s="55">
        <f t="array" ref="H50">E50+D50</f>
        <v/>
      </c>
      <c r="I50" s="55">
        <f t="array" ref="I50">G50+F50</f>
        <v/>
      </c>
      <c r="J50" s="55">
        <f t="array" ref="J50">D50+F50</f>
        <v/>
      </c>
      <c r="K50" s="55">
        <f t="array" ref="K50">E50+G50</f>
        <v/>
      </c>
      <c r="L50" s="57" t="n"/>
    </row>
    <row r="51" ht="20.1" customHeight="1" s="206">
      <c r="A51" s="38" t="inlineStr">
        <is>
          <t>d44</t>
        </is>
      </c>
      <c r="B51" s="11" t="inlineStr">
        <is>
          <t>44 years age of the deceased</t>
        </is>
      </c>
      <c r="C51" s="55" t="n">
        <v>1343</v>
      </c>
      <c r="D51" s="56" t="n">
        <v>437.059639795907</v>
      </c>
      <c r="E51" s="56" t="n">
        <v>664.201267464384</v>
      </c>
      <c r="F51" s="56" t="n">
        <v>95.9403602040931</v>
      </c>
      <c r="G51" s="56" t="n">
        <v>145.798732535616</v>
      </c>
      <c r="H51" s="55">
        <f t="array" ref="H51">E51+D51</f>
        <v/>
      </c>
      <c r="I51" s="55">
        <f t="array" ref="I51">G51+F51</f>
        <v/>
      </c>
      <c r="J51" s="55">
        <f t="array" ref="J51">D51+F51</f>
        <v/>
      </c>
      <c r="K51" s="55">
        <f t="array" ref="K51">E51+G51</f>
        <v/>
      </c>
      <c r="L51" s="57" t="n"/>
    </row>
    <row r="52" ht="20.1" customHeight="1" s="206">
      <c r="A52" s="38" t="inlineStr">
        <is>
          <t>d45</t>
        </is>
      </c>
      <c r="B52" s="11" t="inlineStr">
        <is>
          <t>45 years age of the deceased</t>
        </is>
      </c>
      <c r="C52" s="55" t="n">
        <v>1448</v>
      </c>
      <c r="D52" s="56" t="n">
        <v>457.56061815983</v>
      </c>
      <c r="E52" s="56" t="n">
        <v>729.799353847271</v>
      </c>
      <c r="F52" s="56" t="n">
        <v>100.43938184017</v>
      </c>
      <c r="G52" s="56" t="n">
        <v>160.200646152729</v>
      </c>
      <c r="H52" s="55">
        <f t="array" ref="H52">E52+D52</f>
        <v/>
      </c>
      <c r="I52" s="55">
        <f t="array" ref="I52">G52+F52</f>
        <v/>
      </c>
      <c r="J52" s="55">
        <f t="array" ref="J52">D52+F52</f>
        <v/>
      </c>
      <c r="K52" s="55">
        <f t="array" ref="K52">E52+G52</f>
        <v/>
      </c>
      <c r="L52" s="57" t="n"/>
    </row>
    <row r="53" ht="20.1" customHeight="1" s="206">
      <c r="A53" s="38" t="inlineStr">
        <is>
          <t>d46</t>
        </is>
      </c>
      <c r="B53" s="11" t="inlineStr">
        <is>
          <t>46 years age of the deceased</t>
        </is>
      </c>
      <c r="C53" s="55" t="n">
        <v>1540</v>
      </c>
      <c r="D53" s="56" t="n">
        <v>485.439566574234</v>
      </c>
      <c r="E53" s="56" t="n">
        <v>777.360362426884</v>
      </c>
      <c r="F53" s="56" t="n">
        <v>106.560433425766</v>
      </c>
      <c r="G53" s="56" t="n">
        <v>170.639637573116</v>
      </c>
      <c r="H53" s="55">
        <f t="array" ref="H53">E53+D53</f>
        <v/>
      </c>
      <c r="I53" s="55">
        <f t="array" ref="I53">G53+F53</f>
        <v/>
      </c>
      <c r="J53" s="55">
        <f t="array" ref="J53">D53+F53</f>
        <v/>
      </c>
      <c r="K53" s="55">
        <f t="array" ref="K53">E53+G53</f>
        <v/>
      </c>
      <c r="L53" s="57" t="n"/>
    </row>
    <row r="54" ht="20.1" customHeight="1" s="206">
      <c r="A54" s="38" t="inlineStr">
        <is>
          <t>d47</t>
        </is>
      </c>
      <c r="B54" s="11" t="inlineStr">
        <is>
          <t>47 years age of the deceased</t>
        </is>
      </c>
      <c r="C54" s="55" t="n">
        <v>1517</v>
      </c>
      <c r="D54" s="56" t="n">
        <v>454.279798996798</v>
      </c>
      <c r="E54" s="56" t="n">
        <v>789.66</v>
      </c>
      <c r="F54" s="56" t="n">
        <v>99.72020100320189</v>
      </c>
      <c r="G54" s="56" t="n">
        <v>173.34</v>
      </c>
      <c r="H54" s="55">
        <f t="array" ref="H54">E54+D54</f>
        <v/>
      </c>
      <c r="I54" s="55">
        <f t="array" ref="I54">G54+F54</f>
        <v/>
      </c>
      <c r="J54" s="55">
        <f t="array" ref="J54">D54+F54</f>
        <v/>
      </c>
      <c r="K54" s="55">
        <f t="array" ref="K54">E54+G54</f>
        <v/>
      </c>
      <c r="L54" s="57" t="n"/>
    </row>
    <row r="55" ht="20.1" customHeight="1" s="206">
      <c r="A55" s="38" t="inlineStr">
        <is>
          <t>d48</t>
        </is>
      </c>
      <c r="B55" s="11" t="inlineStr">
        <is>
          <t>48 years age of the deceased</t>
        </is>
      </c>
      <c r="C55" s="55" t="n">
        <v>1598</v>
      </c>
      <c r="D55" s="56" t="n">
        <v>515.77959954889</v>
      </c>
      <c r="E55" s="56" t="n">
        <v>794.58</v>
      </c>
      <c r="F55" s="56" t="n">
        <v>113.22040045111</v>
      </c>
      <c r="G55" s="56" t="n">
        <v>174.42</v>
      </c>
      <c r="H55" s="55">
        <f t="array" ref="H55">E55+D55</f>
        <v/>
      </c>
      <c r="I55" s="55">
        <f t="array" ref="I55">G55+F55</f>
        <v/>
      </c>
      <c r="J55" s="55">
        <f t="array" ref="J55">D55+F55</f>
        <v/>
      </c>
      <c r="K55" s="55">
        <f t="array" ref="K55">E55+G55</f>
        <v/>
      </c>
      <c r="L55" s="57" t="n"/>
    </row>
    <row r="56" ht="20.1" customHeight="1" s="206">
      <c r="A56" s="38" t="inlineStr">
        <is>
          <t>d49</t>
        </is>
      </c>
      <c r="B56" s="11" t="inlineStr">
        <is>
          <t>49 years age of the deceased</t>
        </is>
      </c>
      <c r="C56" s="55" t="n">
        <v>1827</v>
      </c>
      <c r="D56" s="56" t="n">
        <v>574.8201243580299</v>
      </c>
      <c r="E56" s="56" t="n">
        <v>923.320989224143</v>
      </c>
      <c r="F56" s="56" t="n">
        <v>126.17987564197</v>
      </c>
      <c r="G56" s="56" t="n">
        <v>202.679010775857</v>
      </c>
      <c r="H56" s="55">
        <f t="array" ref="H56">E56+D56</f>
        <v/>
      </c>
      <c r="I56" s="55">
        <f t="array" ref="I56">G56+F56</f>
        <v/>
      </c>
      <c r="J56" s="55">
        <f t="array" ref="J56">D56+F56</f>
        <v/>
      </c>
      <c r="K56" s="55">
        <f t="array" ref="K56">E56+G56</f>
        <v/>
      </c>
      <c r="L56" s="57" t="n"/>
    </row>
    <row r="57" ht="20.1" customHeight="1" s="206">
      <c r="A57" s="38" t="inlineStr">
        <is>
          <t>d50</t>
        </is>
      </c>
      <c r="B57" s="11" t="inlineStr">
        <is>
          <t>50 years age of the deceased</t>
        </is>
      </c>
      <c r="C57" s="55" t="n">
        <v>2029</v>
      </c>
      <c r="D57" s="56" t="n">
        <v>642.880407830625</v>
      </c>
      <c r="E57" s="56" t="n">
        <v>1020.9</v>
      </c>
      <c r="F57" s="56" t="n">
        <v>141.119592169375</v>
      </c>
      <c r="G57" s="56" t="n">
        <v>224.1</v>
      </c>
      <c r="H57" s="55">
        <f t="array" ref="H57">E57+D57</f>
        <v/>
      </c>
      <c r="I57" s="55">
        <f t="array" ref="I57">G57+F57</f>
        <v/>
      </c>
      <c r="J57" s="55">
        <f t="array" ref="J57">D57+F57</f>
        <v/>
      </c>
      <c r="K57" s="55">
        <f t="array" ref="K57">E57+G57</f>
        <v/>
      </c>
      <c r="L57" s="57" t="n"/>
    </row>
    <row r="58" ht="20.1" customHeight="1" s="206">
      <c r="A58" s="38" t="inlineStr">
        <is>
          <t>d51</t>
        </is>
      </c>
      <c r="B58" s="11" t="inlineStr">
        <is>
          <t>51 years age of the deceased</t>
        </is>
      </c>
      <c r="C58" s="55" t="n">
        <v>2231</v>
      </c>
      <c r="D58" s="56" t="n">
        <v>687.97971788718</v>
      </c>
      <c r="E58" s="56" t="n">
        <v>1141.43932527084</v>
      </c>
      <c r="F58" s="56" t="n">
        <v>151.02028211282</v>
      </c>
      <c r="G58" s="56" t="n">
        <v>250.560674729163</v>
      </c>
      <c r="H58" s="55">
        <f t="array" ref="H58">E58+D58</f>
        <v/>
      </c>
      <c r="I58" s="55">
        <f t="array" ref="I58">G58+F58</f>
        <v/>
      </c>
      <c r="J58" s="55">
        <f t="array" ref="J58">D58+F58</f>
        <v/>
      </c>
      <c r="K58" s="55">
        <f t="array" ref="K58">E58+G58</f>
        <v/>
      </c>
      <c r="L58" s="57" t="n"/>
    </row>
    <row r="59" ht="20.1" customHeight="1" s="206">
      <c r="A59" s="38" t="inlineStr">
        <is>
          <t>d52</t>
        </is>
      </c>
      <c r="B59" s="11" t="inlineStr">
        <is>
          <t>52 years age of the deceased</t>
        </is>
      </c>
      <c r="C59" s="55" t="n">
        <v>2565.00000000001</v>
      </c>
      <c r="D59" s="56" t="n">
        <v>778.180528909534</v>
      </c>
      <c r="E59" s="56" t="n">
        <v>1325.11761322822</v>
      </c>
      <c r="F59" s="56" t="n">
        <v>170.819471090466</v>
      </c>
      <c r="G59" s="56" t="n">
        <v>290.882386771785</v>
      </c>
      <c r="H59" s="55">
        <f t="array" ref="H59">E59+D59</f>
        <v/>
      </c>
      <c r="I59" s="55">
        <f t="array" ref="I59">G59+F59</f>
        <v/>
      </c>
      <c r="J59" s="55">
        <f t="array" ref="J59">D59+F59</f>
        <v/>
      </c>
      <c r="K59" s="55">
        <f t="array" ref="K59">E59+G59</f>
        <v/>
      </c>
      <c r="L59" s="57" t="n"/>
    </row>
    <row r="60" ht="20.1" customHeight="1" s="206">
      <c r="A60" s="38" t="inlineStr">
        <is>
          <t>d53</t>
        </is>
      </c>
      <c r="B60" s="11" t="inlineStr">
        <is>
          <t>53 years age of the deceased</t>
        </is>
      </c>
      <c r="C60" s="55" t="n">
        <v>2805</v>
      </c>
      <c r="D60" s="56" t="n">
        <v>888.060046342554</v>
      </c>
      <c r="E60" s="56" t="n">
        <v>1412.04153414406</v>
      </c>
      <c r="F60" s="56" t="n">
        <v>194.939953657446</v>
      </c>
      <c r="G60" s="56" t="n">
        <v>309.95846585594</v>
      </c>
      <c r="H60" s="55">
        <f t="array" ref="H60">E60+D60</f>
        <v/>
      </c>
      <c r="I60" s="55">
        <f t="array" ref="I60">G60+F60</f>
        <v/>
      </c>
      <c r="J60" s="55">
        <f t="array" ref="J60">D60+F60</f>
        <v/>
      </c>
      <c r="K60" s="55">
        <f t="array" ref="K60">E60+G60</f>
        <v/>
      </c>
      <c r="L60" s="57" t="n"/>
    </row>
    <row r="61" ht="20.1" customHeight="1" s="206">
      <c r="A61" s="38" t="inlineStr">
        <is>
          <t>d54</t>
        </is>
      </c>
      <c r="B61" s="11" t="inlineStr">
        <is>
          <t>54 years age of the deceased</t>
        </is>
      </c>
      <c r="C61" s="55" t="n">
        <v>3175</v>
      </c>
      <c r="D61" s="56" t="n">
        <v>1003.6790891402</v>
      </c>
      <c r="E61" s="56" t="n">
        <v>1599.82124466844</v>
      </c>
      <c r="F61" s="56" t="n">
        <v>220.320910859797</v>
      </c>
      <c r="G61" s="56" t="n">
        <v>351.178755331559</v>
      </c>
      <c r="H61" s="55">
        <f t="array" ref="H61">E61+D61</f>
        <v/>
      </c>
      <c r="I61" s="55">
        <f t="array" ref="I61">G61+F61</f>
        <v/>
      </c>
      <c r="J61" s="55">
        <f t="array" ref="J61">D61+F61</f>
        <v/>
      </c>
      <c r="K61" s="55">
        <f t="array" ref="K61">E61+G61</f>
        <v/>
      </c>
      <c r="L61" s="57" t="n"/>
    </row>
    <row r="62" ht="20.1" customHeight="1" s="206">
      <c r="A62" s="38" t="inlineStr">
        <is>
          <t>d55</t>
        </is>
      </c>
      <c r="B62" s="11" t="inlineStr">
        <is>
          <t>55 years age of the deceased</t>
        </is>
      </c>
      <c r="C62" s="55" t="n">
        <v>3256</v>
      </c>
      <c r="D62" s="56" t="n">
        <v>980.720157847155</v>
      </c>
      <c r="E62" s="56" t="n">
        <v>1689.19859310439</v>
      </c>
      <c r="F62" s="56" t="n">
        <v>215.279842152845</v>
      </c>
      <c r="G62" s="56" t="n">
        <v>370.80140689561</v>
      </c>
      <c r="H62" s="55">
        <f t="array" ref="H62">E62+D62</f>
        <v/>
      </c>
      <c r="I62" s="55">
        <f t="array" ref="I62">G62+F62</f>
        <v/>
      </c>
      <c r="J62" s="55">
        <f t="array" ref="J62">D62+F62</f>
        <v/>
      </c>
      <c r="K62" s="55">
        <f t="array" ref="K62">E62+G62</f>
        <v/>
      </c>
      <c r="L62" s="57" t="n"/>
    </row>
    <row r="63" ht="20.1" customHeight="1" s="206">
      <c r="A63" s="38" t="inlineStr">
        <is>
          <t>d56</t>
        </is>
      </c>
      <c r="B63" s="11" t="inlineStr">
        <is>
          <t>56 years age of the deceased</t>
        </is>
      </c>
      <c r="C63" s="55" t="n">
        <v>3647</v>
      </c>
      <c r="D63" s="56" t="n">
        <v>1117.66149214516</v>
      </c>
      <c r="E63" s="56" t="n">
        <v>1872.87854125419</v>
      </c>
      <c r="F63" s="56" t="n">
        <v>245.338507854836</v>
      </c>
      <c r="G63" s="56" t="n">
        <v>411.121458745814</v>
      </c>
      <c r="H63" s="55">
        <f t="array" ref="H63">E63+D63</f>
        <v/>
      </c>
      <c r="I63" s="55">
        <f t="array" ref="I63">G63+F63</f>
        <v/>
      </c>
      <c r="J63" s="55">
        <f t="array" ref="J63">D63+F63</f>
        <v/>
      </c>
      <c r="K63" s="55">
        <f t="array" ref="K63">E63+G63</f>
        <v/>
      </c>
      <c r="L63" s="57" t="n"/>
    </row>
    <row r="64" ht="20.1" customHeight="1" s="206">
      <c r="A64" s="38" t="inlineStr">
        <is>
          <t>d57</t>
        </is>
      </c>
      <c r="B64" s="11" t="inlineStr">
        <is>
          <t>57 years age of the deceased</t>
        </is>
      </c>
      <c r="C64" s="55" t="n">
        <v>3859</v>
      </c>
      <c r="D64" s="56" t="n">
        <v>1277.56020323197</v>
      </c>
      <c r="E64" s="56" t="n">
        <v>1886.82208386162</v>
      </c>
      <c r="F64" s="56" t="n">
        <v>280.439796768029</v>
      </c>
      <c r="G64" s="56" t="n">
        <v>414.177916138381</v>
      </c>
      <c r="H64" s="55">
        <f t="array" ref="H64">E64+D64</f>
        <v/>
      </c>
      <c r="I64" s="55">
        <f t="array" ref="I64">G64+F64</f>
        <v/>
      </c>
      <c r="J64" s="55">
        <f t="array" ref="J64">D64+F64</f>
        <v/>
      </c>
      <c r="K64" s="55">
        <f t="array" ref="K64">E64+G64</f>
        <v/>
      </c>
      <c r="L64" s="57" t="n"/>
    </row>
    <row r="65" ht="20.1" customHeight="1" s="206">
      <c r="A65" s="38" t="inlineStr">
        <is>
          <t>d58</t>
        </is>
      </c>
      <c r="B65" s="11" t="inlineStr">
        <is>
          <t>58 years age of the deceased</t>
        </is>
      </c>
      <c r="C65" s="55" t="n">
        <v>4257</v>
      </c>
      <c r="D65" s="56" t="n">
        <v>1366.12029186083</v>
      </c>
      <c r="E65" s="56" t="n">
        <v>2124.61798751305</v>
      </c>
      <c r="F65" s="56" t="n">
        <v>299.879708139168</v>
      </c>
      <c r="G65" s="56" t="n">
        <v>466.38201248695</v>
      </c>
      <c r="H65" s="55">
        <f t="array" ref="H65">E65+D65</f>
        <v/>
      </c>
      <c r="I65" s="55">
        <f t="array" ref="I65">G65+F65</f>
        <v/>
      </c>
      <c r="J65" s="55">
        <f t="array" ref="J65">D65+F65</f>
        <v/>
      </c>
      <c r="K65" s="55">
        <f t="array" ref="K65">E65+G65</f>
        <v/>
      </c>
      <c r="L65" s="57" t="n"/>
    </row>
    <row r="66" ht="20.1" customHeight="1" s="206">
      <c r="A66" s="38" t="inlineStr">
        <is>
          <t>d59</t>
        </is>
      </c>
      <c r="B66" s="11" t="inlineStr">
        <is>
          <t>59 years age of the deceased</t>
        </is>
      </c>
      <c r="C66" s="55" t="n">
        <v>4681</v>
      </c>
      <c r="D66" s="56" t="n">
        <v>1521.92040994379</v>
      </c>
      <c r="E66" s="56" t="n">
        <v>2316.4998699538</v>
      </c>
      <c r="F66" s="56" t="n">
        <v>334.079590056213</v>
      </c>
      <c r="G66" s="56" t="n">
        <v>508.500130046195</v>
      </c>
      <c r="H66" s="55">
        <f t="array" ref="H66">E66+D66</f>
        <v/>
      </c>
      <c r="I66" s="55">
        <f t="array" ref="I66">G66+F66</f>
        <v/>
      </c>
      <c r="J66" s="55">
        <f t="array" ref="J66">D66+F66</f>
        <v/>
      </c>
      <c r="K66" s="55">
        <f t="array" ref="K66">E66+G66</f>
        <v/>
      </c>
      <c r="L66" s="57" t="n"/>
    </row>
    <row r="67" ht="20.1" customHeight="1" s="206">
      <c r="A67" s="38" t="inlineStr">
        <is>
          <t>d60</t>
        </is>
      </c>
      <c r="B67" s="11" t="inlineStr">
        <is>
          <t>60 years age of the deceased</t>
        </is>
      </c>
      <c r="C67" s="55" t="n">
        <v>5009.99999999999</v>
      </c>
      <c r="D67" s="56" t="n">
        <v>1626.87858530759</v>
      </c>
      <c r="E67" s="56" t="n">
        <v>2481.32351390582</v>
      </c>
      <c r="F67" s="56" t="n">
        <v>357.121414692408</v>
      </c>
      <c r="G67" s="56" t="n">
        <v>544.676486094176</v>
      </c>
      <c r="H67" s="55">
        <f t="array" ref="H67">E67+D67</f>
        <v/>
      </c>
      <c r="I67" s="55">
        <f t="array" ref="I67">G67+F67</f>
        <v/>
      </c>
      <c r="J67" s="55">
        <f t="array" ref="J67">D67+F67</f>
        <v/>
      </c>
      <c r="K67" s="55">
        <f t="array" ref="K67">E67+G67</f>
        <v/>
      </c>
      <c r="L67" s="57" t="n"/>
    </row>
    <row r="68" ht="20.1" customHeight="1" s="206">
      <c r="A68" s="38" t="inlineStr">
        <is>
          <t>d61</t>
        </is>
      </c>
      <c r="B68" s="11" t="inlineStr">
        <is>
          <t>61 years age of the deceased</t>
        </is>
      </c>
      <c r="C68" s="55" t="n">
        <v>5114</v>
      </c>
      <c r="D68" s="56" t="n">
        <v>1599.81991162168</v>
      </c>
      <c r="E68" s="56" t="n">
        <v>2593.66</v>
      </c>
      <c r="F68" s="56" t="n">
        <v>351.180088378319</v>
      </c>
      <c r="G68" s="56" t="n">
        <v>569.34</v>
      </c>
      <c r="H68" s="55">
        <f t="array" ref="H68">E68+D68</f>
        <v/>
      </c>
      <c r="I68" s="55">
        <f t="array" ref="I68">G68+F68</f>
        <v/>
      </c>
      <c r="J68" s="55">
        <f t="array" ref="J68">D68+F68</f>
        <v/>
      </c>
      <c r="K68" s="55">
        <f t="array" ref="K68">E68+G68</f>
        <v/>
      </c>
      <c r="L68" s="57" t="n"/>
    </row>
    <row r="69" ht="20.1" customHeight="1" s="206">
      <c r="A69" s="38" t="inlineStr">
        <is>
          <t>d62</t>
        </is>
      </c>
      <c r="B69" s="11" t="inlineStr">
        <is>
          <t>62 years age of the deceased</t>
        </is>
      </c>
      <c r="C69" s="55" t="n">
        <v>5531.99999999999</v>
      </c>
      <c r="D69" s="56" t="n">
        <v>1876.16139837849</v>
      </c>
      <c r="E69" s="56" t="n">
        <v>2660.07968174393</v>
      </c>
      <c r="F69" s="56" t="n">
        <v>411.838601621506</v>
      </c>
      <c r="G69" s="56" t="n">
        <v>583.920318256067</v>
      </c>
      <c r="H69" s="55">
        <f t="array" ref="H69">E69+D69</f>
        <v/>
      </c>
      <c r="I69" s="55">
        <f t="array" ref="I69">G69+F69</f>
        <v/>
      </c>
      <c r="J69" s="55">
        <f t="array" ref="J69">D69+F69</f>
        <v/>
      </c>
      <c r="K69" s="55">
        <f t="array" ref="K69">E69+G69</f>
        <v/>
      </c>
      <c r="L69" s="57" t="n"/>
    </row>
    <row r="70" ht="20.1" customHeight="1" s="206">
      <c r="A70" s="38" t="inlineStr">
        <is>
          <t>d63</t>
        </is>
      </c>
      <c r="B70" s="11" t="inlineStr">
        <is>
          <t>63 years age of the deceased</t>
        </is>
      </c>
      <c r="C70" s="55" t="n">
        <v>5991</v>
      </c>
      <c r="D70" s="56" t="n">
        <v>2039.33988174346</v>
      </c>
      <c r="E70" s="56" t="n">
        <v>2873.27965097168</v>
      </c>
      <c r="F70" s="56" t="n">
        <v>447.660118256536</v>
      </c>
      <c r="G70" s="56" t="n">
        <v>630.720349028319</v>
      </c>
      <c r="H70" s="55">
        <f t="array" ref="H70">E70+D70</f>
        <v/>
      </c>
      <c r="I70" s="55">
        <f t="array" ref="I70">G70+F70</f>
        <v/>
      </c>
      <c r="J70" s="55">
        <f t="array" ref="J70">D70+F70</f>
        <v/>
      </c>
      <c r="K70" s="55">
        <f t="array" ref="K70">E70+G70</f>
        <v/>
      </c>
      <c r="L70" s="57" t="n"/>
    </row>
    <row r="71" ht="20.1" customHeight="1" s="206">
      <c r="A71" s="38" t="inlineStr">
        <is>
          <t>d64</t>
        </is>
      </c>
      <c r="B71" s="11" t="inlineStr">
        <is>
          <t>64 years age of the deceased</t>
        </is>
      </c>
      <c r="C71" s="55" t="n">
        <v>6190.00000000001</v>
      </c>
      <c r="D71" s="56" t="n">
        <v>2095.09975177426</v>
      </c>
      <c r="E71" s="56" t="n">
        <v>2980.69814687365</v>
      </c>
      <c r="F71" s="56" t="n">
        <v>459.900248225745</v>
      </c>
      <c r="G71" s="56" t="n">
        <v>654.301853126354</v>
      </c>
      <c r="H71" s="55">
        <f t="array" ref="H71">E71+D71</f>
        <v/>
      </c>
      <c r="I71" s="55">
        <f t="array" ref="I71">G71+F71</f>
        <v/>
      </c>
      <c r="J71" s="55">
        <f t="array" ref="J71">D71+F71</f>
        <v/>
      </c>
      <c r="K71" s="55">
        <f t="array" ref="K71">E71+G71</f>
        <v/>
      </c>
      <c r="L71" s="57" t="n"/>
    </row>
    <row r="72" ht="20.1" customHeight="1" s="206">
      <c r="A72" s="38" t="inlineStr">
        <is>
          <t>d65</t>
        </is>
      </c>
      <c r="B72" s="11" t="inlineStr">
        <is>
          <t>65 years age of the deceased</t>
        </is>
      </c>
      <c r="C72" s="55" t="n">
        <v>6467</v>
      </c>
      <c r="D72" s="56" t="n">
        <v>2184.48</v>
      </c>
      <c r="E72" s="56" t="n">
        <v>3118.46280297766</v>
      </c>
      <c r="F72" s="56" t="n">
        <v>479.52</v>
      </c>
      <c r="G72" s="56" t="n">
        <v>684.537197022343</v>
      </c>
      <c r="H72" s="55">
        <f t="array" ref="H72">E72+D72</f>
        <v/>
      </c>
      <c r="I72" s="55">
        <f t="array" ref="I72">G72+F72</f>
        <v/>
      </c>
      <c r="J72" s="55">
        <f t="array" ref="J72">D72+F72</f>
        <v/>
      </c>
      <c r="K72" s="55">
        <f t="array" ref="K72">E72+G72</f>
        <v/>
      </c>
      <c r="L72" s="57" t="n"/>
    </row>
    <row r="73" ht="20.1" customHeight="1" s="206">
      <c r="A73" s="38" t="inlineStr">
        <is>
          <t>d66</t>
        </is>
      </c>
      <c r="B73" s="11" t="inlineStr">
        <is>
          <t>66 years age of the deceased</t>
        </is>
      </c>
      <c r="C73" s="55" t="n">
        <v>6779</v>
      </c>
      <c r="D73" s="56" t="n">
        <v>2281.23842712164</v>
      </c>
      <c r="E73" s="56" t="n">
        <v>3277.54173966029</v>
      </c>
      <c r="F73" s="56" t="n">
        <v>500.761572878359</v>
      </c>
      <c r="G73" s="56" t="n">
        <v>719.458260339706</v>
      </c>
      <c r="H73" s="55">
        <f t="array" ref="H73">E73+D73</f>
        <v/>
      </c>
      <c r="I73" s="55">
        <f t="array" ref="I73">G73+F73</f>
        <v/>
      </c>
      <c r="J73" s="55">
        <f t="array" ref="J73">D73+F73</f>
        <v/>
      </c>
      <c r="K73" s="55">
        <f t="array" ref="K73">E73+G73</f>
        <v/>
      </c>
      <c r="L73" s="57" t="n"/>
    </row>
    <row r="74" ht="20.1" customHeight="1" s="206">
      <c r="A74" s="38" t="inlineStr">
        <is>
          <t>d67</t>
        </is>
      </c>
      <c r="B74" s="11" t="inlineStr">
        <is>
          <t>67 years age of the deceased</t>
        </is>
      </c>
      <c r="C74" s="55" t="n">
        <v>7475.00000000001</v>
      </c>
      <c r="D74" s="56" t="n">
        <v>2512.4816150116</v>
      </c>
      <c r="E74" s="56" t="n">
        <v>3617.02248059836</v>
      </c>
      <c r="F74" s="56" t="n">
        <v>551.518384988404</v>
      </c>
      <c r="G74" s="56" t="n">
        <v>793.977519401642</v>
      </c>
      <c r="H74" s="55">
        <f t="array" ref="H74">E74+D74</f>
        <v/>
      </c>
      <c r="I74" s="55">
        <f t="array" ref="I74">G74+F74</f>
        <v/>
      </c>
      <c r="J74" s="55">
        <f t="array" ref="J74">D74+F74</f>
        <v/>
      </c>
      <c r="K74" s="55">
        <f t="array" ref="K74">E74+G74</f>
        <v/>
      </c>
      <c r="L74" s="57" t="n"/>
    </row>
    <row r="75" ht="20.1" customHeight="1" s="206">
      <c r="A75" s="38" t="inlineStr">
        <is>
          <t>d68</t>
        </is>
      </c>
      <c r="B75" s="11" t="inlineStr">
        <is>
          <t>68 years age of the deceased</t>
        </is>
      </c>
      <c r="C75" s="55" t="n">
        <v>7634.00000000001</v>
      </c>
      <c r="D75" s="56" t="n">
        <v>2593.6566401997</v>
      </c>
      <c r="E75" s="56" t="n">
        <v>3666.22331461876</v>
      </c>
      <c r="F75" s="56" t="n">
        <v>569.343359800303</v>
      </c>
      <c r="G75" s="56" t="n">
        <v>804.776685381244</v>
      </c>
      <c r="H75" s="55">
        <f t="array" ref="H75">E75+D75</f>
        <v/>
      </c>
      <c r="I75" s="55">
        <f t="array" ref="I75">G75+F75</f>
        <v/>
      </c>
      <c r="J75" s="55">
        <f t="array" ref="J75">D75+F75</f>
        <v/>
      </c>
      <c r="K75" s="55">
        <f t="array" ref="K75">E75+G75</f>
        <v/>
      </c>
      <c r="L75" s="57" t="n"/>
    </row>
    <row r="76" ht="20.1" customHeight="1" s="206">
      <c r="A76" s="38" t="inlineStr">
        <is>
          <t>d69</t>
        </is>
      </c>
      <c r="B76" s="11" t="inlineStr">
        <is>
          <t>69 years age of the deceased</t>
        </is>
      </c>
      <c r="C76" s="55" t="n">
        <v>8209</v>
      </c>
      <c r="D76" s="56" t="n">
        <v>2721.57710822379</v>
      </c>
      <c r="E76" s="56" t="n">
        <v>4009.80429405652</v>
      </c>
      <c r="F76" s="56" t="n">
        <v>597.4228917762121</v>
      </c>
      <c r="G76" s="56" t="n">
        <v>880.1957059434779</v>
      </c>
      <c r="H76" s="55">
        <f t="array" ref="H76">E76+D76</f>
        <v/>
      </c>
      <c r="I76" s="55">
        <f t="array" ref="I76">G76+F76</f>
        <v/>
      </c>
      <c r="J76" s="55">
        <f t="array" ref="J76">D76+F76</f>
        <v/>
      </c>
      <c r="K76" s="55">
        <f t="array" ref="K76">E76+G76</f>
        <v/>
      </c>
      <c r="L76" s="57" t="n"/>
    </row>
    <row r="77" ht="20.1" customHeight="1" s="206">
      <c r="A77" s="38" t="inlineStr">
        <is>
          <t>d70</t>
        </is>
      </c>
      <c r="B77" s="11" t="inlineStr">
        <is>
          <t>70 years age of the deceased</t>
        </is>
      </c>
      <c r="C77" s="55" t="n">
        <v>8621</v>
      </c>
      <c r="D77" s="56" t="n">
        <v>2987.25918064404</v>
      </c>
      <c r="E77" s="56" t="n">
        <v>4081.96091125708</v>
      </c>
      <c r="F77" s="56" t="n">
        <v>655.740819355963</v>
      </c>
      <c r="G77" s="56" t="n">
        <v>896.039088742918</v>
      </c>
      <c r="H77" s="55">
        <f t="array" ref="H77">E77+D77</f>
        <v/>
      </c>
      <c r="I77" s="55">
        <f t="array" ref="I77">G77+F77</f>
        <v/>
      </c>
      <c r="J77" s="55">
        <f t="array" ref="J77">D77+F77</f>
        <v/>
      </c>
      <c r="K77" s="55">
        <f t="array" ref="K77">E77+G77</f>
        <v/>
      </c>
      <c r="L77" s="57" t="n"/>
    </row>
    <row r="78" ht="20.1" customHeight="1" s="206">
      <c r="A78" s="38" t="inlineStr">
        <is>
          <t>d71</t>
        </is>
      </c>
      <c r="B78" s="11" t="inlineStr">
        <is>
          <t>71 years age of the deceased</t>
        </is>
      </c>
      <c r="C78" s="55" t="n">
        <v>9151.999999999991</v>
      </c>
      <c r="D78" s="56" t="n">
        <v>3202.09576039473</v>
      </c>
      <c r="E78" s="56" t="n">
        <v>4302.54684457199</v>
      </c>
      <c r="F78" s="56" t="n">
        <v>702.904239605267</v>
      </c>
      <c r="G78" s="56" t="n">
        <v>944.453155428007</v>
      </c>
      <c r="H78" s="55">
        <f t="array" ref="H78">E78+D78</f>
        <v/>
      </c>
      <c r="I78" s="55">
        <f t="array" ref="I78">G78+F78</f>
        <v/>
      </c>
      <c r="J78" s="55">
        <f t="array" ref="J78">D78+F78</f>
        <v/>
      </c>
      <c r="K78" s="55">
        <f t="array" ref="K78">E78+G78</f>
        <v/>
      </c>
      <c r="L78" s="57" t="n"/>
    </row>
    <row r="79" ht="20.1" customHeight="1" s="206">
      <c r="A79" s="38" t="inlineStr">
        <is>
          <t>d72</t>
        </is>
      </c>
      <c r="B79" s="11" t="inlineStr">
        <is>
          <t>72 years age of the deceased</t>
        </is>
      </c>
      <c r="C79" s="55" t="n">
        <v>9842</v>
      </c>
      <c r="D79" s="56" t="n">
        <v>3416.94624694405</v>
      </c>
      <c r="E79" s="56" t="n">
        <v>4653.49424817722</v>
      </c>
      <c r="F79" s="56" t="n">
        <v>750.0537530559531</v>
      </c>
      <c r="G79" s="56" t="n">
        <v>1021.50575182278</v>
      </c>
      <c r="H79" s="55">
        <f t="array" ref="H79">E79+D79</f>
        <v/>
      </c>
      <c r="I79" s="55">
        <f t="array" ref="I79">G79+F79</f>
        <v/>
      </c>
      <c r="J79" s="55">
        <f t="array" ref="J79">D79+F79</f>
        <v/>
      </c>
      <c r="K79" s="55">
        <f t="array" ref="K79">E79+G79</f>
        <v/>
      </c>
      <c r="L79" s="57" t="n"/>
    </row>
    <row r="80" ht="20.1" customHeight="1" s="206">
      <c r="A80" s="38" t="inlineStr">
        <is>
          <t>d73</t>
        </is>
      </c>
      <c r="B80" s="11" t="inlineStr">
        <is>
          <t>73 years age of the deceased</t>
        </is>
      </c>
      <c r="C80" s="55" t="n">
        <v>10341</v>
      </c>
      <c r="D80" s="56" t="n">
        <v>3559.6247621907</v>
      </c>
      <c r="E80" s="56" t="n">
        <v>4919.99503726821</v>
      </c>
      <c r="F80" s="56" t="n">
        <v>781.375237809296</v>
      </c>
      <c r="G80" s="56" t="n">
        <v>1080.00496273179</v>
      </c>
      <c r="H80" s="55">
        <f t="array" ref="H80">E80+D80</f>
        <v/>
      </c>
      <c r="I80" s="55">
        <f t="array" ref="I80">G80+F80</f>
        <v/>
      </c>
      <c r="J80" s="55">
        <f t="array" ref="J80">D80+F80</f>
        <v/>
      </c>
      <c r="K80" s="55">
        <f t="array" ref="K80">E80+G80</f>
        <v/>
      </c>
      <c r="L80" s="57" t="n"/>
    </row>
    <row r="81" ht="20.1" customHeight="1" s="206">
      <c r="A81" s="38" t="inlineStr">
        <is>
          <t>d74</t>
        </is>
      </c>
      <c r="B81" s="11" t="inlineStr">
        <is>
          <t>74 years age of the deceased</t>
        </is>
      </c>
      <c r="C81" s="55" t="n">
        <v>11497</v>
      </c>
      <c r="D81" s="56" t="n">
        <v>4006.51723493959</v>
      </c>
      <c r="E81" s="56" t="n">
        <v>5421.01833472925</v>
      </c>
      <c r="F81" s="56" t="n">
        <v>879.482765060411</v>
      </c>
      <c r="G81" s="56" t="n">
        <v>1189.98166527075</v>
      </c>
      <c r="H81" s="55">
        <f t="array" ref="H81">E81+D81</f>
        <v/>
      </c>
      <c r="I81" s="55">
        <f t="array" ref="I81">G81+F81</f>
        <v/>
      </c>
      <c r="J81" s="55">
        <f t="array" ref="J81">D81+F81</f>
        <v/>
      </c>
      <c r="K81" s="55">
        <f t="array" ref="K81">E81+G81</f>
        <v/>
      </c>
      <c r="L81" s="57" t="n"/>
    </row>
    <row r="82" ht="20.1" customHeight="1" s="206">
      <c r="A82" s="38" t="inlineStr">
        <is>
          <t>d75</t>
        </is>
      </c>
      <c r="B82" s="11" t="inlineStr">
        <is>
          <t>75 years age of the deceased</t>
        </is>
      </c>
      <c r="C82" s="55" t="n">
        <v>12799</v>
      </c>
      <c r="D82" s="56" t="n">
        <v>4577.23296617204</v>
      </c>
      <c r="E82" s="56" t="n">
        <v>5917.93955759346</v>
      </c>
      <c r="F82" s="56" t="n">
        <v>1004.76703382796</v>
      </c>
      <c r="G82" s="56" t="n">
        <v>1299.06044240654</v>
      </c>
      <c r="H82" s="55">
        <f t="array" ref="H82">E82+D82</f>
        <v/>
      </c>
      <c r="I82" s="55">
        <f t="array" ref="I82">G82+F82</f>
        <v/>
      </c>
      <c r="J82" s="55">
        <f t="array" ref="J82">D82+F82</f>
        <v/>
      </c>
      <c r="K82" s="55">
        <f t="array" ref="K82">E82+G82</f>
        <v/>
      </c>
      <c r="L82" s="57" t="n"/>
    </row>
    <row r="83" ht="20.1" customHeight="1" s="206">
      <c r="A83" s="38" t="inlineStr">
        <is>
          <t>d76</t>
        </is>
      </c>
      <c r="B83" s="11" t="inlineStr">
        <is>
          <t>76 years age of the deceased</t>
        </is>
      </c>
      <c r="C83" s="55" t="n">
        <v>14239</v>
      </c>
      <c r="D83" s="56" t="n">
        <v>4985.59220273431</v>
      </c>
      <c r="E83" s="56" t="n">
        <v>6690.38998142017</v>
      </c>
      <c r="F83" s="56" t="n">
        <v>1094.40779726569</v>
      </c>
      <c r="G83" s="56" t="n">
        <v>1468.61001857983</v>
      </c>
      <c r="H83" s="55">
        <f t="array" ref="H83">E83+D83</f>
        <v/>
      </c>
      <c r="I83" s="55">
        <f t="array" ref="I83">G83+F83</f>
        <v/>
      </c>
      <c r="J83" s="55">
        <f t="array" ref="J83">D83+F83</f>
        <v/>
      </c>
      <c r="K83" s="55">
        <f t="array" ref="K83">E83+G83</f>
        <v/>
      </c>
      <c r="L83" s="57" t="n"/>
    </row>
    <row r="84" ht="20.1" customHeight="1" s="206">
      <c r="A84" s="38" t="inlineStr">
        <is>
          <t>d77</t>
        </is>
      </c>
      <c r="B84" s="11" t="inlineStr">
        <is>
          <t>77 years age of the deceased</t>
        </is>
      </c>
      <c r="C84" s="55" t="n">
        <v>16306</v>
      </c>
      <c r="D84" s="56" t="n">
        <v>5904.01373837026</v>
      </c>
      <c r="E84" s="56" t="n">
        <v>7466.9170356143</v>
      </c>
      <c r="F84" s="56" t="n">
        <v>1295.98626162974</v>
      </c>
      <c r="G84" s="56" t="n">
        <v>1639.0829643857</v>
      </c>
      <c r="H84" s="55">
        <f t="array" ref="H84">E84+D84</f>
        <v/>
      </c>
      <c r="I84" s="55">
        <f t="array" ref="I84">G84+F84</f>
        <v/>
      </c>
      <c r="J84" s="55">
        <f t="array" ref="J84">D84+F84</f>
        <v/>
      </c>
      <c r="K84" s="55">
        <f t="array" ref="K84">E84+G84</f>
        <v/>
      </c>
      <c r="L84" s="57" t="n"/>
    </row>
    <row r="85" ht="20.1" customHeight="1" s="206">
      <c r="A85" s="38" t="inlineStr">
        <is>
          <t>d78</t>
        </is>
      </c>
      <c r="B85" s="11" t="inlineStr">
        <is>
          <t>78 years age of the deceased</t>
        </is>
      </c>
      <c r="C85" s="55" t="n">
        <v>18799</v>
      </c>
      <c r="D85" s="56" t="n">
        <v>6785.50536754823</v>
      </c>
      <c r="E85" s="56" t="n">
        <v>8629.67118814368</v>
      </c>
      <c r="F85" s="56" t="n">
        <v>1489.49463245177</v>
      </c>
      <c r="G85" s="56" t="n">
        <v>1894.32881185632</v>
      </c>
      <c r="H85" s="55">
        <f t="array" ref="H85">E85+D85</f>
        <v/>
      </c>
      <c r="I85" s="55">
        <f t="array" ref="I85">G85+F85</f>
        <v/>
      </c>
      <c r="J85" s="55">
        <f t="array" ref="J85">D85+F85</f>
        <v/>
      </c>
      <c r="K85" s="55">
        <f t="array" ref="K85">E85+G85</f>
        <v/>
      </c>
      <c r="L85" s="57" t="n"/>
    </row>
    <row r="86" ht="20.1" customHeight="1" s="206">
      <c r="A86" s="38" t="inlineStr">
        <is>
          <t>d79</t>
        </is>
      </c>
      <c r="B86" s="11" t="inlineStr">
        <is>
          <t>79 years age of the deceased</t>
        </is>
      </c>
      <c r="C86" s="55" t="n">
        <v>16560</v>
      </c>
      <c r="D86" s="56" t="n">
        <v>6170.5023265161</v>
      </c>
      <c r="E86" s="56" t="n">
        <v>7408.69088507871</v>
      </c>
      <c r="F86" s="56" t="n">
        <v>1354.4976734839</v>
      </c>
      <c r="G86" s="56" t="n">
        <v>1626.30911492129</v>
      </c>
      <c r="H86" s="55">
        <f t="array" ref="H86">E86+D86</f>
        <v/>
      </c>
      <c r="I86" s="55">
        <f t="array" ref="I86">G86+F86</f>
        <v/>
      </c>
      <c r="J86" s="55">
        <f t="array" ref="J86">D86+F86</f>
        <v/>
      </c>
      <c r="K86" s="55">
        <f t="array" ref="K86">E86+G86</f>
        <v/>
      </c>
      <c r="L86" s="57" t="n"/>
    </row>
    <row r="87" ht="20.1" customHeight="1" s="206">
      <c r="A87" s="38" t="inlineStr">
        <is>
          <t>d80</t>
        </is>
      </c>
      <c r="B87" s="11" t="inlineStr">
        <is>
          <t>80 years age of the deceased</t>
        </is>
      </c>
      <c r="C87" s="55" t="n">
        <v>17686</v>
      </c>
      <c r="D87" s="56" t="n">
        <v>6710.86879987683</v>
      </c>
      <c r="E87" s="56" t="n">
        <v>7791.64197261753</v>
      </c>
      <c r="F87" s="56" t="n">
        <v>1473.13120012317</v>
      </c>
      <c r="G87" s="56" t="n">
        <v>1710.35802738247</v>
      </c>
      <c r="H87" s="55">
        <f t="array" ref="H87">E87+D87</f>
        <v/>
      </c>
      <c r="I87" s="55">
        <f t="array" ref="I87">G87+F87</f>
        <v/>
      </c>
      <c r="J87" s="55">
        <f t="array" ref="J87">D87+F87</f>
        <v/>
      </c>
      <c r="K87" s="55">
        <f t="array" ref="K87">E87+G87</f>
        <v/>
      </c>
      <c r="L87" s="57" t="n"/>
    </row>
    <row r="88" ht="20.1" customHeight="1" s="206">
      <c r="A88" s="38" t="inlineStr">
        <is>
          <t>d81</t>
        </is>
      </c>
      <c r="B88" s="11" t="inlineStr">
        <is>
          <t>81 years age of the deceased</t>
        </is>
      </c>
      <c r="C88" s="55" t="n">
        <v>18880</v>
      </c>
      <c r="D88" s="56" t="n">
        <v>7183.20164331138</v>
      </c>
      <c r="E88" s="56" t="n">
        <v>8298.41413588797</v>
      </c>
      <c r="F88" s="56" t="n">
        <v>1576.79835668862</v>
      </c>
      <c r="G88" s="56" t="n">
        <v>1821.58586411203</v>
      </c>
      <c r="H88" s="55">
        <f t="array" ref="H88">E88+D88</f>
        <v/>
      </c>
      <c r="I88" s="55">
        <f t="array" ref="I88">G88+F88</f>
        <v/>
      </c>
      <c r="J88" s="55">
        <f t="array" ref="J88">D88+F88</f>
        <v/>
      </c>
      <c r="K88" s="55">
        <f t="array" ref="K88">E88+G88</f>
        <v/>
      </c>
      <c r="L88" s="57" t="n"/>
    </row>
    <row r="89" ht="20.1" customHeight="1" s="206">
      <c r="A89" s="38" t="inlineStr">
        <is>
          <t>d82</t>
        </is>
      </c>
      <c r="B89" s="11" t="inlineStr">
        <is>
          <t>82 years age of the deceased</t>
        </is>
      </c>
      <c r="C89" s="55" t="n">
        <v>18747</v>
      </c>
      <c r="D89" s="56" t="n">
        <v>7334.08251982702</v>
      </c>
      <c r="E89" s="56" t="n">
        <v>8038.46</v>
      </c>
      <c r="F89" s="56" t="n">
        <v>1609.91748017298</v>
      </c>
      <c r="G89" s="56" t="n">
        <v>1764.54</v>
      </c>
      <c r="H89" s="55">
        <f t="array" ref="H89">E89+D89</f>
        <v/>
      </c>
      <c r="I89" s="55">
        <f t="array" ref="I89">G89+F89</f>
        <v/>
      </c>
      <c r="J89" s="55">
        <f t="array" ref="J89">D89+F89</f>
        <v/>
      </c>
      <c r="K89" s="55">
        <f t="array" ref="K89">E89+G89</f>
        <v/>
      </c>
      <c r="L89" s="57" t="n"/>
    </row>
    <row r="90" ht="20.1" customHeight="1" s="206">
      <c r="A90" s="38" t="inlineStr">
        <is>
          <t>d83</t>
        </is>
      </c>
      <c r="B90" s="11" t="inlineStr">
        <is>
          <t>83 years age of the deceased</t>
        </is>
      </c>
      <c r="C90" s="55" t="n">
        <v>18214</v>
      </c>
      <c r="D90" s="56" t="n">
        <v>7249.60627813131</v>
      </c>
      <c r="E90" s="56" t="n">
        <v>7685.8845475123</v>
      </c>
      <c r="F90" s="56" t="n">
        <v>1591.39372186869</v>
      </c>
      <c r="G90" s="56" t="n">
        <v>1687.1154524877</v>
      </c>
      <c r="H90" s="55">
        <f t="array" ref="H90">E90+D90</f>
        <v/>
      </c>
      <c r="I90" s="55">
        <f t="array" ref="I90">G90+F90</f>
        <v/>
      </c>
      <c r="J90" s="55">
        <f t="array" ref="J90">D90+F90</f>
        <v/>
      </c>
      <c r="K90" s="55">
        <f t="array" ref="K90">E90+G90</f>
        <v/>
      </c>
      <c r="L90" s="57" t="n"/>
    </row>
    <row r="91" ht="20.1" customHeight="1" s="206">
      <c r="A91" s="38" t="inlineStr">
        <is>
          <t>d84</t>
        </is>
      </c>
      <c r="B91" s="11" t="inlineStr">
        <is>
          <t>84 years age of the deceased</t>
        </is>
      </c>
      <c r="C91" s="55" t="n">
        <v>18185</v>
      </c>
      <c r="D91" s="56" t="n">
        <v>7385.74453764578</v>
      </c>
      <c r="E91" s="56" t="n">
        <v>7525.95756990044</v>
      </c>
      <c r="F91" s="56" t="n">
        <v>1621.25546235422</v>
      </c>
      <c r="G91" s="56" t="n">
        <v>1652.04243009956</v>
      </c>
      <c r="H91" s="55">
        <f t="array" ref="H91">E91+D91</f>
        <v/>
      </c>
      <c r="I91" s="55">
        <f t="array" ref="I91">G91+F91</f>
        <v/>
      </c>
      <c r="J91" s="55">
        <f t="array" ref="J91">D91+F91</f>
        <v/>
      </c>
      <c r="K91" s="55">
        <f t="array" ref="K91">E91+G91</f>
        <v/>
      </c>
      <c r="L91" s="57" t="n"/>
    </row>
    <row r="92" ht="20.1" customHeight="1" s="206">
      <c r="A92" s="38" t="inlineStr">
        <is>
          <t>d85</t>
        </is>
      </c>
      <c r="B92" s="11" t="inlineStr">
        <is>
          <t>85 years age of the deceased</t>
        </is>
      </c>
      <c r="C92" s="55" t="n">
        <v>19833</v>
      </c>
      <c r="D92" s="56" t="n">
        <v>8088.48208290221</v>
      </c>
      <c r="E92" s="56" t="n">
        <v>8174.56443681211</v>
      </c>
      <c r="F92" s="56" t="n">
        <v>1775.51791709779</v>
      </c>
      <c r="G92" s="56" t="n">
        <v>1794.43556318789</v>
      </c>
      <c r="H92" s="55">
        <f t="array" ref="H92">E92+D92</f>
        <v/>
      </c>
      <c r="I92" s="55">
        <f t="array" ref="I92">G92+F92</f>
        <v/>
      </c>
      <c r="J92" s="55">
        <f t="array" ref="J92">D92+F92</f>
        <v/>
      </c>
      <c r="K92" s="55">
        <f t="array" ref="K92">E92+G92</f>
        <v/>
      </c>
      <c r="L92" s="57" t="n"/>
    </row>
    <row r="93" ht="20.1" customHeight="1" s="206">
      <c r="A93" s="38" t="inlineStr">
        <is>
          <t>d86</t>
        </is>
      </c>
      <c r="B93" s="11" t="inlineStr">
        <is>
          <t>86 years age of the deceased</t>
        </is>
      </c>
      <c r="C93" s="55" t="n">
        <v>20827</v>
      </c>
      <c r="D93" s="56" t="n">
        <v>8671.48788729168</v>
      </c>
      <c r="E93" s="56" t="n">
        <v>8406.66734231231</v>
      </c>
      <c r="F93" s="56" t="n">
        <v>1903.51211270832</v>
      </c>
      <c r="G93" s="56" t="n">
        <v>1845.33265768769</v>
      </c>
      <c r="H93" s="55">
        <f t="array" ref="H93">E93+D93</f>
        <v/>
      </c>
      <c r="I93" s="55">
        <f t="array" ref="I93">G93+F93</f>
        <v/>
      </c>
      <c r="J93" s="55">
        <f t="array" ref="J93">D93+F93</f>
        <v/>
      </c>
      <c r="K93" s="55">
        <f t="array" ref="K93">E93+G93</f>
        <v/>
      </c>
      <c r="L93" s="57" t="n"/>
    </row>
    <row r="94" ht="20.1" customHeight="1" s="206">
      <c r="A94" s="38" t="inlineStr">
        <is>
          <t>d87</t>
        </is>
      </c>
      <c r="B94" s="11" t="inlineStr">
        <is>
          <t>87 years age of the deceased</t>
        </is>
      </c>
      <c r="C94" s="55" t="n">
        <v>20983</v>
      </c>
      <c r="D94" s="56" t="n">
        <v>8986.42042649187</v>
      </c>
      <c r="E94" s="56" t="n">
        <v>8219.6389474762</v>
      </c>
      <c r="F94" s="56" t="n">
        <v>1972.57957350813</v>
      </c>
      <c r="G94" s="56" t="n">
        <v>1804.3610525238</v>
      </c>
      <c r="H94" s="55">
        <f t="array" ref="H94">E94+D94</f>
        <v/>
      </c>
      <c r="I94" s="55">
        <f t="array" ref="I94">G94+F94</f>
        <v/>
      </c>
      <c r="J94" s="55">
        <f t="array" ref="J94">D94+F94</f>
        <v/>
      </c>
      <c r="K94" s="55">
        <f t="array" ref="K94">E94+G94</f>
        <v/>
      </c>
      <c r="L94" s="57" t="n"/>
    </row>
    <row r="95" ht="20.1" customHeight="1" s="206">
      <c r="A95" s="38" t="inlineStr">
        <is>
          <t>d88</t>
        </is>
      </c>
      <c r="B95" s="11" t="inlineStr">
        <is>
          <t>88 years age of the deceased</t>
        </is>
      </c>
      <c r="C95" s="55" t="n">
        <v>21090</v>
      </c>
      <c r="D95" s="56" t="n">
        <v>9156.904185375241</v>
      </c>
      <c r="E95" s="56" t="n">
        <v>8136.85760923251</v>
      </c>
      <c r="F95" s="56" t="n">
        <v>2010.09581462476</v>
      </c>
      <c r="G95" s="56" t="n">
        <v>1786.14239076749</v>
      </c>
      <c r="H95" s="55">
        <f t="array" ref="H95">E95+D95</f>
        <v/>
      </c>
      <c r="I95" s="55">
        <f t="array" ref="I95">G95+F95</f>
        <v/>
      </c>
      <c r="J95" s="55">
        <f t="array" ref="J95">D95+F95</f>
        <v/>
      </c>
      <c r="K95" s="55">
        <f t="array" ref="K95">E95+G95</f>
        <v/>
      </c>
      <c r="L95" s="57" t="n"/>
    </row>
    <row r="96" ht="20.1" customHeight="1" s="206">
      <c r="A96" s="38" t="inlineStr">
        <is>
          <t>d89</t>
        </is>
      </c>
      <c r="B96" s="11" t="inlineStr">
        <is>
          <t>89 years age of the deceased</t>
        </is>
      </c>
      <c r="C96" s="55" t="n">
        <v>20249</v>
      </c>
      <c r="D96" s="56" t="n">
        <v>8940.45596827275</v>
      </c>
      <c r="E96" s="56" t="n">
        <v>7663.74713311076</v>
      </c>
      <c r="F96" s="56" t="n">
        <v>1962.54403172725</v>
      </c>
      <c r="G96" s="56" t="n">
        <v>1682.25286688924</v>
      </c>
      <c r="H96" s="55">
        <f t="array" ref="H96">E96+D96</f>
        <v/>
      </c>
      <c r="I96" s="55">
        <f t="array" ref="I96">G96+F96</f>
        <v/>
      </c>
      <c r="J96" s="55">
        <f t="array" ref="J96">D96+F96</f>
        <v/>
      </c>
      <c r="K96" s="55">
        <f t="array" ref="K96">E96+G96</f>
        <v/>
      </c>
      <c r="L96" s="57" t="n"/>
    </row>
    <row r="97" ht="20.1" customHeight="1" s="206">
      <c r="A97" s="38" t="inlineStr">
        <is>
          <t>d90</t>
        </is>
      </c>
      <c r="B97" s="11" t="inlineStr">
        <is>
          <t>90 years age of the deceased</t>
        </is>
      </c>
      <c r="C97" s="55" t="n">
        <v>19414</v>
      </c>
      <c r="D97" s="56" t="n">
        <v>8889.568147230189</v>
      </c>
      <c r="E97" s="56" t="n">
        <v>7029.92136721546</v>
      </c>
      <c r="F97" s="56" t="n">
        <v>1951.43185276981</v>
      </c>
      <c r="G97" s="56" t="n">
        <v>1543.07863278454</v>
      </c>
      <c r="H97" s="55">
        <f t="array" ref="H97">E97+D97</f>
        <v/>
      </c>
      <c r="I97" s="55">
        <f t="array" ref="I97">G97+F97</f>
        <v/>
      </c>
      <c r="J97" s="55">
        <f t="array" ref="J97">D97+F97</f>
        <v/>
      </c>
      <c r="K97" s="55">
        <f t="array" ref="K97">E97+G97</f>
        <v/>
      </c>
      <c r="L97" s="57" t="n"/>
    </row>
    <row r="98" ht="20.1" customHeight="1" s="206">
      <c r="A98" s="38" t="inlineStr">
        <is>
          <t>d91</t>
        </is>
      </c>
      <c r="B98" s="11" t="inlineStr">
        <is>
          <t>91 years age of the deceased</t>
        </is>
      </c>
      <c r="C98" s="55" t="n">
        <v>17733</v>
      </c>
      <c r="D98" s="56" t="n">
        <v>8381.95730744641</v>
      </c>
      <c r="E98" s="56" t="n">
        <v>6159.07471997086</v>
      </c>
      <c r="F98" s="56" t="n">
        <v>1840.04269255359</v>
      </c>
      <c r="G98" s="56" t="n">
        <v>1351.92528002914</v>
      </c>
      <c r="H98" s="55">
        <f t="array" ref="H98">E98+D98</f>
        <v/>
      </c>
      <c r="I98" s="55">
        <f t="array" ref="I98">G98+F98</f>
        <v/>
      </c>
      <c r="J98" s="55">
        <f t="array" ref="J98">D98+F98</f>
        <v/>
      </c>
      <c r="K98" s="55">
        <f t="array" ref="K98">E98+G98</f>
        <v/>
      </c>
      <c r="L98" s="57" t="n"/>
    </row>
    <row r="99" ht="20.1" customHeight="1" s="206">
      <c r="A99" s="38" t="inlineStr">
        <is>
          <t>d92</t>
        </is>
      </c>
      <c r="B99" s="11" t="inlineStr">
        <is>
          <t>92 years age of the deceased</t>
        </is>
      </c>
      <c r="C99" s="55" t="n">
        <v>16600</v>
      </c>
      <c r="D99" s="56" t="n">
        <v>8036.79012345679</v>
      </c>
      <c r="E99" s="56" t="n">
        <v>5575.21457020988</v>
      </c>
      <c r="F99" s="56" t="n">
        <v>1764.20987654321</v>
      </c>
      <c r="G99" s="56" t="n">
        <v>1223.78542979012</v>
      </c>
      <c r="H99" s="55">
        <f t="array" ref="H99">E99+D99</f>
        <v/>
      </c>
      <c r="I99" s="55">
        <f t="array" ref="I99">G99+F99</f>
        <v/>
      </c>
      <c r="J99" s="55">
        <f t="array" ref="J99">D99+F99</f>
        <v/>
      </c>
      <c r="K99" s="55">
        <f t="array" ref="K99">E99+G99</f>
        <v/>
      </c>
      <c r="L99" s="57" t="n"/>
    </row>
    <row r="100" ht="20.1" customHeight="1" s="206">
      <c r="A100" s="38" t="inlineStr">
        <is>
          <t>d93</t>
        </is>
      </c>
      <c r="B100" s="11" t="inlineStr">
        <is>
          <t>93 years age of the deceased</t>
        </is>
      </c>
      <c r="C100" s="55" t="n">
        <v>15015</v>
      </c>
      <c r="D100" s="56" t="n">
        <v>7547.27306300874</v>
      </c>
      <c r="E100" s="56" t="n">
        <v>4765.02858409041</v>
      </c>
      <c r="F100" s="56" t="n">
        <v>1656.72693699126</v>
      </c>
      <c r="G100" s="56" t="n">
        <v>1045.97141590959</v>
      </c>
      <c r="H100" s="55">
        <f t="array" ref="H100">E100+D100</f>
        <v/>
      </c>
      <c r="I100" s="55">
        <f t="array" ref="I100">G100+F100</f>
        <v/>
      </c>
      <c r="J100" s="55">
        <f t="array" ref="J100">D100+F100</f>
        <v/>
      </c>
      <c r="K100" s="55">
        <f t="array" ref="K100">E100+G100</f>
        <v/>
      </c>
      <c r="L100" s="57" t="n"/>
    </row>
    <row r="101" ht="20.1" customHeight="1" s="206">
      <c r="A101" s="38" t="inlineStr">
        <is>
          <t>d94</t>
        </is>
      </c>
      <c r="B101" s="11" t="inlineStr">
        <is>
          <t>94 years age of the deceased</t>
        </is>
      </c>
      <c r="C101" s="55" t="n">
        <v>13079</v>
      </c>
      <c r="D101" s="56" t="n">
        <v>6753.41346683594</v>
      </c>
      <c r="E101" s="56" t="n">
        <v>3971.30821304131</v>
      </c>
      <c r="F101" s="56" t="n">
        <v>1482.58653316406</v>
      </c>
      <c r="G101" s="56" t="n">
        <v>871.691786958686</v>
      </c>
      <c r="H101" s="55">
        <f t="array" ref="H101">E101+D101</f>
        <v/>
      </c>
      <c r="I101" s="55">
        <f t="array" ref="I101">G101+F101</f>
        <v/>
      </c>
      <c r="J101" s="55">
        <f t="array" ref="J101">D101+F101</f>
        <v/>
      </c>
      <c r="K101" s="55">
        <f t="array" ref="K101">E101+G101</f>
        <v/>
      </c>
      <c r="L101" s="57" t="n"/>
    </row>
    <row r="102" ht="20.1" customHeight="1" s="206">
      <c r="A102" s="38" t="inlineStr">
        <is>
          <t>d95</t>
        </is>
      </c>
      <c r="B102" s="11" t="inlineStr">
        <is>
          <t>95 years age of the deceased</t>
        </is>
      </c>
      <c r="C102" s="55" t="n">
        <v>11143</v>
      </c>
      <c r="D102" s="56" t="n">
        <v>5901.46409405342</v>
      </c>
      <c r="E102" s="56" t="n">
        <v>3235.82863041982</v>
      </c>
      <c r="F102" s="56" t="n">
        <v>1295.53590594658</v>
      </c>
      <c r="G102" s="56" t="n">
        <v>710.171369580179</v>
      </c>
      <c r="H102" s="55">
        <f t="array" ref="H102">E102+D102</f>
        <v/>
      </c>
      <c r="I102" s="55">
        <f t="array" ref="I102">G102+F102</f>
        <v/>
      </c>
      <c r="J102" s="55">
        <f t="array" ref="J102">D102+F102</f>
        <v/>
      </c>
      <c r="K102" s="55">
        <f t="array" ref="K102">E102+G102</f>
        <v/>
      </c>
      <c r="L102" s="57" t="n"/>
    </row>
    <row r="103" ht="20.1" customHeight="1" s="206">
      <c r="A103" s="38" t="inlineStr">
        <is>
          <t>d96</t>
        </is>
      </c>
      <c r="B103" s="11" t="inlineStr">
        <is>
          <t>96 years age of the deceased</t>
        </is>
      </c>
      <c r="C103" s="55" t="n">
        <v>8755</v>
      </c>
      <c r="D103" s="56" t="n">
        <v>4835.65751889064</v>
      </c>
      <c r="E103" s="56" t="n">
        <v>2343.49162679426</v>
      </c>
      <c r="F103" s="56" t="n">
        <v>1061.34248110936</v>
      </c>
      <c r="G103" s="56" t="n">
        <v>514.508373205742</v>
      </c>
      <c r="H103" s="55">
        <f t="array" ref="H103">E103+D103</f>
        <v/>
      </c>
      <c r="I103" s="55">
        <f t="array" ref="I103">G103+F103</f>
        <v/>
      </c>
      <c r="J103" s="55">
        <f t="array" ref="J103">D103+F103</f>
        <v/>
      </c>
      <c r="K103" s="55">
        <f t="array" ref="K103">E103+G103</f>
        <v/>
      </c>
      <c r="L103" s="57" t="n"/>
    </row>
    <row r="104" ht="20.1" customHeight="1" s="206">
      <c r="A104" s="38" t="inlineStr">
        <is>
          <t>d97</t>
        </is>
      </c>
      <c r="B104" s="11" t="inlineStr">
        <is>
          <t>97 years age of the deceased</t>
        </is>
      </c>
      <c r="C104" s="55" t="n">
        <v>6690</v>
      </c>
      <c r="D104" s="56" t="n">
        <v>3753.80150028852</v>
      </c>
      <c r="E104" s="56" t="n">
        <v>1731.87791741472</v>
      </c>
      <c r="F104" s="56" t="n">
        <v>824.198499711483</v>
      </c>
      <c r="G104" s="56" t="n">
        <v>380.122082585278</v>
      </c>
      <c r="H104" s="55">
        <f t="array" ref="H104">E104+D104</f>
        <v/>
      </c>
      <c r="I104" s="55">
        <f t="array" ref="I104">G104+F104</f>
        <v/>
      </c>
      <c r="J104" s="55">
        <f t="array" ref="J104">D104+F104</f>
        <v/>
      </c>
      <c r="K104" s="55">
        <f t="array" ref="K104">E104+G104</f>
        <v/>
      </c>
      <c r="L104" s="57" t="n"/>
    </row>
    <row r="105" ht="20.1" customHeight="1" s="206">
      <c r="A105" s="38" t="inlineStr">
        <is>
          <t>d98</t>
        </is>
      </c>
      <c r="B105" s="11" t="inlineStr">
        <is>
          <t>98 years age of the deceased</t>
        </is>
      </c>
      <c r="C105" s="55" t="n">
        <v>5016</v>
      </c>
      <c r="D105" s="56" t="n">
        <v>2940.40652843701</v>
      </c>
      <c r="E105" s="56" t="n">
        <v>1172.57272293753</v>
      </c>
      <c r="F105" s="56" t="n">
        <v>645.593471562994</v>
      </c>
      <c r="G105" s="56" t="n">
        <v>257.42727706247</v>
      </c>
      <c r="H105" s="55">
        <f t="array" ref="H105">E105+D105</f>
        <v/>
      </c>
      <c r="I105" s="55">
        <f t="array" ref="I105">G105+F105</f>
        <v/>
      </c>
      <c r="J105" s="55">
        <f t="array" ref="J105">D105+F105</f>
        <v/>
      </c>
      <c r="K105" s="55">
        <f t="array" ref="K105">E105+G105</f>
        <v/>
      </c>
      <c r="L105" s="57" t="n"/>
    </row>
    <row r="106" ht="20.1" customHeight="1" s="206">
      <c r="A106" s="38" t="inlineStr">
        <is>
          <t>d99</t>
        </is>
      </c>
      <c r="B106" s="30" t="inlineStr">
        <is>
          <t>99 years and older age of the deceased</t>
        </is>
      </c>
      <c r="C106" s="55" t="n">
        <v>10665</v>
      </c>
      <c r="D106" s="56" t="n">
        <v>6773.95002117747</v>
      </c>
      <c r="E106" s="56" t="n">
        <v>1971.30437721818</v>
      </c>
      <c r="F106" s="56" t="n">
        <v>1487.04997882253</v>
      </c>
      <c r="G106" s="56" t="n">
        <v>432.695622781815</v>
      </c>
      <c r="H106" s="55">
        <f t="array" ref="H106">E106+D106</f>
        <v/>
      </c>
      <c r="I106" s="55">
        <f t="array" ref="I106">G106+F106</f>
        <v/>
      </c>
      <c r="J106" s="55">
        <f t="array" ref="J106">D106+F106</f>
        <v/>
      </c>
      <c r="K106" s="55">
        <f t="array" ref="K106">E106+G106</f>
        <v/>
      </c>
      <c r="L106" s="57" t="n"/>
    </row>
    <row r="107" ht="20.1" customHeight="1" s="206">
      <c r="A107" s="38" t="inlineStr">
        <is>
          <t>dt</t>
        </is>
      </c>
      <c r="B107" s="23" t="inlineStr">
        <is>
          <t>Total</t>
        </is>
      </c>
      <c r="C107" s="55">
        <f t="array" ref="C107">SUM(C7:C106)</f>
        <v/>
      </c>
      <c r="D107" s="55">
        <f t="array" ref="D107">SUM(D7:D106)</f>
        <v/>
      </c>
      <c r="E107" s="55">
        <f t="array" ref="E107">SUM(E7:E106)</f>
        <v/>
      </c>
      <c r="F107" s="55">
        <f t="array" ref="F107">SUM(F7:F106)</f>
        <v/>
      </c>
      <c r="G107" s="55">
        <f t="array" ref="G107">SUM(G7:G106)</f>
        <v/>
      </c>
      <c r="H107" s="55">
        <f t="array" ref="H107">SUM(H7:H106)</f>
        <v/>
      </c>
      <c r="I107" s="55">
        <f t="array" ref="I107">SUM(I7:I106)</f>
        <v/>
      </c>
      <c r="J107" s="55">
        <f t="array" ref="J107">D107+F107</f>
        <v/>
      </c>
      <c r="K107" s="55">
        <f t="array" ref="K107">E107+G107</f>
        <v/>
      </c>
      <c r="L107" s="57" t="n"/>
    </row>
    <row r="108" ht="20.1" customHeight="1" s="206">
      <c r="A108" s="10" t="n"/>
      <c r="B108" s="18" t="n"/>
      <c r="C108" s="13" t="n"/>
      <c r="D108" s="13" t="n"/>
      <c r="E108" s="13" t="n"/>
      <c r="F108" s="13" t="n"/>
      <c r="G108" s="13" t="n"/>
      <c r="H108" s="13" t="n"/>
      <c r="I108" s="13" t="n"/>
      <c r="J108" s="13" t="n"/>
      <c r="K108" s="13" t="n"/>
      <c r="L108" s="13" t="n"/>
    </row>
    <row r="109" ht="20.1" customHeight="1" s="206">
      <c r="A109" s="38" t="inlineStr">
        <is>
          <t>ds</t>
        </is>
      </c>
      <c r="B109" s="23" t="inlineStr">
        <is>
          <t>Source of the data (verbal)</t>
        </is>
      </c>
      <c r="C109" s="184" t="inlineStr">
        <is>
          <t>https://www.ons.gov.uk/peoplepopulationandcommunity/birthsdeathsandmarriages/deaths/adhocs/3250provisionalnumbersofdeathregistrationsbysexandageenglandandwales2025; downloaded 2026-04-14; no distinction between native/migrant available</t>
        </is>
      </c>
      <c r="D109" s="177" t="n"/>
      <c r="E109" s="177" t="n"/>
      <c r="F109" s="177" t="n"/>
      <c r="G109" s="177" t="n"/>
      <c r="H109" s="177" t="n"/>
      <c r="I109" s="177" t="n"/>
      <c r="J109" s="177" t="n"/>
      <c r="K109" s="177" t="n"/>
      <c r="L109" s="13" t="n"/>
    </row>
    <row r="110" ht="20.1" customHeight="1" s="206">
      <c r="A110" s="15" t="n"/>
      <c r="B110" s="23" t="inlineStr">
        <is>
          <t>URLs, where the data was found</t>
        </is>
      </c>
      <c r="C110" s="185" t="inlineStr">
        <is>
          <t>https://www.statistik.at/statistiken/bevoelkerung-und-soziales/bevoelkerung/gestorbene/demographische-merkmale-von-gestorbenen, https://www.statistik.at/fileadmin/pages/428/neu_Gestorbene__nach__demographischen__Merkmalen.ods</t>
        </is>
      </c>
      <c r="D110" s="177" t="n"/>
      <c r="E110" s="177" t="n"/>
      <c r="F110" s="177" t="n"/>
      <c r="G110" s="177" t="n"/>
      <c r="H110" s="177" t="n"/>
      <c r="I110" s="177" t="n"/>
      <c r="J110" s="177" t="n"/>
      <c r="K110" s="177" t="n"/>
      <c r="L110" s="13" t="n"/>
    </row>
    <row r="111" ht="20.1" customHeight="1" s="206">
      <c r="A111" s="24" t="n"/>
      <c r="B111" s="33" t="inlineStr">
        <is>
          <t>Date, when the data was downloaded</t>
        </is>
      </c>
      <c r="C111" s="185" t="inlineStr">
        <is>
          <t>2026-05-20</t>
        </is>
      </c>
      <c r="D111" s="177" t="n"/>
      <c r="E111" s="177" t="n"/>
      <c r="F111" s="177" t="n"/>
      <c r="G111" s="177" t="n"/>
      <c r="H111" s="177" t="n"/>
      <c r="I111" s="177" t="n"/>
      <c r="J111" s="177" t="n"/>
      <c r="K111" s="177" t="n"/>
      <c r="L111" s="13" t="n"/>
    </row>
    <row r="112" ht="20.1" customHeight="1" s="206">
      <c r="A112" s="10" t="n"/>
      <c r="B112" s="11" t="inlineStr">
        <is>
          <t>Manual remarks (not for AI!)</t>
        </is>
      </c>
      <c r="C112" s="186" t="n"/>
      <c r="D112" s="177" t="n"/>
      <c r="E112" s="177" t="n"/>
      <c r="F112" s="177" t="n"/>
      <c r="G112" s="177" t="n"/>
      <c r="H112" s="177" t="n"/>
      <c r="I112" s="177" t="n"/>
      <c r="J112" s="177" t="n"/>
      <c r="K112" s="177" t="n"/>
      <c r="L112" s="13" t="n"/>
    </row>
    <row r="113" ht="20.1" customHeight="1" s="206">
      <c r="A113" s="10" t="n"/>
      <c r="B113" s="11" t="inlineStr">
        <is>
          <t>Remarks of the AI (e.g. calculation)</t>
        </is>
      </c>
      <c r="C113" s="186" t="inlineStr">
        <is>
          <t>Gestorbene 2024 Einzelalter nach Geschlecht aus STAT 'Gestorbene nach demographischen Merkmalen' (Datei neu_Gestorbene_nach_demographischen_Merkmalen.ods), Tabelle_11 'Gestorbene nach Altersjahr, Familienstand und Geschlecht 2024', Spalten 2 (Männer) und 3 (Frauen) der Total-Spalte 'Gestorbene insgesamt'. Altersgruppen 'Unter 1' → Alter 0, 'X bis unter X+1' → Alter X, '99-110+' aggregiert auf Alter 99+. Total male=44036 (STAT: 44.036), female=44450 (STAT: 44.450). NAT/MIG-Split (CLAUDE.md §Sterbe): anteilig zur Pop-Struktur pro Alter × Geschlecht (deaths_native = deaths_total × pop_native / pop_total). Annahme: einheitliche Sterbetafel für Native und Migrant — ignoriert den Healthy-Migrant-Effekt (jüngere Migranten haben in Realität günstigere Sterbestatistik) und ggf. ungünstigere Sterbestatistik in Hochaltrigengruppen. STAT publiziert Sterbefälle nicht standardmäßig nach MH i.w.S. (Tabelle 8 hat Geburtsland AT/EU/sonstige, aber nicht auf MH-Definition mappbar). Aggregat-Sums: Native-F 36695, Native-M 36362, Migrant-F 7755, Migrant-M 7674.</t>
        </is>
      </c>
      <c r="D113" s="177" t="n"/>
      <c r="E113" s="177" t="n"/>
      <c r="F113" s="177" t="n"/>
      <c r="G113" s="177" t="n"/>
      <c r="H113" s="177" t="n"/>
      <c r="I113" s="177" t="n"/>
      <c r="J113" s="177" t="n"/>
      <c r="K113" s="177" t="n"/>
      <c r="L113" s="13" t="n"/>
    </row>
    <row r="114" ht="20.1" customHeight="1" s="206">
      <c r="A114" s="10" t="n"/>
      <c r="B114" s="11" t="inlineStr">
        <is>
          <t>Internal remarks</t>
        </is>
      </c>
      <c r="C114" s="186" t="n"/>
      <c r="D114" s="177" t="n"/>
      <c r="E114" s="177" t="n"/>
      <c r="F114" s="177" t="n"/>
      <c r="G114" s="177" t="n"/>
      <c r="H114" s="177" t="n"/>
      <c r="I114" s="177" t="n"/>
      <c r="J114" s="177" t="n"/>
      <c r="K114" s="177" t="n"/>
      <c r="L114" s="13" t="n"/>
    </row>
    <row r="115" ht="20.1" customHeight="1" s="206">
      <c r="A115" s="15" t="n"/>
      <c r="B115" s="16" t="n"/>
      <c r="C115" s="13" t="n"/>
      <c r="D115" s="13" t="n"/>
      <c r="E115" s="13" t="n"/>
      <c r="F115" s="13" t="n"/>
      <c r="G115" s="13" t="n"/>
      <c r="H115" s="13" t="n"/>
      <c r="I115" s="13" t="n"/>
      <c r="J115" s="13" t="n"/>
      <c r="K115" s="13" t="n"/>
      <c r="L115" s="13" t="n"/>
    </row>
    <row r="116" ht="33.4" customHeight="1" s="206">
      <c r="A116" s="100" t="n"/>
      <c r="B116" s="101" t="inlineStr">
        <is>
          <t>✏️</t>
        </is>
      </c>
      <c r="C116" s="198" t="inlineStr">
        <is>
          <t>Enter your data below and make sure that you adjust the formulas above, if necessary.  If calculations are necessary, use the fields below for it and use formulas in the area above, to fill in the fields above exactly as intended.</t>
        </is>
      </c>
      <c r="D116" s="177" t="n"/>
      <c r="E116" s="177" t="n"/>
      <c r="F116" s="177" t="n"/>
      <c r="G116" s="177" t="n"/>
      <c r="H116" s="177" t="n"/>
      <c r="I116" s="177" t="n"/>
      <c r="J116" s="177" t="n"/>
      <c r="K116" s="177" t="n"/>
      <c r="L116" s="58" t="n"/>
    </row>
    <row r="117" ht="26.85" customHeight="1" s="206">
      <c r="A117" s="102" t="n"/>
      <c r="B117" s="103" t="inlineStr">
        <is>
          <t>Deaths</t>
        </is>
      </c>
      <c r="C117" s="196" t="inlineStr">
        <is>
          <t>Calculation of the deaths</t>
        </is>
      </c>
      <c r="D117" s="177" t="n"/>
      <c r="E117" s="177" t="n"/>
      <c r="F117" s="177" t="n"/>
      <c r="G117" s="177" t="n"/>
      <c r="H117" s="177" t="n"/>
      <c r="I117" s="177" t="n"/>
      <c r="J117" s="177" t="n"/>
      <c r="K117" s="197" t="n"/>
      <c r="L117" s="104" t="n"/>
    </row>
    <row r="118" ht="20.45" customHeight="1" s="206">
      <c r="A118" s="105" t="n"/>
      <c r="B118" s="106" t="n"/>
      <c r="C118" s="107" t="n"/>
      <c r="D118" s="108" t="n"/>
      <c r="E118" s="108" t="n"/>
      <c r="F118" s="108" t="n"/>
      <c r="G118" s="108" t="n"/>
      <c r="H118" s="109" t="n"/>
      <c r="I118" s="62" t="n"/>
      <c r="J118" s="62" t="n"/>
      <c r="K118" s="62" t="n"/>
      <c r="L118" s="62" t="n"/>
    </row>
    <row r="119" ht="20.65" customHeight="1" s="206">
      <c r="A119" s="93" t="n"/>
      <c r="B119" s="110" t="inlineStr">
        <is>
          <t>0 years</t>
        </is>
      </c>
      <c r="C119" s="111" t="n"/>
      <c r="D119" s="112" t="n">
        <v>79</v>
      </c>
      <c r="E119" s="112" t="n">
        <v>89</v>
      </c>
      <c r="F119" s="112" t="n">
        <v>33</v>
      </c>
      <c r="G119" s="112" t="n">
        <v>35</v>
      </c>
      <c r="H119" s="113" t="n"/>
      <c r="I119" s="62" t="n"/>
      <c r="J119" s="62" t="n"/>
      <c r="K119" s="62" t="n"/>
      <c r="L119" s="62" t="n"/>
    </row>
    <row r="120" ht="20.65" customHeight="1" s="206">
      <c r="A120" s="93" t="n"/>
      <c r="B120" s="110" t="inlineStr">
        <is>
          <t>1 years</t>
        </is>
      </c>
      <c r="C120" s="111" t="n"/>
      <c r="D120" s="112" t="n">
        <v>5</v>
      </c>
      <c r="E120" s="112" t="n">
        <v>6</v>
      </c>
      <c r="F120" s="112" t="n">
        <v>2</v>
      </c>
      <c r="G120" s="112" t="n">
        <v>2</v>
      </c>
      <c r="H120" s="113" t="n"/>
      <c r="I120" s="62" t="n"/>
      <c r="J120" s="62" t="n"/>
      <c r="K120" s="62" t="n"/>
      <c r="L120" s="62" t="n"/>
    </row>
    <row r="121" ht="20.65" customHeight="1" s="206">
      <c r="A121" s="93" t="n"/>
      <c r="B121" s="110" t="inlineStr">
        <is>
          <t>2 years</t>
        </is>
      </c>
      <c r="C121" s="111" t="n"/>
      <c r="D121" s="112" t="n">
        <v>4</v>
      </c>
      <c r="E121" s="112" t="n">
        <v>2</v>
      </c>
      <c r="F121" s="112" t="n">
        <v>1</v>
      </c>
      <c r="G121" s="112" t="n">
        <v>1</v>
      </c>
      <c r="H121" s="113" t="n"/>
      <c r="I121" s="62" t="n"/>
      <c r="J121" s="62" t="n"/>
      <c r="K121" s="62" t="n"/>
      <c r="L121" s="62" t="n"/>
    </row>
    <row r="122" ht="20.65" customHeight="1" s="206">
      <c r="A122" s="93" t="n"/>
      <c r="B122" s="110" t="inlineStr">
        <is>
          <t>3 years</t>
        </is>
      </c>
      <c r="C122" s="111" t="n"/>
      <c r="D122" s="112" t="n">
        <v>4</v>
      </c>
      <c r="E122" s="112" t="n">
        <v>6</v>
      </c>
      <c r="F122" s="112" t="n">
        <v>1</v>
      </c>
      <c r="G122" s="112" t="n">
        <v>3</v>
      </c>
      <c r="H122" s="113" t="n"/>
      <c r="I122" s="62" t="n"/>
      <c r="J122" s="62" t="n"/>
      <c r="K122" s="62" t="n"/>
      <c r="L122" s="62" t="n"/>
    </row>
    <row r="123" ht="20.65" customHeight="1" s="206">
      <c r="A123" s="93" t="n"/>
      <c r="B123" s="110" t="inlineStr">
        <is>
          <t>4 years</t>
        </is>
      </c>
      <c r="C123" s="111" t="n"/>
      <c r="D123" s="112" t="n">
        <v>1</v>
      </c>
      <c r="E123" s="112" t="n">
        <v>3</v>
      </c>
      <c r="F123" s="112" t="n">
        <v>1</v>
      </c>
      <c r="G123" s="112" t="n">
        <v>1</v>
      </c>
      <c r="H123" s="113" t="n"/>
      <c r="I123" s="62" t="n"/>
      <c r="J123" s="62" t="n"/>
      <c r="K123" s="62" t="n"/>
      <c r="L123" s="62" t="n"/>
    </row>
    <row r="124" ht="20.65" customHeight="1" s="206">
      <c r="A124" s="93" t="n"/>
      <c r="B124" s="110" t="inlineStr">
        <is>
          <t>5 years</t>
        </is>
      </c>
      <c r="C124" s="111" t="n"/>
      <c r="D124" s="112" t="n">
        <v>3</v>
      </c>
      <c r="E124" s="112" t="n">
        <v>6</v>
      </c>
      <c r="F124" s="112" t="n">
        <v>1</v>
      </c>
      <c r="G124" s="112" t="n">
        <v>2</v>
      </c>
      <c r="H124" s="113" t="n"/>
      <c r="I124" s="62" t="n"/>
      <c r="J124" s="62" t="n"/>
      <c r="K124" s="62" t="n"/>
      <c r="L124" s="62" t="n"/>
    </row>
    <row r="125" ht="20.65" customHeight="1" s="206">
      <c r="A125" s="93" t="n"/>
      <c r="B125" s="110" t="inlineStr">
        <is>
          <t>6 years</t>
        </is>
      </c>
      <c r="C125" s="111" t="n"/>
      <c r="D125" s="112" t="n">
        <v>3</v>
      </c>
      <c r="E125" s="112" t="n">
        <v>4</v>
      </c>
      <c r="F125" s="112" t="n">
        <v>1</v>
      </c>
      <c r="G125" s="112" t="n">
        <v>1</v>
      </c>
      <c r="H125" s="113" t="n"/>
      <c r="I125" s="62" t="n"/>
      <c r="J125" s="62" t="n"/>
      <c r="K125" s="62" t="n"/>
      <c r="L125" s="62" t="n"/>
    </row>
    <row r="126" ht="20.65" customHeight="1" s="206">
      <c r="A126" s="93" t="n"/>
      <c r="B126" s="110" t="inlineStr">
        <is>
          <t>7 years</t>
        </is>
      </c>
      <c r="C126" s="111" t="n"/>
      <c r="D126" s="112" t="n">
        <v>3</v>
      </c>
      <c r="E126" s="112" t="n">
        <v>4</v>
      </c>
      <c r="F126" s="112" t="n">
        <v>1</v>
      </c>
      <c r="G126" s="112" t="n">
        <v>2</v>
      </c>
      <c r="H126" s="113" t="n"/>
      <c r="I126" s="62" t="n"/>
      <c r="J126" s="62" t="n"/>
      <c r="K126" s="62" t="n"/>
      <c r="L126" s="62" t="n"/>
    </row>
    <row r="127" ht="20.65" customHeight="1" s="206">
      <c r="A127" s="93" t="n"/>
      <c r="B127" s="110" t="inlineStr">
        <is>
          <t>8 years</t>
        </is>
      </c>
      <c r="C127" s="111" t="n"/>
      <c r="D127" s="112" t="n">
        <v>1</v>
      </c>
      <c r="E127" s="112" t="n">
        <v>1</v>
      </c>
      <c r="F127" s="112" t="n">
        <v>1</v>
      </c>
      <c r="G127" s="112" t="n">
        <v>1</v>
      </c>
      <c r="H127" s="113" t="n"/>
      <c r="I127" s="62" t="n"/>
      <c r="J127" s="62" t="n"/>
      <c r="K127" s="62" t="n"/>
      <c r="L127" s="62" t="n"/>
    </row>
    <row r="128" ht="20.65" customHeight="1" s="206">
      <c r="A128" s="93" t="n"/>
      <c r="B128" s="110" t="inlineStr">
        <is>
          <t>9 years</t>
        </is>
      </c>
      <c r="C128" s="111" t="n"/>
      <c r="D128" s="112" t="n">
        <v>2</v>
      </c>
      <c r="E128" s="112" t="n">
        <v>1</v>
      </c>
      <c r="F128" s="112" t="n">
        <v>1</v>
      </c>
      <c r="G128" s="112" t="n">
        <v>1</v>
      </c>
      <c r="H128" s="113" t="n"/>
      <c r="I128" s="62" t="n"/>
      <c r="J128" s="62" t="n"/>
      <c r="K128" s="62" t="n"/>
      <c r="L128" s="62" t="n"/>
    </row>
    <row r="129" ht="20.65" customHeight="1" s="206">
      <c r="A129" s="93" t="n"/>
      <c r="B129" s="110" t="inlineStr">
        <is>
          <t>10 years</t>
        </is>
      </c>
      <c r="C129" s="111" t="n"/>
      <c r="D129" s="112" t="n">
        <v>2</v>
      </c>
      <c r="E129" s="112" t="n">
        <v>1</v>
      </c>
      <c r="F129" s="112" t="n">
        <v>1</v>
      </c>
      <c r="G129" s="112" t="n">
        <v>1</v>
      </c>
      <c r="H129" s="113" t="n"/>
      <c r="I129" s="62" t="n"/>
      <c r="J129" s="62" t="n"/>
      <c r="K129" s="62" t="n"/>
      <c r="L129" s="62" t="n"/>
    </row>
    <row r="130" ht="20.65" customHeight="1" s="206">
      <c r="A130" s="93" t="n"/>
      <c r="B130" s="110" t="inlineStr">
        <is>
          <t>11 years</t>
        </is>
      </c>
      <c r="C130" s="111" t="n"/>
      <c r="D130" s="112" t="n">
        <v>0</v>
      </c>
      <c r="E130" s="112" t="n">
        <v>1</v>
      </c>
      <c r="F130" s="112" t="n">
        <v>0</v>
      </c>
      <c r="G130" s="112" t="n">
        <v>1</v>
      </c>
      <c r="H130" s="113" t="n"/>
      <c r="I130" s="62" t="n"/>
      <c r="J130" s="62" t="n"/>
      <c r="K130" s="62" t="n"/>
      <c r="L130" s="62" t="n"/>
    </row>
    <row r="131" ht="20.65" customHeight="1" s="206">
      <c r="A131" s="93" t="n"/>
      <c r="B131" s="110" t="inlineStr">
        <is>
          <t>12 years</t>
        </is>
      </c>
      <c r="C131" s="111" t="n"/>
      <c r="D131" s="112" t="n">
        <v>1</v>
      </c>
      <c r="E131" s="112" t="n">
        <v>1</v>
      </c>
      <c r="F131" s="112" t="n">
        <v>0</v>
      </c>
      <c r="G131" s="112" t="n">
        <v>0</v>
      </c>
      <c r="H131" s="113" t="n"/>
      <c r="I131" s="62" t="n"/>
      <c r="J131" s="62" t="n"/>
      <c r="K131" s="62" t="n"/>
      <c r="L131" s="62" t="n"/>
    </row>
    <row r="132" ht="20.65" customHeight="1" s="206">
      <c r="A132" s="93" t="n"/>
      <c r="B132" s="110" t="inlineStr">
        <is>
          <t>13 years</t>
        </is>
      </c>
      <c r="C132" s="111" t="n"/>
      <c r="D132" s="112" t="n">
        <v>4</v>
      </c>
      <c r="E132" s="112" t="n">
        <v>3</v>
      </c>
      <c r="F132" s="112" t="n">
        <v>1</v>
      </c>
      <c r="G132" s="112" t="n">
        <v>1</v>
      </c>
      <c r="H132" s="113" t="n"/>
      <c r="I132" s="62" t="n"/>
      <c r="J132" s="62" t="n"/>
      <c r="K132" s="62" t="n"/>
      <c r="L132" s="62" t="n"/>
    </row>
    <row r="133" ht="20.65" customHeight="1" s="206">
      <c r="A133" s="93" t="n"/>
      <c r="B133" s="110" t="inlineStr">
        <is>
          <t>14 years</t>
        </is>
      </c>
      <c r="C133" s="111" t="n"/>
      <c r="D133" s="112" t="n">
        <v>2</v>
      </c>
      <c r="E133" s="112" t="n">
        <v>6</v>
      </c>
      <c r="F133" s="112" t="n">
        <v>1</v>
      </c>
      <c r="G133" s="112" t="n">
        <v>2</v>
      </c>
      <c r="H133" s="113" t="n"/>
      <c r="I133" s="62" t="n"/>
      <c r="J133" s="62" t="n"/>
      <c r="K133" s="62" t="n"/>
      <c r="L133" s="62" t="n"/>
    </row>
    <row r="134" ht="20.65" customHeight="1" s="206">
      <c r="A134" s="93" t="n"/>
      <c r="B134" s="110" t="inlineStr">
        <is>
          <t>15 years</t>
        </is>
      </c>
      <c r="C134" s="111" t="n"/>
      <c r="D134" s="112" t="n">
        <v>2</v>
      </c>
      <c r="E134" s="112" t="n">
        <v>8</v>
      </c>
      <c r="F134" s="112" t="n">
        <v>1</v>
      </c>
      <c r="G134" s="112" t="n">
        <v>5</v>
      </c>
      <c r="H134" s="113" t="n"/>
      <c r="I134" s="62" t="n"/>
      <c r="J134" s="62" t="n"/>
      <c r="K134" s="62" t="n"/>
      <c r="L134" s="62" t="n"/>
    </row>
    <row r="135" ht="20.65" customHeight="1" s="206">
      <c r="A135" s="93" t="n"/>
      <c r="B135" s="110" t="inlineStr">
        <is>
          <t>16 years</t>
        </is>
      </c>
      <c r="C135" s="111" t="n"/>
      <c r="D135" s="112" t="n">
        <v>5</v>
      </c>
      <c r="E135" s="112" t="n">
        <v>12</v>
      </c>
      <c r="F135" s="112" t="n">
        <v>2</v>
      </c>
      <c r="G135" s="112" t="n">
        <v>6</v>
      </c>
      <c r="H135" s="113" t="n"/>
      <c r="I135" s="62" t="n"/>
      <c r="J135" s="62" t="n"/>
      <c r="K135" s="62" t="n"/>
      <c r="L135" s="62" t="n"/>
    </row>
    <row r="136" ht="20.65" customHeight="1" s="206">
      <c r="A136" s="93" t="n"/>
      <c r="B136" s="110" t="inlineStr">
        <is>
          <t>17 years</t>
        </is>
      </c>
      <c r="C136" s="111" t="n"/>
      <c r="D136" s="112" t="n">
        <v>3</v>
      </c>
      <c r="E136" s="112" t="n">
        <v>12</v>
      </c>
      <c r="F136" s="112" t="n">
        <v>2</v>
      </c>
      <c r="G136" s="112" t="n">
        <v>7</v>
      </c>
      <c r="H136" s="113" t="n"/>
      <c r="I136" s="62" t="n"/>
      <c r="J136" s="62" t="n"/>
      <c r="K136" s="62" t="n"/>
      <c r="L136" s="62" t="n"/>
    </row>
    <row r="137" ht="20.65" customHeight="1" s="206">
      <c r="A137" s="93" t="n"/>
      <c r="B137" s="110" t="inlineStr">
        <is>
          <t>18 years</t>
        </is>
      </c>
      <c r="C137" s="111" t="n"/>
      <c r="D137" s="112" t="n">
        <v>8</v>
      </c>
      <c r="E137" s="112" t="n">
        <v>17</v>
      </c>
      <c r="F137" s="112" t="n">
        <v>5</v>
      </c>
      <c r="G137" s="112" t="n">
        <v>9</v>
      </c>
      <c r="H137" s="113" t="n"/>
      <c r="I137" s="62" t="n"/>
      <c r="J137" s="62" t="n"/>
      <c r="K137" s="62" t="n"/>
      <c r="L137" s="62" t="n"/>
    </row>
    <row r="138" ht="20.65" customHeight="1" s="206">
      <c r="A138" s="93" t="n"/>
      <c r="B138" s="110" t="inlineStr">
        <is>
          <t>19 years</t>
        </is>
      </c>
      <c r="C138" s="111" t="n"/>
      <c r="D138" s="112" t="n">
        <v>10</v>
      </c>
      <c r="E138" s="112" t="n">
        <v>22</v>
      </c>
      <c r="F138" s="112" t="n">
        <v>6</v>
      </c>
      <c r="G138" s="112" t="n">
        <v>12</v>
      </c>
      <c r="H138" s="113" t="n"/>
      <c r="I138" s="62" t="n"/>
      <c r="J138" s="62" t="n"/>
      <c r="K138" s="62" t="n"/>
      <c r="L138" s="62" t="n"/>
    </row>
    <row r="139" ht="20.65" customHeight="1" s="206">
      <c r="A139" s="93" t="n"/>
      <c r="B139" s="110" t="inlineStr">
        <is>
          <t>20 years</t>
        </is>
      </c>
      <c r="C139" s="111" t="n"/>
      <c r="D139" s="112" t="n">
        <v>5</v>
      </c>
      <c r="E139" s="112" t="n">
        <v>17</v>
      </c>
      <c r="F139" s="112" t="n">
        <v>3</v>
      </c>
      <c r="G139" s="112" t="n">
        <v>9</v>
      </c>
      <c r="H139" s="113" t="n"/>
      <c r="I139" s="62" t="n"/>
      <c r="J139" s="62" t="n"/>
      <c r="K139" s="62" t="n"/>
      <c r="L139" s="62" t="n"/>
    </row>
    <row r="140" ht="20.65" customHeight="1" s="206">
      <c r="A140" s="93" t="n"/>
      <c r="B140" s="110" t="inlineStr">
        <is>
          <t>21 years</t>
        </is>
      </c>
      <c r="C140" s="111" t="n"/>
      <c r="D140" s="112" t="n">
        <v>8</v>
      </c>
      <c r="E140" s="112" t="n">
        <v>16</v>
      </c>
      <c r="F140" s="112" t="n">
        <v>5</v>
      </c>
      <c r="G140" s="112" t="n">
        <v>9</v>
      </c>
      <c r="H140" s="113" t="n"/>
      <c r="I140" s="62" t="n"/>
      <c r="J140" s="62" t="n"/>
      <c r="K140" s="62" t="n"/>
      <c r="L140" s="62" t="n"/>
    </row>
    <row r="141" ht="20.65" customHeight="1" s="206">
      <c r="A141" s="93" t="n"/>
      <c r="B141" s="110" t="inlineStr">
        <is>
          <t>22 years</t>
        </is>
      </c>
      <c r="C141" s="111" t="n"/>
      <c r="D141" s="112" t="n">
        <v>3</v>
      </c>
      <c r="E141" s="112" t="n">
        <v>20</v>
      </c>
      <c r="F141" s="112" t="n">
        <v>1</v>
      </c>
      <c r="G141" s="112" t="n">
        <v>11</v>
      </c>
      <c r="H141" s="113" t="n"/>
      <c r="I141" s="62" t="n"/>
      <c r="J141" s="62" t="n"/>
      <c r="K141" s="62" t="n"/>
      <c r="L141" s="62" t="n"/>
    </row>
    <row r="142" ht="20.65" customHeight="1" s="206">
      <c r="A142" s="93" t="n"/>
      <c r="B142" s="110" t="inlineStr">
        <is>
          <t>23 years</t>
        </is>
      </c>
      <c r="C142" s="111" t="n"/>
      <c r="D142" s="112" t="n">
        <v>6</v>
      </c>
      <c r="E142" s="112" t="n">
        <v>20</v>
      </c>
      <c r="F142" s="112" t="n">
        <v>3</v>
      </c>
      <c r="G142" s="112" t="n">
        <v>10</v>
      </c>
      <c r="H142" s="113" t="n"/>
      <c r="I142" s="62" t="n"/>
      <c r="J142" s="62" t="n"/>
      <c r="K142" s="62" t="n"/>
      <c r="L142" s="62" t="n"/>
    </row>
    <row r="143" ht="20.65" customHeight="1" s="206">
      <c r="A143" s="93" t="n"/>
      <c r="B143" s="110" t="inlineStr">
        <is>
          <t>24 years</t>
        </is>
      </c>
      <c r="C143" s="111" t="n"/>
      <c r="D143" s="112" t="n">
        <v>8</v>
      </c>
      <c r="E143" s="112" t="n">
        <v>22</v>
      </c>
      <c r="F143" s="112" t="n">
        <v>4</v>
      </c>
      <c r="G143" s="112" t="n">
        <v>11</v>
      </c>
      <c r="H143" s="113" t="n"/>
      <c r="I143" s="62" t="n"/>
      <c r="J143" s="62" t="n"/>
      <c r="K143" s="62" t="n"/>
      <c r="L143" s="62" t="n"/>
    </row>
    <row r="144" ht="20.65" customHeight="1" s="206">
      <c r="A144" s="93" t="n"/>
      <c r="B144" s="110" t="inlineStr">
        <is>
          <t>25 years</t>
        </is>
      </c>
      <c r="C144" s="111" t="n"/>
      <c r="D144" s="112" t="n">
        <v>3</v>
      </c>
      <c r="E144" s="112" t="n">
        <v>16</v>
      </c>
      <c r="F144" s="112" t="n">
        <v>1</v>
      </c>
      <c r="G144" s="112" t="n">
        <v>8</v>
      </c>
      <c r="H144" s="113" t="n"/>
      <c r="I144" s="62" t="n"/>
      <c r="J144" s="62" t="n"/>
      <c r="K144" s="62" t="n"/>
      <c r="L144" s="62" t="n"/>
    </row>
    <row r="145" ht="20.65" customHeight="1" s="206">
      <c r="A145" s="93" t="n"/>
      <c r="B145" s="110" t="inlineStr">
        <is>
          <t>26 years</t>
        </is>
      </c>
      <c r="C145" s="111" t="n"/>
      <c r="D145" s="112" t="n">
        <v>6</v>
      </c>
      <c r="E145" s="112" t="n">
        <v>20</v>
      </c>
      <c r="F145" s="112" t="n">
        <v>4</v>
      </c>
      <c r="G145" s="112" t="n">
        <v>11</v>
      </c>
      <c r="H145" s="113" t="n"/>
      <c r="I145" s="62" t="n"/>
      <c r="J145" s="62" t="n"/>
      <c r="K145" s="62" t="n"/>
      <c r="L145" s="62" t="n"/>
    </row>
    <row r="146" ht="20.65" customHeight="1" s="206">
      <c r="A146" s="93" t="n"/>
      <c r="B146" s="110" t="inlineStr">
        <is>
          <t>27 years</t>
        </is>
      </c>
      <c r="C146" s="111" t="n"/>
      <c r="D146" s="112" t="n">
        <v>13</v>
      </c>
      <c r="E146" s="112" t="n">
        <v>26</v>
      </c>
      <c r="F146" s="112" t="n">
        <v>7</v>
      </c>
      <c r="G146" s="112" t="n">
        <v>14</v>
      </c>
      <c r="H146" s="113" t="n"/>
      <c r="I146" s="62" t="n"/>
      <c r="J146" s="62" t="n"/>
      <c r="K146" s="62" t="n"/>
      <c r="L146" s="62" t="n"/>
    </row>
    <row r="147" ht="20.65" customHeight="1" s="206">
      <c r="A147" s="93" t="n"/>
      <c r="B147" s="110" t="inlineStr">
        <is>
          <t>28 years</t>
        </is>
      </c>
      <c r="C147" s="111" t="n"/>
      <c r="D147" s="112" t="n">
        <v>9</v>
      </c>
      <c r="E147" s="112" t="n">
        <v>25</v>
      </c>
      <c r="F147" s="112" t="n">
        <v>5</v>
      </c>
      <c r="G147" s="112" t="n">
        <v>14</v>
      </c>
      <c r="H147" s="113" t="n"/>
      <c r="I147" s="62" t="n"/>
      <c r="J147" s="62" t="n"/>
      <c r="K147" s="62" t="n"/>
      <c r="L147" s="62" t="n"/>
    </row>
    <row r="148" ht="20.65" customHeight="1" s="206">
      <c r="A148" s="93" t="n"/>
      <c r="B148" s="110" t="inlineStr">
        <is>
          <t>29 years</t>
        </is>
      </c>
      <c r="C148" s="111" t="n"/>
      <c r="D148" s="112" t="n">
        <v>8</v>
      </c>
      <c r="E148" s="112" t="n">
        <v>24</v>
      </c>
      <c r="F148" s="112" t="n">
        <v>5</v>
      </c>
      <c r="G148" s="112" t="n">
        <v>12</v>
      </c>
      <c r="H148" s="113" t="n"/>
      <c r="I148" s="62" t="n"/>
      <c r="J148" s="62" t="n"/>
      <c r="K148" s="62" t="n"/>
      <c r="L148" s="62" t="n"/>
    </row>
    <row r="149" ht="20.65" customHeight="1" s="206">
      <c r="A149" s="93" t="n"/>
      <c r="B149" s="110" t="inlineStr">
        <is>
          <t>30 years</t>
        </is>
      </c>
      <c r="C149" s="111" t="n"/>
      <c r="D149" s="112" t="n">
        <v>9</v>
      </c>
      <c r="E149" s="112" t="n">
        <v>30</v>
      </c>
      <c r="F149" s="112" t="n">
        <v>6</v>
      </c>
      <c r="G149" s="112" t="n">
        <v>17</v>
      </c>
      <c r="H149" s="113" t="n"/>
      <c r="I149" s="62" t="n"/>
      <c r="J149" s="62" t="n"/>
      <c r="K149" s="62" t="n"/>
      <c r="L149" s="62" t="n"/>
    </row>
    <row r="150" ht="20.65" customHeight="1" s="206">
      <c r="A150" s="93" t="n"/>
      <c r="B150" s="110" t="inlineStr">
        <is>
          <t>31 years</t>
        </is>
      </c>
      <c r="C150" s="111" t="n"/>
      <c r="D150" s="112" t="n">
        <v>14</v>
      </c>
      <c r="E150" s="112" t="n">
        <v>30</v>
      </c>
      <c r="F150" s="112" t="n">
        <v>9</v>
      </c>
      <c r="G150" s="112" t="n">
        <v>18</v>
      </c>
      <c r="H150" s="113" t="n"/>
      <c r="I150" s="62" t="n"/>
      <c r="J150" s="62" t="n"/>
      <c r="K150" s="62" t="n"/>
      <c r="L150" s="62" t="n"/>
    </row>
    <row r="151" ht="20.65" customHeight="1" s="206">
      <c r="A151" s="93" t="n"/>
      <c r="B151" s="110" t="inlineStr">
        <is>
          <t>32 years</t>
        </is>
      </c>
      <c r="C151" s="111" t="n"/>
      <c r="D151" s="112" t="n">
        <v>14</v>
      </c>
      <c r="E151" s="112" t="n">
        <v>23</v>
      </c>
      <c r="F151" s="112" t="n">
        <v>9</v>
      </c>
      <c r="G151" s="112" t="n">
        <v>13</v>
      </c>
      <c r="H151" s="113" t="n"/>
      <c r="I151" s="62" t="n"/>
      <c r="J151" s="62" t="n"/>
      <c r="K151" s="62" t="n"/>
      <c r="L151" s="62" t="n"/>
    </row>
    <row r="152" ht="20.65" customHeight="1" s="206">
      <c r="A152" s="93" t="n"/>
      <c r="B152" s="110" t="inlineStr">
        <is>
          <t>33 years</t>
        </is>
      </c>
      <c r="C152" s="111" t="n"/>
      <c r="D152" s="112" t="n">
        <v>16</v>
      </c>
      <c r="E152" s="112" t="n">
        <v>25</v>
      </c>
      <c r="F152" s="112" t="n">
        <v>10</v>
      </c>
      <c r="G152" s="112" t="n">
        <v>15</v>
      </c>
      <c r="H152" s="113" t="n"/>
      <c r="I152" s="62" t="n"/>
      <c r="J152" s="62" t="n"/>
      <c r="K152" s="62" t="n"/>
      <c r="L152" s="62" t="n"/>
    </row>
    <row r="153" ht="20.65" customHeight="1" s="206">
      <c r="A153" s="93" t="n"/>
      <c r="B153" s="110" t="inlineStr">
        <is>
          <t>34 years</t>
        </is>
      </c>
      <c r="C153" s="111" t="n"/>
      <c r="D153" s="112" t="n">
        <v>16</v>
      </c>
      <c r="E153" s="112" t="n">
        <v>33</v>
      </c>
      <c r="F153" s="112" t="n">
        <v>9</v>
      </c>
      <c r="G153" s="112" t="n">
        <v>19</v>
      </c>
      <c r="H153" s="113" t="n"/>
      <c r="I153" s="62" t="n"/>
      <c r="J153" s="62" t="n"/>
      <c r="K153" s="62" t="n"/>
      <c r="L153" s="62" t="n"/>
    </row>
    <row r="154" ht="20.65" customHeight="1" s="206">
      <c r="A154" s="93" t="n"/>
      <c r="B154" s="110" t="inlineStr">
        <is>
          <t>35 years</t>
        </is>
      </c>
      <c r="C154" s="111" t="n"/>
      <c r="D154" s="112" t="n">
        <v>16</v>
      </c>
      <c r="E154" s="112" t="n">
        <v>33</v>
      </c>
      <c r="F154" s="112" t="n">
        <v>9</v>
      </c>
      <c r="G154" s="112" t="n">
        <v>20</v>
      </c>
      <c r="H154" s="113" t="n"/>
      <c r="I154" s="62" t="n"/>
      <c r="J154" s="62" t="n"/>
      <c r="K154" s="62" t="n"/>
      <c r="L154" s="62" t="n"/>
    </row>
    <row r="155" ht="20.65" customHeight="1" s="206">
      <c r="A155" s="93" t="n"/>
      <c r="B155" s="110" t="inlineStr">
        <is>
          <t>36 years</t>
        </is>
      </c>
      <c r="C155" s="111" t="n"/>
      <c r="D155" s="112" t="n">
        <v>25</v>
      </c>
      <c r="E155" s="112" t="n">
        <v>36</v>
      </c>
      <c r="F155" s="112" t="n">
        <v>15</v>
      </c>
      <c r="G155" s="112" t="n">
        <v>21</v>
      </c>
      <c r="H155" s="113" t="n"/>
      <c r="I155" s="62" t="n"/>
      <c r="J155" s="62" t="n"/>
      <c r="K155" s="62" t="n"/>
      <c r="L155" s="62" t="n"/>
    </row>
    <row r="156" ht="20.65" customHeight="1" s="206">
      <c r="A156" s="93" t="n"/>
      <c r="B156" s="110" t="inlineStr">
        <is>
          <t>37 years</t>
        </is>
      </c>
      <c r="C156" s="111" t="n"/>
      <c r="D156" s="112" t="n">
        <v>20</v>
      </c>
      <c r="E156" s="112" t="n">
        <v>45</v>
      </c>
      <c r="F156" s="112" t="n">
        <v>13</v>
      </c>
      <c r="G156" s="112" t="n">
        <v>27</v>
      </c>
      <c r="H156" s="113" t="n"/>
      <c r="I156" s="62" t="n"/>
      <c r="J156" s="62" t="n"/>
      <c r="K156" s="62" t="n"/>
      <c r="L156" s="62" t="n"/>
    </row>
    <row r="157" ht="20.65" customHeight="1" s="206">
      <c r="A157" s="93" t="n"/>
      <c r="B157" s="110" t="inlineStr">
        <is>
          <t>38 years</t>
        </is>
      </c>
      <c r="C157" s="111" t="n"/>
      <c r="D157" s="112" t="n">
        <v>23</v>
      </c>
      <c r="E157" s="112" t="n">
        <v>46</v>
      </c>
      <c r="F157" s="112" t="n">
        <v>14</v>
      </c>
      <c r="G157" s="112" t="n">
        <v>27</v>
      </c>
      <c r="H157" s="113" t="n"/>
      <c r="I157" s="62" t="n"/>
      <c r="J157" s="62" t="n"/>
      <c r="K157" s="62" t="n"/>
      <c r="L157" s="62" t="n"/>
    </row>
    <row r="158" ht="20.65" customHeight="1" s="206">
      <c r="A158" s="93" t="n"/>
      <c r="B158" s="110" t="inlineStr">
        <is>
          <t>39 years</t>
        </is>
      </c>
      <c r="C158" s="111" t="n"/>
      <c r="D158" s="112" t="n">
        <v>22</v>
      </c>
      <c r="E158" s="112" t="n">
        <v>47</v>
      </c>
      <c r="F158" s="112" t="n">
        <v>13</v>
      </c>
      <c r="G158" s="112" t="n">
        <v>27</v>
      </c>
      <c r="H158" s="113" t="n"/>
      <c r="I158" s="62" t="n"/>
      <c r="J158" s="62" t="n"/>
      <c r="K158" s="62" t="n"/>
      <c r="L158" s="62" t="n"/>
    </row>
    <row r="159" ht="20.65" customHeight="1" s="206">
      <c r="A159" s="93" t="n"/>
      <c r="B159" s="110" t="inlineStr">
        <is>
          <t>40 years</t>
        </is>
      </c>
      <c r="C159" s="111" t="n"/>
      <c r="D159" s="112" t="n">
        <v>24</v>
      </c>
      <c r="E159" s="112" t="n">
        <v>50</v>
      </c>
      <c r="F159" s="112" t="n">
        <v>14</v>
      </c>
      <c r="G159" s="112" t="n">
        <v>29</v>
      </c>
      <c r="H159" s="113" t="n"/>
      <c r="I159" s="62" t="n"/>
      <c r="J159" s="62" t="n"/>
      <c r="K159" s="62" t="n"/>
      <c r="L159" s="62" t="n"/>
    </row>
    <row r="160" ht="20.65" customHeight="1" s="206">
      <c r="A160" s="93" t="n"/>
      <c r="B160" s="110" t="inlineStr">
        <is>
          <t>41 years</t>
        </is>
      </c>
      <c r="C160" s="111" t="n"/>
      <c r="D160" s="112" t="n">
        <v>27</v>
      </c>
      <c r="E160" s="112" t="n">
        <v>51</v>
      </c>
      <c r="F160" s="112" t="n">
        <v>16</v>
      </c>
      <c r="G160" s="112" t="n">
        <v>30</v>
      </c>
      <c r="H160" s="113" t="n"/>
      <c r="I160" s="62" t="n"/>
      <c r="J160" s="62" t="n"/>
      <c r="K160" s="62" t="n"/>
      <c r="L160" s="62" t="n"/>
    </row>
    <row r="161" ht="20.65" customHeight="1" s="206">
      <c r="A161" s="93" t="n"/>
      <c r="B161" s="110" t="inlineStr">
        <is>
          <t>42 years</t>
        </is>
      </c>
      <c r="C161" s="111" t="n"/>
      <c r="D161" s="112" t="n">
        <v>32</v>
      </c>
      <c r="E161" s="112" t="n">
        <v>55</v>
      </c>
      <c r="F161" s="112" t="n">
        <v>20</v>
      </c>
      <c r="G161" s="112" t="n">
        <v>33</v>
      </c>
      <c r="H161" s="113" t="n"/>
      <c r="I161" s="62" t="n"/>
      <c r="J161" s="62" t="n"/>
      <c r="K161" s="62" t="n"/>
      <c r="L161" s="62" t="n"/>
    </row>
    <row r="162" ht="20.65" customHeight="1" s="206">
      <c r="A162" s="93" t="n"/>
      <c r="B162" s="110" t="inlineStr">
        <is>
          <t>43 years</t>
        </is>
      </c>
      <c r="C162" s="111" t="n"/>
      <c r="D162" s="112" t="n">
        <v>35</v>
      </c>
      <c r="E162" s="112" t="n">
        <v>62</v>
      </c>
      <c r="F162" s="112" t="n">
        <v>21</v>
      </c>
      <c r="G162" s="112" t="n">
        <v>37</v>
      </c>
      <c r="H162" s="113" t="n"/>
      <c r="I162" s="62" t="n"/>
      <c r="J162" s="62" t="n"/>
      <c r="K162" s="62" t="n"/>
      <c r="L162" s="62" t="n"/>
    </row>
    <row r="163" ht="20.65" customHeight="1" s="206">
      <c r="A163" s="93" t="n"/>
      <c r="B163" s="110" t="inlineStr">
        <is>
          <t>44 years</t>
        </is>
      </c>
      <c r="C163" s="111" t="n"/>
      <c r="D163" s="112" t="n">
        <v>40</v>
      </c>
      <c r="E163" s="112" t="n">
        <v>55</v>
      </c>
      <c r="F163" s="112" t="n">
        <v>25</v>
      </c>
      <c r="G163" s="112" t="n">
        <v>32</v>
      </c>
      <c r="H163" s="113" t="n"/>
      <c r="I163" s="62" t="n"/>
      <c r="J163" s="62" t="n"/>
      <c r="K163" s="62" t="n"/>
      <c r="L163" s="62" t="n"/>
    </row>
    <row r="164" ht="20.65" customHeight="1" s="206">
      <c r="A164" s="93" t="n"/>
      <c r="B164" s="110" t="inlineStr">
        <is>
          <t>45 years</t>
        </is>
      </c>
      <c r="C164" s="111" t="n"/>
      <c r="D164" s="112" t="n">
        <v>33</v>
      </c>
      <c r="E164" s="112" t="n">
        <v>72</v>
      </c>
      <c r="F164" s="112" t="n">
        <v>15</v>
      </c>
      <c r="G164" s="112" t="n">
        <v>28</v>
      </c>
      <c r="H164" s="113" t="n"/>
      <c r="I164" s="62" t="n"/>
      <c r="J164" s="62" t="n"/>
      <c r="K164" s="62" t="n"/>
      <c r="L164" s="62" t="n"/>
    </row>
    <row r="165" ht="20.65" customHeight="1" s="206">
      <c r="A165" s="93" t="n"/>
      <c r="B165" s="110" t="inlineStr">
        <is>
          <t>46 years</t>
        </is>
      </c>
      <c r="C165" s="111" t="n"/>
      <c r="D165" s="112" t="n">
        <v>44</v>
      </c>
      <c r="E165" s="112" t="n">
        <v>72</v>
      </c>
      <c r="F165" s="112" t="n">
        <v>19</v>
      </c>
      <c r="G165" s="112" t="n">
        <v>28</v>
      </c>
      <c r="H165" s="113" t="n"/>
      <c r="I165" s="62" t="n"/>
      <c r="J165" s="62" t="n"/>
      <c r="K165" s="62" t="n"/>
      <c r="L165" s="62" t="n"/>
    </row>
    <row r="166" ht="20.65" customHeight="1" s="206">
      <c r="A166" s="93" t="n"/>
      <c r="B166" s="110" t="inlineStr">
        <is>
          <t>47 years</t>
        </is>
      </c>
      <c r="C166" s="111" t="n"/>
      <c r="D166" s="112" t="n">
        <v>44</v>
      </c>
      <c r="E166" s="112" t="n">
        <v>84</v>
      </c>
      <c r="F166" s="112" t="n">
        <v>20</v>
      </c>
      <c r="G166" s="112" t="n">
        <v>33</v>
      </c>
      <c r="H166" s="113" t="n"/>
      <c r="I166" s="62" t="n"/>
      <c r="J166" s="62" t="n"/>
      <c r="K166" s="62" t="n"/>
      <c r="L166" s="62" t="n"/>
    </row>
    <row r="167" ht="20.65" customHeight="1" s="206">
      <c r="A167" s="93" t="n"/>
      <c r="B167" s="110" t="inlineStr">
        <is>
          <t>48 years</t>
        </is>
      </c>
      <c r="C167" s="111" t="n"/>
      <c r="D167" s="112" t="n">
        <v>49</v>
      </c>
      <c r="E167" s="112" t="n">
        <v>85</v>
      </c>
      <c r="F167" s="112" t="n">
        <v>22</v>
      </c>
      <c r="G167" s="112" t="n">
        <v>33</v>
      </c>
      <c r="H167" s="113" t="n"/>
      <c r="I167" s="62" t="n"/>
      <c r="J167" s="62" t="n"/>
      <c r="K167" s="62" t="n"/>
      <c r="L167" s="62" t="n"/>
    </row>
    <row r="168" ht="20.65" customHeight="1" s="206">
      <c r="A168" s="93" t="n"/>
      <c r="B168" s="110" t="inlineStr">
        <is>
          <t>49 years</t>
        </is>
      </c>
      <c r="C168" s="111" t="n"/>
      <c r="D168" s="112" t="n">
        <v>49</v>
      </c>
      <c r="E168" s="112" t="n">
        <v>110</v>
      </c>
      <c r="F168" s="112" t="n">
        <v>22</v>
      </c>
      <c r="G168" s="112" t="n">
        <v>43</v>
      </c>
      <c r="H168" s="113" t="n"/>
      <c r="I168" s="62" t="n"/>
      <c r="J168" s="62" t="n"/>
      <c r="K168" s="62" t="n"/>
      <c r="L168" s="62" t="n"/>
    </row>
    <row r="169" ht="20.65" customHeight="1" s="206">
      <c r="A169" s="93" t="n"/>
      <c r="B169" s="110" t="inlineStr">
        <is>
          <t>50 years</t>
        </is>
      </c>
      <c r="C169" s="111" t="n"/>
      <c r="D169" s="112" t="n">
        <v>56</v>
      </c>
      <c r="E169" s="112" t="n">
        <v>116</v>
      </c>
      <c r="F169" s="112" t="n">
        <v>25</v>
      </c>
      <c r="G169" s="112" t="n">
        <v>44</v>
      </c>
      <c r="H169" s="113" t="n"/>
      <c r="I169" s="62" t="n"/>
      <c r="J169" s="62" t="n"/>
      <c r="K169" s="62" t="n"/>
      <c r="L169" s="62" t="n"/>
    </row>
    <row r="170" ht="20.65" customHeight="1" s="206">
      <c r="A170" s="93" t="n"/>
      <c r="B170" s="110" t="inlineStr">
        <is>
          <t>51 years</t>
        </is>
      </c>
      <c r="C170" s="111" t="n"/>
      <c r="D170" s="112" t="n">
        <v>78</v>
      </c>
      <c r="E170" s="112" t="n">
        <v>123</v>
      </c>
      <c r="F170" s="112" t="n">
        <v>34</v>
      </c>
      <c r="G170" s="112" t="n">
        <v>47</v>
      </c>
      <c r="H170" s="113" t="n"/>
      <c r="I170" s="62" t="n"/>
      <c r="J170" s="62" t="n"/>
      <c r="K170" s="62" t="n"/>
      <c r="L170" s="62" t="n"/>
    </row>
    <row r="171" ht="20.65" customHeight="1" s="206">
      <c r="A171" s="93" t="n"/>
      <c r="B171" s="110" t="inlineStr">
        <is>
          <t>52 years</t>
        </is>
      </c>
      <c r="C171" s="111" t="n"/>
      <c r="D171" s="112" t="n">
        <v>78</v>
      </c>
      <c r="E171" s="112" t="n">
        <v>135</v>
      </c>
      <c r="F171" s="112" t="n">
        <v>34</v>
      </c>
      <c r="G171" s="112" t="n">
        <v>52</v>
      </c>
      <c r="H171" s="113" t="n"/>
      <c r="I171" s="62" t="n"/>
      <c r="J171" s="62" t="n"/>
      <c r="K171" s="62" t="n"/>
      <c r="L171" s="62" t="n"/>
    </row>
    <row r="172" ht="20.65" customHeight="1" s="206">
      <c r="A172" s="93" t="n"/>
      <c r="B172" s="110" t="inlineStr">
        <is>
          <t>53 years</t>
        </is>
      </c>
      <c r="C172" s="111" t="n"/>
      <c r="D172" s="112" t="n">
        <v>94</v>
      </c>
      <c r="E172" s="112" t="n">
        <v>172</v>
      </c>
      <c r="F172" s="112" t="n">
        <v>42</v>
      </c>
      <c r="G172" s="112" t="n">
        <v>66</v>
      </c>
      <c r="H172" s="113" t="n"/>
      <c r="I172" s="62" t="n"/>
      <c r="J172" s="62" t="n"/>
      <c r="K172" s="62" t="n"/>
      <c r="L172" s="62" t="n"/>
    </row>
    <row r="173" ht="20.65" customHeight="1" s="206">
      <c r="A173" s="93" t="n"/>
      <c r="B173" s="110" t="inlineStr">
        <is>
          <t>54 years</t>
        </is>
      </c>
      <c r="C173" s="111" t="n"/>
      <c r="D173" s="112" t="n">
        <v>91</v>
      </c>
      <c r="E173" s="112" t="n">
        <v>177</v>
      </c>
      <c r="F173" s="112" t="n">
        <v>40</v>
      </c>
      <c r="G173" s="112" t="n">
        <v>68</v>
      </c>
      <c r="H173" s="113" t="n"/>
      <c r="I173" s="62" t="n"/>
      <c r="J173" s="62" t="n"/>
      <c r="K173" s="62" t="n"/>
      <c r="L173" s="62" t="n"/>
    </row>
    <row r="174" ht="20.65" customHeight="1" s="206">
      <c r="A174" s="93" t="n"/>
      <c r="B174" s="110" t="inlineStr">
        <is>
          <t>55 years</t>
        </is>
      </c>
      <c r="C174" s="111" t="n"/>
      <c r="D174" s="112" t="n">
        <v>132</v>
      </c>
      <c r="E174" s="112" t="n">
        <v>261</v>
      </c>
      <c r="F174" s="112" t="n">
        <v>58</v>
      </c>
      <c r="G174" s="112" t="n">
        <v>101</v>
      </c>
      <c r="H174" s="113" t="n"/>
      <c r="I174" s="62" t="n"/>
      <c r="J174" s="62" t="n"/>
      <c r="K174" s="62" t="n"/>
      <c r="L174" s="62" t="n"/>
    </row>
    <row r="175" ht="20.65" customHeight="1" s="206">
      <c r="A175" s="93" t="n"/>
      <c r="B175" s="110" t="inlineStr">
        <is>
          <t>56 years</t>
        </is>
      </c>
      <c r="C175" s="111" t="n"/>
      <c r="D175" s="112" t="n">
        <v>125</v>
      </c>
      <c r="E175" s="112" t="n">
        <v>250</v>
      </c>
      <c r="F175" s="112" t="n">
        <v>55</v>
      </c>
      <c r="G175" s="112" t="n">
        <v>96</v>
      </c>
      <c r="H175" s="113" t="n"/>
      <c r="I175" s="62" t="n"/>
      <c r="J175" s="62" t="n"/>
      <c r="K175" s="62" t="n"/>
      <c r="L175" s="62" t="n"/>
    </row>
    <row r="176" ht="20.65" customHeight="1" s="206">
      <c r="A176" s="93" t="n"/>
      <c r="B176" s="110" t="inlineStr">
        <is>
          <t>57 years</t>
        </is>
      </c>
      <c r="C176" s="111" t="n"/>
      <c r="D176" s="112" t="n">
        <v>136</v>
      </c>
      <c r="E176" s="112" t="n">
        <v>272</v>
      </c>
      <c r="F176" s="112" t="n">
        <v>60</v>
      </c>
      <c r="G176" s="112" t="n">
        <v>105</v>
      </c>
      <c r="H176" s="113" t="n"/>
      <c r="I176" s="62" t="n"/>
      <c r="J176" s="62" t="n"/>
      <c r="K176" s="62" t="n"/>
      <c r="L176" s="62" t="n"/>
    </row>
    <row r="177" ht="20.65" customHeight="1" s="206">
      <c r="A177" s="93" t="n"/>
      <c r="B177" s="110" t="inlineStr">
        <is>
          <t>58 years</t>
        </is>
      </c>
      <c r="C177" s="111" t="n"/>
      <c r="D177" s="112" t="n">
        <v>150</v>
      </c>
      <c r="E177" s="112" t="n">
        <v>276</v>
      </c>
      <c r="F177" s="112" t="n">
        <v>66</v>
      </c>
      <c r="G177" s="112" t="n">
        <v>106</v>
      </c>
      <c r="H177" s="113" t="n"/>
      <c r="I177" s="62" t="n"/>
      <c r="J177" s="62" t="n"/>
      <c r="K177" s="62" t="n"/>
      <c r="L177" s="62" t="n"/>
    </row>
    <row r="178" ht="20.65" customHeight="1" s="206">
      <c r="A178" s="93" t="n"/>
      <c r="B178" s="110" t="inlineStr">
        <is>
          <t>59 years</t>
        </is>
      </c>
      <c r="C178" s="111" t="n"/>
      <c r="D178" s="112" t="n">
        <v>173</v>
      </c>
      <c r="E178" s="112" t="n">
        <v>327</v>
      </c>
      <c r="F178" s="112" t="n">
        <v>76</v>
      </c>
      <c r="G178" s="112" t="n">
        <v>126</v>
      </c>
      <c r="H178" s="113" t="n"/>
      <c r="I178" s="62" t="n"/>
      <c r="J178" s="62" t="n"/>
      <c r="K178" s="62" t="n"/>
      <c r="L178" s="62" t="n"/>
    </row>
    <row r="179" ht="20.65" customHeight="1" s="206">
      <c r="A179" s="93" t="n"/>
      <c r="B179" s="110" t="inlineStr">
        <is>
          <t>60 years</t>
        </is>
      </c>
      <c r="C179" s="111" t="n"/>
      <c r="D179" s="112" t="n">
        <v>242</v>
      </c>
      <c r="E179" s="112" t="n">
        <v>474</v>
      </c>
      <c r="F179" s="112" t="n">
        <v>48</v>
      </c>
      <c r="G179" s="112" t="n">
        <v>89</v>
      </c>
      <c r="H179" s="113" t="n"/>
      <c r="I179" s="62" t="n"/>
      <c r="J179" s="62" t="n"/>
      <c r="K179" s="62" t="n"/>
      <c r="L179" s="62" t="n"/>
    </row>
    <row r="180" ht="20.65" customHeight="1" s="206">
      <c r="A180" s="93" t="n"/>
      <c r="B180" s="110" t="inlineStr">
        <is>
          <t>61 years</t>
        </is>
      </c>
      <c r="C180" s="111" t="n"/>
      <c r="D180" s="112" t="n">
        <v>243</v>
      </c>
      <c r="E180" s="112" t="n">
        <v>464</v>
      </c>
      <c r="F180" s="112" t="n">
        <v>48</v>
      </c>
      <c r="G180" s="112" t="n">
        <v>87</v>
      </c>
      <c r="H180" s="113" t="n"/>
      <c r="I180" s="62" t="n"/>
      <c r="J180" s="62" t="n"/>
      <c r="K180" s="62" t="n"/>
      <c r="L180" s="62" t="n"/>
    </row>
    <row r="181" ht="20.65" customHeight="1" s="206">
      <c r="A181" s="93" t="n"/>
      <c r="B181" s="110" t="inlineStr">
        <is>
          <t>62 years</t>
        </is>
      </c>
      <c r="C181" s="111" t="n"/>
      <c r="D181" s="112" t="n">
        <v>267</v>
      </c>
      <c r="E181" s="112" t="n">
        <v>543</v>
      </c>
      <c r="F181" s="112" t="n">
        <v>53</v>
      </c>
      <c r="G181" s="112" t="n">
        <v>102</v>
      </c>
      <c r="H181" s="113" t="n"/>
      <c r="I181" s="62" t="n"/>
      <c r="J181" s="62" t="n"/>
      <c r="K181" s="62" t="n"/>
      <c r="L181" s="62" t="n"/>
    </row>
    <row r="182" ht="20.65" customHeight="1" s="206">
      <c r="A182" s="93" t="n"/>
      <c r="B182" s="110" t="inlineStr">
        <is>
          <t>63 years</t>
        </is>
      </c>
      <c r="C182" s="111" t="n"/>
      <c r="D182" s="112" t="n">
        <v>282</v>
      </c>
      <c r="E182" s="112" t="n">
        <v>514</v>
      </c>
      <c r="F182" s="112" t="n">
        <v>55</v>
      </c>
      <c r="G182" s="112" t="n">
        <v>96</v>
      </c>
      <c r="H182" s="113" t="n"/>
      <c r="I182" s="62" t="n"/>
      <c r="J182" s="62" t="n"/>
      <c r="K182" s="62" t="n"/>
      <c r="L182" s="62" t="n"/>
    </row>
    <row r="183" ht="20.65" customHeight="1" s="206">
      <c r="A183" s="93" t="n"/>
      <c r="B183" s="110" t="inlineStr">
        <is>
          <t>64 years</t>
        </is>
      </c>
      <c r="C183" s="111" t="n"/>
      <c r="D183" s="112" t="n">
        <v>291</v>
      </c>
      <c r="E183" s="112" t="n">
        <v>589</v>
      </c>
      <c r="F183" s="112" t="n">
        <v>57</v>
      </c>
      <c r="G183" s="112" t="n">
        <v>110</v>
      </c>
      <c r="H183" s="113" t="n"/>
      <c r="I183" s="62" t="n"/>
      <c r="J183" s="62" t="n"/>
      <c r="K183" s="62" t="n"/>
      <c r="L183" s="62" t="n"/>
    </row>
    <row r="184" ht="20.65" customHeight="1" s="206">
      <c r="A184" s="93" t="n"/>
      <c r="B184" s="110" t="inlineStr">
        <is>
          <t>65 years</t>
        </is>
      </c>
      <c r="C184" s="111" t="n"/>
      <c r="D184" s="112" t="n">
        <v>333</v>
      </c>
      <c r="E184" s="112" t="n">
        <v>609</v>
      </c>
      <c r="F184" s="112" t="n">
        <v>66</v>
      </c>
      <c r="G184" s="112" t="n">
        <v>114</v>
      </c>
      <c r="H184" s="113" t="n"/>
      <c r="I184" s="62" t="n"/>
      <c r="J184" s="62" t="n"/>
      <c r="K184" s="62" t="n"/>
      <c r="L184" s="62" t="n"/>
    </row>
    <row r="185" ht="20.65" customHeight="1" s="206">
      <c r="A185" s="93" t="n"/>
      <c r="B185" s="110" t="inlineStr">
        <is>
          <t>66 years</t>
        </is>
      </c>
      <c r="C185" s="111" t="n"/>
      <c r="D185" s="112" t="n">
        <v>346</v>
      </c>
      <c r="E185" s="112" t="n">
        <v>631</v>
      </c>
      <c r="F185" s="112" t="n">
        <v>68</v>
      </c>
      <c r="G185" s="112" t="n">
        <v>118</v>
      </c>
      <c r="H185" s="113" t="n"/>
      <c r="I185" s="62" t="n"/>
      <c r="J185" s="62" t="n"/>
      <c r="K185" s="62" t="n"/>
      <c r="L185" s="62" t="n"/>
    </row>
    <row r="186" ht="20.65" customHeight="1" s="206">
      <c r="A186" s="93" t="n"/>
      <c r="B186" s="110" t="inlineStr">
        <is>
          <t>67 years</t>
        </is>
      </c>
      <c r="C186" s="111" t="n"/>
      <c r="D186" s="112" t="n">
        <v>376</v>
      </c>
      <c r="E186" s="112" t="n">
        <v>665</v>
      </c>
      <c r="F186" s="112" t="n">
        <v>74</v>
      </c>
      <c r="G186" s="112" t="n">
        <v>124</v>
      </c>
      <c r="H186" s="113" t="n"/>
      <c r="I186" s="62" t="n"/>
      <c r="J186" s="62" t="n"/>
      <c r="K186" s="62" t="n"/>
      <c r="L186" s="62" t="n"/>
    </row>
    <row r="187" ht="20.65" customHeight="1" s="206">
      <c r="A187" s="93" t="n"/>
      <c r="B187" s="110" t="inlineStr">
        <is>
          <t>68 years</t>
        </is>
      </c>
      <c r="C187" s="111" t="n"/>
      <c r="D187" s="112" t="n">
        <v>398</v>
      </c>
      <c r="E187" s="112" t="n">
        <v>696</v>
      </c>
      <c r="F187" s="112" t="n">
        <v>79</v>
      </c>
      <c r="G187" s="112" t="n">
        <v>130</v>
      </c>
      <c r="H187" s="113" t="n"/>
      <c r="I187" s="62" t="n"/>
      <c r="J187" s="62" t="n"/>
      <c r="K187" s="62" t="n"/>
      <c r="L187" s="62" t="n"/>
    </row>
    <row r="188" ht="20.65" customHeight="1" s="206">
      <c r="A188" s="93" t="n"/>
      <c r="B188" s="110" t="inlineStr">
        <is>
          <t>69 years</t>
        </is>
      </c>
      <c r="C188" s="111" t="n"/>
      <c r="D188" s="112" t="n">
        <v>441</v>
      </c>
      <c r="E188" s="112" t="n">
        <v>664</v>
      </c>
      <c r="F188" s="112" t="n">
        <v>87</v>
      </c>
      <c r="G188" s="112" t="n">
        <v>124</v>
      </c>
      <c r="H188" s="113" t="n"/>
      <c r="I188" s="62" t="n"/>
      <c r="J188" s="62" t="n"/>
      <c r="K188" s="62" t="n"/>
      <c r="L188" s="62" t="n"/>
    </row>
    <row r="189" ht="20.65" customHeight="1" s="206">
      <c r="A189" s="93" t="n"/>
      <c r="B189" s="110" t="inlineStr">
        <is>
          <t>70 years</t>
        </is>
      </c>
      <c r="C189" s="111" t="n"/>
      <c r="D189" s="112" t="n">
        <v>417</v>
      </c>
      <c r="E189" s="112" t="n">
        <v>714</v>
      </c>
      <c r="F189" s="112" t="n">
        <v>82</v>
      </c>
      <c r="G189" s="112" t="n">
        <v>133</v>
      </c>
      <c r="H189" s="113" t="n"/>
      <c r="I189" s="62" t="n"/>
      <c r="J189" s="62" t="n"/>
      <c r="K189" s="62" t="n"/>
      <c r="L189" s="62" t="n"/>
    </row>
    <row r="190" ht="20.65" customHeight="1" s="206">
      <c r="A190" s="93" t="n"/>
      <c r="B190" s="110" t="inlineStr">
        <is>
          <t>71 years</t>
        </is>
      </c>
      <c r="C190" s="111" t="n"/>
      <c r="D190" s="112" t="n">
        <v>472</v>
      </c>
      <c r="E190" s="112" t="n">
        <v>708</v>
      </c>
      <c r="F190" s="112" t="n">
        <v>93</v>
      </c>
      <c r="G190" s="112" t="n">
        <v>132</v>
      </c>
      <c r="H190" s="113" t="n"/>
      <c r="I190" s="62" t="n"/>
      <c r="J190" s="62" t="n"/>
      <c r="K190" s="62" t="n"/>
      <c r="L190" s="62" t="n"/>
    </row>
    <row r="191" ht="20.65" customHeight="1" s="206">
      <c r="A191" s="93" t="n"/>
      <c r="B191" s="110" t="inlineStr">
        <is>
          <t>72 years</t>
        </is>
      </c>
      <c r="C191" s="111" t="n"/>
      <c r="D191" s="112" t="n">
        <v>509</v>
      </c>
      <c r="E191" s="112" t="n">
        <v>726</v>
      </c>
      <c r="F191" s="112" t="n">
        <v>100</v>
      </c>
      <c r="G191" s="112" t="n">
        <v>136</v>
      </c>
      <c r="H191" s="113" t="n"/>
      <c r="I191" s="62" t="n"/>
      <c r="J191" s="62" t="n"/>
      <c r="K191" s="62" t="n"/>
      <c r="L191" s="62" t="n"/>
    </row>
    <row r="192" ht="20.65" customHeight="1" s="206">
      <c r="A192" s="93" t="n"/>
      <c r="B192" s="110" t="inlineStr">
        <is>
          <t>73 years</t>
        </is>
      </c>
      <c r="C192" s="111" t="n"/>
      <c r="D192" s="112" t="n">
        <v>556</v>
      </c>
      <c r="E192" s="112" t="n">
        <v>797</v>
      </c>
      <c r="F192" s="112" t="n">
        <v>110</v>
      </c>
      <c r="G192" s="112" t="n">
        <v>149</v>
      </c>
      <c r="H192" s="113" t="n"/>
      <c r="I192" s="62" t="n"/>
      <c r="J192" s="62" t="n"/>
      <c r="K192" s="62" t="n"/>
      <c r="L192" s="62" t="n"/>
    </row>
    <row r="193" ht="20.65" customHeight="1" s="206">
      <c r="A193" s="93" t="n"/>
      <c r="B193" s="110" t="inlineStr">
        <is>
          <t>74 years</t>
        </is>
      </c>
      <c r="C193" s="111" t="n"/>
      <c r="D193" s="112" t="n">
        <v>605</v>
      </c>
      <c r="E193" s="112" t="n">
        <v>881</v>
      </c>
      <c r="F193" s="112" t="n">
        <v>119</v>
      </c>
      <c r="G193" s="112" t="n">
        <v>165</v>
      </c>
      <c r="H193" s="113" t="n"/>
      <c r="I193" s="62" t="n"/>
      <c r="J193" s="62" t="n"/>
      <c r="K193" s="62" t="n"/>
      <c r="L193" s="62" t="n"/>
    </row>
    <row r="194" ht="20.65" customHeight="1" s="206">
      <c r="A194" s="93" t="n"/>
      <c r="B194" s="110" t="inlineStr">
        <is>
          <t>75 years</t>
        </is>
      </c>
      <c r="C194" s="111" t="n"/>
      <c r="D194" s="112" t="n">
        <v>725</v>
      </c>
      <c r="E194" s="112" t="n">
        <v>989</v>
      </c>
      <c r="F194" s="112" t="n">
        <v>143</v>
      </c>
      <c r="G194" s="112" t="n">
        <v>185</v>
      </c>
      <c r="H194" s="113" t="n"/>
      <c r="I194" s="62" t="n"/>
      <c r="J194" s="62" t="n"/>
      <c r="K194" s="62" t="n"/>
      <c r="L194" s="62" t="n"/>
    </row>
    <row r="195" ht="20.65" customHeight="1" s="206">
      <c r="A195" s="93" t="n"/>
      <c r="B195" s="110" t="inlineStr">
        <is>
          <t>76 years</t>
        </is>
      </c>
      <c r="C195" s="111" t="n"/>
      <c r="D195" s="112" t="n">
        <v>765</v>
      </c>
      <c r="E195" s="112" t="n">
        <v>1069</v>
      </c>
      <c r="F195" s="112" t="n">
        <v>151</v>
      </c>
      <c r="G195" s="112" t="n">
        <v>200</v>
      </c>
      <c r="H195" s="113" t="n"/>
      <c r="I195" s="62" t="n"/>
      <c r="J195" s="62" t="n"/>
      <c r="K195" s="62" t="n"/>
      <c r="L195" s="62" t="n"/>
    </row>
    <row r="196" ht="20.65" customHeight="1" s="206">
      <c r="A196" s="93" t="n"/>
      <c r="B196" s="110" t="inlineStr">
        <is>
          <t>77 years</t>
        </is>
      </c>
      <c r="C196" s="111" t="n"/>
      <c r="D196" s="112" t="n">
        <v>846</v>
      </c>
      <c r="E196" s="112" t="n">
        <v>1112</v>
      </c>
      <c r="F196" s="112" t="n">
        <v>167</v>
      </c>
      <c r="G196" s="112" t="n">
        <v>208</v>
      </c>
      <c r="H196" s="113" t="n"/>
      <c r="I196" s="62" t="n"/>
      <c r="J196" s="62" t="n"/>
      <c r="K196" s="62" t="n"/>
      <c r="L196" s="62" t="n"/>
    </row>
    <row r="197" ht="20.65" customHeight="1" s="206">
      <c r="A197" s="93" t="n"/>
      <c r="B197" s="110" t="inlineStr">
        <is>
          <t>78 years</t>
        </is>
      </c>
      <c r="C197" s="111" t="n"/>
      <c r="D197" s="112" t="n">
        <v>642</v>
      </c>
      <c r="E197" s="112" t="n">
        <v>815</v>
      </c>
      <c r="F197" s="112" t="n">
        <v>127</v>
      </c>
      <c r="G197" s="112" t="n">
        <v>152</v>
      </c>
      <c r="H197" s="113" t="n"/>
      <c r="I197" s="62" t="n"/>
      <c r="J197" s="62" t="n"/>
      <c r="K197" s="62" t="n"/>
      <c r="L197" s="62" t="n"/>
    </row>
    <row r="198" ht="20.65" customHeight="1" s="206">
      <c r="A198" s="93" t="n"/>
      <c r="B198" s="110" t="inlineStr">
        <is>
          <t>79 years</t>
        </is>
      </c>
      <c r="C198" s="111" t="n"/>
      <c r="D198" s="112" t="n">
        <v>884</v>
      </c>
      <c r="E198" s="112" t="n">
        <v>1005</v>
      </c>
      <c r="F198" s="112" t="n">
        <v>174</v>
      </c>
      <c r="G198" s="112" t="n">
        <v>188</v>
      </c>
      <c r="H198" s="113" t="n"/>
      <c r="I198" s="62" t="n"/>
      <c r="J198" s="62" t="n"/>
      <c r="K198" s="62" t="n"/>
      <c r="L198" s="62" t="n"/>
    </row>
    <row r="199" ht="20.65" customHeight="1" s="206">
      <c r="A199" s="93" t="n"/>
      <c r="B199" s="110" t="inlineStr">
        <is>
          <t>80 years</t>
        </is>
      </c>
      <c r="C199" s="111" t="n"/>
      <c r="D199" s="112" t="n">
        <v>1024</v>
      </c>
      <c r="E199" s="112" t="n">
        <v>1186</v>
      </c>
      <c r="F199" s="112" t="n">
        <v>202</v>
      </c>
      <c r="G199" s="112" t="n">
        <v>222</v>
      </c>
      <c r="H199" s="113" t="n"/>
      <c r="I199" s="62" t="n"/>
      <c r="J199" s="62" t="n"/>
      <c r="K199" s="62" t="n"/>
      <c r="L199" s="62" t="n"/>
    </row>
    <row r="200" ht="20.65" customHeight="1" s="206">
      <c r="A200" s="93" t="n"/>
      <c r="B200" s="110" t="inlineStr">
        <is>
          <t>81 years</t>
        </is>
      </c>
      <c r="C200" s="111" t="n"/>
      <c r="D200" s="112" t="n">
        <v>1192</v>
      </c>
      <c r="E200" s="112" t="n">
        <v>1189</v>
      </c>
      <c r="F200" s="112" t="n">
        <v>235</v>
      </c>
      <c r="G200" s="112" t="n">
        <v>222</v>
      </c>
      <c r="H200" s="113" t="n"/>
      <c r="I200" s="62" t="n"/>
      <c r="J200" s="62" t="n"/>
      <c r="K200" s="62" t="n"/>
      <c r="L200" s="62" t="n"/>
    </row>
    <row r="201" ht="20.65" customHeight="1" s="206">
      <c r="A201" s="93" t="n"/>
      <c r="B201" s="110" t="inlineStr">
        <is>
          <t>82 years</t>
        </is>
      </c>
      <c r="C201" s="111" t="n"/>
      <c r="D201" s="112" t="n">
        <v>1317</v>
      </c>
      <c r="E201" s="112" t="n">
        <v>1383</v>
      </c>
      <c r="F201" s="112" t="n">
        <v>259</v>
      </c>
      <c r="G201" s="112" t="n">
        <v>258</v>
      </c>
      <c r="H201" s="113" t="n"/>
      <c r="I201" s="62" t="n"/>
      <c r="J201" s="62" t="n"/>
      <c r="K201" s="62" t="n"/>
      <c r="L201" s="62" t="n"/>
    </row>
    <row r="202" ht="20.65" customHeight="1" s="206">
      <c r="A202" s="93" t="n"/>
      <c r="B202" s="110" t="inlineStr">
        <is>
          <t>83 years</t>
        </is>
      </c>
      <c r="C202" s="111" t="n"/>
      <c r="D202" s="112" t="n">
        <v>1496</v>
      </c>
      <c r="E202" s="112" t="n">
        <v>1643</v>
      </c>
      <c r="F202" s="112" t="n">
        <v>295</v>
      </c>
      <c r="G202" s="112" t="n">
        <v>307</v>
      </c>
      <c r="H202" s="113" t="n"/>
      <c r="I202" s="62" t="n"/>
      <c r="J202" s="62" t="n"/>
      <c r="K202" s="62" t="n"/>
      <c r="L202" s="62" t="n"/>
    </row>
    <row r="203" ht="20.65" customHeight="1" s="206">
      <c r="A203" s="93" t="n"/>
      <c r="B203" s="110" t="inlineStr">
        <is>
          <t>84 years</t>
        </is>
      </c>
      <c r="C203" s="111" t="n"/>
      <c r="D203" s="112" t="n">
        <v>1840</v>
      </c>
      <c r="E203" s="112" t="n">
        <v>1777</v>
      </c>
      <c r="F203" s="112" t="n">
        <v>363</v>
      </c>
      <c r="G203" s="112" t="n">
        <v>332</v>
      </c>
      <c r="H203" s="113" t="n"/>
      <c r="I203" s="62" t="n"/>
      <c r="J203" s="62" t="n"/>
      <c r="K203" s="62" t="n"/>
      <c r="L203" s="62" t="n"/>
    </row>
    <row r="204" ht="20.65" customHeight="1" s="206">
      <c r="A204" s="93" t="n"/>
      <c r="B204" s="110" t="inlineStr">
        <is>
          <t>85 years</t>
        </is>
      </c>
      <c r="C204" s="111" t="n"/>
      <c r="D204" s="112" t="n">
        <v>1691</v>
      </c>
      <c r="E204" s="112" t="n">
        <v>1540</v>
      </c>
      <c r="F204" s="112" t="n">
        <v>333</v>
      </c>
      <c r="G204" s="112" t="n">
        <v>288</v>
      </c>
      <c r="H204" s="113" t="n"/>
      <c r="I204" s="62" t="n"/>
      <c r="J204" s="62" t="n"/>
      <c r="K204" s="62" t="n"/>
      <c r="L204" s="62" t="n"/>
    </row>
    <row r="205" ht="20.65" customHeight="1" s="206">
      <c r="A205" s="93" t="n"/>
      <c r="B205" s="110" t="inlineStr">
        <is>
          <t>86 years</t>
        </is>
      </c>
      <c r="C205" s="111" t="n"/>
      <c r="D205" s="112" t="n">
        <v>1332</v>
      </c>
      <c r="E205" s="112" t="n">
        <v>1140</v>
      </c>
      <c r="F205" s="112" t="n">
        <v>262</v>
      </c>
      <c r="G205" s="112" t="n">
        <v>213</v>
      </c>
      <c r="H205" s="113" t="n"/>
      <c r="I205" s="62" t="n"/>
      <c r="J205" s="62" t="n"/>
      <c r="K205" s="62" t="n"/>
      <c r="L205" s="62" t="n"/>
    </row>
    <row r="206" ht="20.65" customHeight="1" s="206">
      <c r="A206" s="93" t="n"/>
      <c r="B206" s="110" t="inlineStr">
        <is>
          <t>87 years</t>
        </is>
      </c>
      <c r="C206" s="111" t="n"/>
      <c r="D206" s="112" t="n">
        <v>1347</v>
      </c>
      <c r="E206" s="112" t="n">
        <v>1060</v>
      </c>
      <c r="F206" s="112" t="n">
        <v>266</v>
      </c>
      <c r="G206" s="112" t="n">
        <v>198</v>
      </c>
      <c r="H206" s="113" t="n"/>
      <c r="I206" s="62" t="n"/>
      <c r="J206" s="62" t="n"/>
      <c r="K206" s="62" t="n"/>
      <c r="L206" s="62" t="n"/>
    </row>
    <row r="207" ht="20.65" customHeight="1" s="206">
      <c r="A207" s="93" t="n"/>
      <c r="B207" s="110" t="inlineStr">
        <is>
          <t>88 years</t>
        </is>
      </c>
      <c r="C207" s="111" t="n"/>
      <c r="D207" s="112" t="n">
        <v>1399</v>
      </c>
      <c r="E207" s="112" t="n">
        <v>1006</v>
      </c>
      <c r="F207" s="112" t="n">
        <v>276</v>
      </c>
      <c r="G207" s="112" t="n">
        <v>188</v>
      </c>
      <c r="H207" s="113" t="n"/>
      <c r="I207" s="62" t="n"/>
      <c r="J207" s="62" t="n"/>
      <c r="K207" s="62" t="n"/>
      <c r="L207" s="62" t="n"/>
    </row>
    <row r="208" ht="20.65" customHeight="1" s="206">
      <c r="A208" s="93" t="n"/>
      <c r="B208" s="110" t="inlineStr">
        <is>
          <t>89 years</t>
        </is>
      </c>
      <c r="C208" s="111" t="n"/>
      <c r="D208" s="112" t="n">
        <v>1517</v>
      </c>
      <c r="E208" s="112" t="n">
        <v>1044</v>
      </c>
      <c r="F208" s="112" t="n">
        <v>299</v>
      </c>
      <c r="G208" s="112" t="n">
        <v>195</v>
      </c>
      <c r="H208" s="113" t="n"/>
      <c r="I208" s="62" t="n"/>
      <c r="J208" s="62" t="n"/>
      <c r="K208" s="62" t="n"/>
      <c r="L208" s="62" t="n"/>
    </row>
    <row r="209" ht="20.65" customHeight="1" s="206">
      <c r="A209" s="93" t="n"/>
      <c r="B209" s="110" t="inlineStr">
        <is>
          <t>90 years</t>
        </is>
      </c>
      <c r="C209" s="111" t="n"/>
      <c r="D209" s="112" t="n">
        <v>1463</v>
      </c>
      <c r="E209" s="112" t="n">
        <v>962</v>
      </c>
      <c r="F209" s="112" t="n">
        <v>288</v>
      </c>
      <c r="G209" s="112" t="n">
        <v>180</v>
      </c>
      <c r="H209" s="113" t="n"/>
      <c r="I209" s="62" t="n"/>
      <c r="J209" s="62" t="n"/>
      <c r="K209" s="62" t="n"/>
      <c r="L209" s="62" t="n"/>
    </row>
    <row r="210" ht="20.65" customHeight="1" s="206">
      <c r="A210" s="93" t="n"/>
      <c r="B210" s="110" t="inlineStr">
        <is>
          <t>91 years</t>
        </is>
      </c>
      <c r="C210" s="111" t="n"/>
      <c r="D210" s="112" t="n">
        <v>1528</v>
      </c>
      <c r="E210" s="112" t="n">
        <v>862</v>
      </c>
      <c r="F210" s="112" t="n">
        <v>301</v>
      </c>
      <c r="G210" s="112" t="n">
        <v>161</v>
      </c>
      <c r="H210" s="113" t="n"/>
      <c r="I210" s="62" t="n"/>
      <c r="J210" s="62" t="n"/>
      <c r="K210" s="62" t="n"/>
      <c r="L210" s="62" t="n"/>
    </row>
    <row r="211" ht="20.65" customHeight="1" s="206">
      <c r="A211" s="93" t="n"/>
      <c r="B211" s="110" t="inlineStr">
        <is>
          <t>92 years</t>
        </is>
      </c>
      <c r="C211" s="111" t="n"/>
      <c r="D211" s="112" t="n">
        <v>1496</v>
      </c>
      <c r="E211" s="112" t="n">
        <v>805</v>
      </c>
      <c r="F211" s="112" t="n">
        <v>295</v>
      </c>
      <c r="G211" s="112" t="n">
        <v>151</v>
      </c>
      <c r="H211" s="113" t="n"/>
      <c r="I211" s="62" t="n"/>
      <c r="J211" s="62" t="n"/>
      <c r="K211" s="62" t="n"/>
      <c r="L211" s="62" t="n"/>
    </row>
    <row r="212" ht="20.65" customHeight="1" s="206">
      <c r="A212" s="93" t="n"/>
      <c r="B212" s="110" t="inlineStr">
        <is>
          <t>93 years</t>
        </is>
      </c>
      <c r="C212" s="111" t="n"/>
      <c r="D212" s="112" t="n">
        <v>1391</v>
      </c>
      <c r="E212" s="112" t="n">
        <v>668</v>
      </c>
      <c r="F212" s="112" t="n">
        <v>274</v>
      </c>
      <c r="G212" s="112" t="n">
        <v>125</v>
      </c>
      <c r="H212" s="113" t="n"/>
      <c r="I212" s="62" t="n"/>
      <c r="J212" s="62" t="n"/>
      <c r="K212" s="62" t="n"/>
      <c r="L212" s="62" t="n"/>
    </row>
    <row r="213" ht="20.65" customHeight="1" s="206">
      <c r="A213" s="93" t="n"/>
      <c r="B213" s="110" t="inlineStr">
        <is>
          <t>94 years</t>
        </is>
      </c>
      <c r="C213" s="111" t="n"/>
      <c r="D213" s="112" t="n">
        <v>1159</v>
      </c>
      <c r="E213" s="112" t="n">
        <v>551</v>
      </c>
      <c r="F213" s="112" t="n">
        <v>229</v>
      </c>
      <c r="G213" s="112" t="n">
        <v>103</v>
      </c>
      <c r="H213" s="113" t="n"/>
      <c r="I213" s="62" t="n"/>
      <c r="J213" s="62" t="n"/>
      <c r="K213" s="62" t="n"/>
      <c r="L213" s="62" t="n"/>
    </row>
    <row r="214" ht="20.65" customHeight="1" s="206">
      <c r="A214" s="93" t="n"/>
      <c r="B214" s="110" t="inlineStr">
        <is>
          <t>95 years</t>
        </is>
      </c>
      <c r="C214" s="111" t="n"/>
      <c r="D214" s="112" t="n">
        <v>999</v>
      </c>
      <c r="E214" s="112" t="n">
        <v>437</v>
      </c>
      <c r="F214" s="112" t="n">
        <v>197</v>
      </c>
      <c r="G214" s="112" t="n">
        <v>82</v>
      </c>
      <c r="H214" s="113" t="n"/>
      <c r="I214" s="62" t="n"/>
      <c r="J214" s="62" t="n"/>
      <c r="K214" s="62" t="n"/>
      <c r="L214" s="62" t="n"/>
    </row>
    <row r="215" ht="20.65" customHeight="1" s="206">
      <c r="A215" s="93" t="n"/>
      <c r="B215" s="110" t="inlineStr">
        <is>
          <t>96 years</t>
        </is>
      </c>
      <c r="C215" s="111" t="n"/>
      <c r="D215" s="112" t="n">
        <v>797</v>
      </c>
      <c r="E215" s="112" t="n">
        <v>288</v>
      </c>
      <c r="F215" s="112" t="n">
        <v>157</v>
      </c>
      <c r="G215" s="112" t="n">
        <v>54</v>
      </c>
      <c r="H215" s="113" t="n"/>
      <c r="I215" s="62" t="n"/>
      <c r="J215" s="62" t="n"/>
      <c r="K215" s="62" t="n"/>
      <c r="L215" s="62" t="n"/>
    </row>
    <row r="216" ht="20.65" customHeight="1" s="206">
      <c r="A216" s="93" t="n"/>
      <c r="B216" s="110" t="inlineStr">
        <is>
          <t>97 years</t>
        </is>
      </c>
      <c r="C216" s="111" t="n"/>
      <c r="D216" s="112" t="n">
        <v>670</v>
      </c>
      <c r="E216" s="112" t="n">
        <v>242</v>
      </c>
      <c r="F216" s="112" t="n">
        <v>132</v>
      </c>
      <c r="G216" s="112" t="n">
        <v>45</v>
      </c>
      <c r="H216" s="113" t="n"/>
      <c r="I216" s="62" t="n"/>
      <c r="J216" s="62" t="n"/>
      <c r="K216" s="62" t="n"/>
      <c r="L216" s="62" t="n"/>
    </row>
    <row r="217" ht="20.65" customHeight="1" s="206">
      <c r="A217" s="93" t="n"/>
      <c r="B217" s="110" t="inlineStr">
        <is>
          <t>98 years</t>
        </is>
      </c>
      <c r="C217" s="111" t="n"/>
      <c r="D217" s="112" t="n">
        <v>480</v>
      </c>
      <c r="E217" s="112" t="n">
        <v>144</v>
      </c>
      <c r="F217" s="112" t="n">
        <v>94</v>
      </c>
      <c r="G217" s="112" t="n">
        <v>27</v>
      </c>
      <c r="H217" s="113" t="n"/>
      <c r="I217" s="62" t="n"/>
      <c r="J217" s="62" t="n"/>
      <c r="K217" s="62" t="n"/>
      <c r="L217" s="62" t="n"/>
    </row>
    <row r="218" ht="20.65" customHeight="1" s="206">
      <c r="A218" s="93" t="n"/>
      <c r="B218" s="110" t="inlineStr">
        <is>
          <t>99 years and older</t>
        </is>
      </c>
      <c r="C218" s="111" t="n"/>
      <c r="D218" s="112" t="n">
        <v>1041</v>
      </c>
      <c r="E218" s="112" t="n">
        <v>206</v>
      </c>
      <c r="F218" s="112" t="n">
        <v>206</v>
      </c>
      <c r="G218" s="112" t="n">
        <v>38</v>
      </c>
      <c r="H218" s="113" t="n"/>
      <c r="I218" s="62" t="n"/>
      <c r="J218" s="62" t="n"/>
      <c r="K218" s="62" t="n"/>
      <c r="L218" s="62" t="n"/>
    </row>
    <row r="219" ht="20.45" customHeight="1" s="206">
      <c r="A219" s="41" t="n"/>
      <c r="B219" s="42" t="n"/>
      <c r="C219" s="114" t="n"/>
      <c r="D219" s="115" t="n"/>
      <c r="E219" s="115" t="n"/>
      <c r="F219" s="115" t="n"/>
      <c r="G219" s="115" t="n"/>
      <c r="H219" s="62" t="n"/>
      <c r="I219" s="62" t="n"/>
      <c r="J219" s="62" t="n"/>
      <c r="K219" s="62" t="n"/>
      <c r="L219" s="62" t="n"/>
    </row>
  </sheetData>
  <mergeCells count="11">
    <mergeCell ref="C112:K112"/>
    <mergeCell ref="C5:K5"/>
    <mergeCell ref="C117:K117"/>
    <mergeCell ref="A1:L1"/>
    <mergeCell ref="C116:K116"/>
    <mergeCell ref="C111:K111"/>
    <mergeCell ref="C110:K110"/>
    <mergeCell ref="C114:K114"/>
    <mergeCell ref="C4:K4"/>
    <mergeCell ref="C113:K113"/>
    <mergeCell ref="C109:K109"/>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294"/>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migration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Migration balance</t>
        </is>
      </c>
      <c r="C5" s="192" t="inlineStr">
        <is>
          <t>This is the total of immigrations (into the country) minus emigration (out of the country)</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2024</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117" t="n"/>
      <c r="K8" s="117" t="n"/>
      <c r="L8" s="52" t="n"/>
    </row>
    <row r="9" ht="20.1" customHeight="1" s="206">
      <c r="A9" s="38" t="inlineStr">
        <is>
          <t>ma</t>
        </is>
      </c>
      <c r="B9" s="11" t="inlineStr">
        <is>
          <t>Avarage migration balance (10 years)</t>
        </is>
      </c>
      <c r="C9" s="83" t="n">
        <v>300009.8</v>
      </c>
      <c r="D9" s="118" t="n">
        <v>-18876.60000000001</v>
      </c>
      <c r="E9" s="118" t="n">
        <v>-37224.1</v>
      </c>
      <c r="F9" s="118" t="n">
        <v>183857.5</v>
      </c>
      <c r="G9" s="118" t="n">
        <v>172253</v>
      </c>
      <c r="H9" s="83">
        <f t="array" ref="H9">E9+D9</f>
        <v/>
      </c>
      <c r="I9" s="83">
        <f t="array" ref="I9">G9+F9</f>
        <v/>
      </c>
      <c r="J9" s="83">
        <f t="array" ref="J9">D9+F9</f>
        <v/>
      </c>
      <c r="K9" s="83">
        <f t="array" ref="K9">E9+G9</f>
        <v/>
      </c>
      <c r="L9" s="52" t="n"/>
    </row>
    <row r="10" ht="20.1" customHeight="1" s="206">
      <c r="A10" s="10" t="n"/>
      <c r="B10" s="16" t="n"/>
      <c r="C10" s="119" t="n"/>
      <c r="D10" s="119" t="n"/>
      <c r="E10" s="119" t="n"/>
      <c r="F10" s="119" t="n"/>
      <c r="G10" s="119" t="n"/>
      <c r="H10" s="119" t="n"/>
      <c r="I10" s="119" t="n"/>
      <c r="J10" s="119" t="n"/>
      <c r="K10" s="119" t="n"/>
      <c r="L10" s="52" t="n"/>
    </row>
    <row r="11" ht="20.1" customHeight="1" s="206">
      <c r="A11" s="38" t="inlineStr">
        <is>
          <t>m00</t>
        </is>
      </c>
      <c r="B11" s="23" t="inlineStr">
        <is>
          <t>0 years</t>
        </is>
      </c>
      <c r="C11" s="55" t="n">
        <v>0</v>
      </c>
      <c r="D11" s="55" t="n">
        <v>0</v>
      </c>
      <c r="E11" s="55" t="n">
        <v>0</v>
      </c>
      <c r="F11" s="55" t="n">
        <v>0</v>
      </c>
      <c r="G11" s="55" t="n">
        <v>0</v>
      </c>
      <c r="H11" s="55">
        <f t="array" ref="H11">E11+D11</f>
        <v/>
      </c>
      <c r="I11" s="55">
        <f t="array" ref="I11">G11+F11</f>
        <v/>
      </c>
      <c r="J11" s="55">
        <f t="array" ref="J11">D11+F11</f>
        <v/>
      </c>
      <c r="K11" s="55">
        <f t="array" ref="K11">E11+G11</f>
        <v/>
      </c>
      <c r="L11" s="57" t="n"/>
    </row>
    <row r="12" ht="20.1" customHeight="1" s="206">
      <c r="A12" s="38" t="inlineStr">
        <is>
          <t>m01</t>
        </is>
      </c>
      <c r="B12" s="23" t="inlineStr">
        <is>
          <t>1 years</t>
        </is>
      </c>
      <c r="C12" s="55" t="n">
        <v>0</v>
      </c>
      <c r="D12" s="55" t="n">
        <v>0</v>
      </c>
      <c r="E12" s="55" t="n">
        <v>0</v>
      </c>
      <c r="F12" s="55" t="n">
        <v>0</v>
      </c>
      <c r="G12" s="55" t="n">
        <v>0</v>
      </c>
      <c r="H12" s="55">
        <f t="array" ref="H12">E12+D12</f>
        <v/>
      </c>
      <c r="I12" s="55">
        <f t="array" ref="I12">G12+F12</f>
        <v/>
      </c>
      <c r="J12" s="55">
        <f t="array" ref="J12">D12+F12</f>
        <v/>
      </c>
      <c r="K12" s="55">
        <f t="array" ref="K12">E12+G12</f>
        <v/>
      </c>
      <c r="L12" s="57" t="n"/>
    </row>
    <row r="13" ht="20.1" customHeight="1" s="206">
      <c r="A13" s="38" t="inlineStr">
        <is>
          <t>m02</t>
        </is>
      </c>
      <c r="B13" s="23" t="inlineStr">
        <is>
          <t>2 years</t>
        </is>
      </c>
      <c r="C13" s="55" t="n">
        <v>0</v>
      </c>
      <c r="D13" s="55" t="n">
        <v>0</v>
      </c>
      <c r="E13" s="55" t="n">
        <v>0</v>
      </c>
      <c r="F13" s="55" t="n">
        <v>0</v>
      </c>
      <c r="G13" s="55" t="n">
        <v>0</v>
      </c>
      <c r="H13" s="55">
        <f t="array" ref="H13">E13+D13</f>
        <v/>
      </c>
      <c r="I13" s="55">
        <f t="array" ref="I13">G13+F13</f>
        <v/>
      </c>
      <c r="J13" s="55">
        <f t="array" ref="J13">D13+F13</f>
        <v/>
      </c>
      <c r="K13" s="55">
        <f t="array" ref="K13">E13+G13</f>
        <v/>
      </c>
      <c r="L13" s="57" t="n"/>
    </row>
    <row r="14" ht="20.1" customHeight="1" s="206">
      <c r="A14" s="38" t="inlineStr">
        <is>
          <t>m03</t>
        </is>
      </c>
      <c r="B14" s="23" t="inlineStr">
        <is>
          <t>3 years</t>
        </is>
      </c>
      <c r="C14" s="55" t="n">
        <v>0</v>
      </c>
      <c r="D14" s="55" t="n">
        <v>0</v>
      </c>
      <c r="E14" s="55" t="n">
        <v>0</v>
      </c>
      <c r="F14" s="55" t="n">
        <v>0</v>
      </c>
      <c r="G14" s="55" t="n">
        <v>0</v>
      </c>
      <c r="H14" s="55">
        <f t="array" ref="H14">E14+D14</f>
        <v/>
      </c>
      <c r="I14" s="55">
        <f t="array" ref="I14">G14+F14</f>
        <v/>
      </c>
      <c r="J14" s="55">
        <f t="array" ref="J14">D14+F14</f>
        <v/>
      </c>
      <c r="K14" s="55">
        <f t="array" ref="K14">E14+G14</f>
        <v/>
      </c>
      <c r="L14" s="57" t="n"/>
    </row>
    <row r="15" ht="20.1" customHeight="1" s="206">
      <c r="A15" s="38" t="inlineStr">
        <is>
          <t>m04</t>
        </is>
      </c>
      <c r="B15" s="33" t="inlineStr">
        <is>
          <t>4 years</t>
        </is>
      </c>
      <c r="C15" s="79" t="n">
        <v>0</v>
      </c>
      <c r="D15" s="79" t="n">
        <v>0</v>
      </c>
      <c r="E15" s="79" t="n">
        <v>0</v>
      </c>
      <c r="F15" s="79" t="n">
        <v>0</v>
      </c>
      <c r="G15" s="79" t="n">
        <v>0</v>
      </c>
      <c r="H15" s="79">
        <f t="array" ref="H15">E15+D15</f>
        <v/>
      </c>
      <c r="I15" s="79">
        <f t="array" ref="I15">G15+F15</f>
        <v/>
      </c>
      <c r="J15" s="79">
        <f t="array" ref="J15">D15+F15</f>
        <v/>
      </c>
      <c r="K15" s="79">
        <f t="array" ref="K15">E15+G15</f>
        <v/>
      </c>
      <c r="L15" s="57" t="n"/>
    </row>
    <row r="16" ht="20.1" customHeight="1" s="206">
      <c r="A16" s="38" t="inlineStr">
        <is>
          <t>m05</t>
        </is>
      </c>
      <c r="B16" s="11" t="inlineStr">
        <is>
          <t>5 years</t>
        </is>
      </c>
      <c r="C16" s="83" t="n">
        <v>0</v>
      </c>
      <c r="D16" s="83" t="n">
        <v>0</v>
      </c>
      <c r="E16" s="83" t="n">
        <v>0</v>
      </c>
      <c r="F16" s="83" t="n">
        <v>0</v>
      </c>
      <c r="G16" s="83" t="n">
        <v>0</v>
      </c>
      <c r="H16" s="83">
        <f t="array" ref="H16">E16+D16</f>
        <v/>
      </c>
      <c r="I16" s="83">
        <f t="array" ref="I16">G16+F16</f>
        <v/>
      </c>
      <c r="J16" s="83">
        <f t="array" ref="J16">D16+F16</f>
        <v/>
      </c>
      <c r="K16" s="83">
        <f t="array" ref="K16">E16+G16</f>
        <v/>
      </c>
      <c r="L16" s="90" t="n">
        <v>0.0001247127</v>
      </c>
    </row>
    <row r="17" ht="20.1" customHeight="1" s="206">
      <c r="A17" s="38" t="inlineStr">
        <is>
          <t>m06</t>
        </is>
      </c>
      <c r="B17" s="11" t="inlineStr">
        <is>
          <t>6 years</t>
        </is>
      </c>
      <c r="C17" s="83" t="n">
        <v>2074.4831084384</v>
      </c>
      <c r="D17" s="83" t="n">
        <v>-130.526362287992</v>
      </c>
      <c r="E17" s="83" t="n">
        <v>-257.394147380592</v>
      </c>
      <c r="F17" s="83" t="n">
        <v>1271.322730489849</v>
      </c>
      <c r="G17" s="83" t="n">
        <v>1191.08088761714</v>
      </c>
      <c r="H17" s="83">
        <f t="array" ref="H17">E17+D17</f>
        <v/>
      </c>
      <c r="I17" s="83">
        <f t="array" ref="I17">G17+F17</f>
        <v/>
      </c>
      <c r="J17" s="83">
        <f t="array" ref="J17">D17+F17</f>
        <v/>
      </c>
      <c r="K17" s="83">
        <f t="array" ref="K17">E17+G17</f>
        <v/>
      </c>
      <c r="L17" s="90" t="n">
        <v>0.0002035291</v>
      </c>
    </row>
    <row r="18" ht="20.1" customHeight="1" s="206">
      <c r="A18" s="38" t="inlineStr">
        <is>
          <t>m07</t>
        </is>
      </c>
      <c r="B18" s="11" t="inlineStr">
        <is>
          <t>7 years</t>
        </is>
      </c>
      <c r="C18" s="83" t="n">
        <v>2496.05941670395</v>
      </c>
      <c r="D18" s="83" t="n">
        <v>-157.051920255118</v>
      </c>
      <c r="E18" s="83" t="n">
        <v>-309.701767520027</v>
      </c>
      <c r="F18" s="83" t="n">
        <v>1529.680844447902</v>
      </c>
      <c r="G18" s="83" t="n">
        <v>1433.132260031192</v>
      </c>
      <c r="H18" s="83">
        <f t="array" ref="H18">E18+D18</f>
        <v/>
      </c>
      <c r="I18" s="83">
        <f t="array" ref="I18">G18+F18</f>
        <v/>
      </c>
      <c r="J18" s="83">
        <f t="array" ref="J18">D18+F18</f>
        <v/>
      </c>
      <c r="K18" s="83">
        <f t="array" ref="K18">E18+G18</f>
        <v/>
      </c>
      <c r="L18" s="90" t="n">
        <v>0.000325446</v>
      </c>
    </row>
    <row r="19" ht="20.1" customHeight="1" s="206">
      <c r="A19" s="38" t="inlineStr">
        <is>
          <t>m08</t>
        </is>
      </c>
      <c r="B19" s="11" t="inlineStr">
        <is>
          <t>8 years</t>
        </is>
      </c>
      <c r="C19" s="83" t="n">
        <v>2973.42481507682</v>
      </c>
      <c r="D19" s="83" t="n">
        <v>-187.087724681923</v>
      </c>
      <c r="E19" s="83" t="n">
        <v>-368.931490434314</v>
      </c>
      <c r="F19" s="83" t="n">
        <v>1822.22865032404</v>
      </c>
      <c r="G19" s="83" t="n">
        <v>1707.21537986901</v>
      </c>
      <c r="H19" s="83">
        <f t="array" ref="H19">E19+D19</f>
        <v/>
      </c>
      <c r="I19" s="83">
        <f t="array" ref="I19">G19+F19</f>
        <v/>
      </c>
      <c r="J19" s="83">
        <f t="array" ref="J19">D19+F19</f>
        <v/>
      </c>
      <c r="K19" s="83">
        <f t="array" ref="K19">E19+G19</f>
        <v/>
      </c>
      <c r="L19" s="90" t="n">
        <v>0.0005098804</v>
      </c>
    </row>
    <row r="20" ht="20.1" customHeight="1" s="206">
      <c r="A20" s="38" t="inlineStr">
        <is>
          <t>m09</t>
        </is>
      </c>
      <c r="B20" s="11" t="inlineStr">
        <is>
          <t>9 years</t>
        </is>
      </c>
      <c r="C20" s="83" t="n">
        <v>3506.840633988269</v>
      </c>
      <c r="D20" s="83" t="n">
        <v>-220.650218464673</v>
      </c>
      <c r="E20" s="83" t="n">
        <v>-435.115741031268</v>
      </c>
      <c r="F20" s="83" t="n">
        <v>2149.12630141914</v>
      </c>
      <c r="G20" s="83" t="n">
        <v>2013.48029206507</v>
      </c>
      <c r="H20" s="83">
        <f t="array" ref="H20">E20+D20</f>
        <v/>
      </c>
      <c r="I20" s="83">
        <f t="array" ref="I20">G20+F20</f>
        <v/>
      </c>
      <c r="J20" s="83">
        <f t="array" ref="J20">D20+F20</f>
        <v/>
      </c>
      <c r="K20" s="83">
        <f t="array" ref="K20">E20+G20</f>
        <v/>
      </c>
      <c r="L20" s="90" t="n">
        <v>0.0007826985</v>
      </c>
    </row>
    <row r="21" ht="20.1" customHeight="1" s="206">
      <c r="A21" s="38" t="inlineStr">
        <is>
          <t>m10</t>
        </is>
      </c>
      <c r="B21" s="11" t="inlineStr">
        <is>
          <t>10 years</t>
        </is>
      </c>
      <c r="C21" s="83" t="n">
        <v>4094.79462747039</v>
      </c>
      <c r="D21" s="83" t="n">
        <v>-257.6442511708201</v>
      </c>
      <c r="E21" s="83" t="n">
        <v>-508.0668854564709</v>
      </c>
      <c r="F21" s="83" t="n">
        <v>2509.44703546396</v>
      </c>
      <c r="G21" s="83" t="n">
        <v>2351.05872863372</v>
      </c>
      <c r="H21" s="83">
        <f t="array" ref="H21">E21+D21</f>
        <v/>
      </c>
      <c r="I21" s="83">
        <f t="array" ref="I21">G21+F21</f>
        <v/>
      </c>
      <c r="J21" s="83">
        <f t="array" ref="J21">D21+F21</f>
        <v/>
      </c>
      <c r="K21" s="83">
        <f t="array" ref="K21">E21+G21</f>
        <v/>
      </c>
      <c r="L21" s="90" t="n">
        <v>0.0011772198</v>
      </c>
    </row>
    <row r="22" ht="20.1" customHeight="1" s="206">
      <c r="A22" s="38" t="inlineStr">
        <is>
          <t>m11</t>
        </is>
      </c>
      <c r="B22" s="11" t="inlineStr">
        <is>
          <t>11 years</t>
        </is>
      </c>
      <c r="C22" s="83" t="n">
        <v>4733.749209956821</v>
      </c>
      <c r="D22" s="83" t="n">
        <v>-297.8472381124591</v>
      </c>
      <c r="E22" s="83" t="n">
        <v>-587.345993252067</v>
      </c>
      <c r="F22" s="83" t="n">
        <v>2901.022884484571</v>
      </c>
      <c r="G22" s="83" t="n">
        <v>2717.9195568368</v>
      </c>
      <c r="H22" s="83">
        <f t="array" ref="H22">E22+D22</f>
        <v/>
      </c>
      <c r="I22" s="83">
        <f t="array" ref="I22">G22+F22</f>
        <v/>
      </c>
      <c r="J22" s="83">
        <f t="array" ref="J22">D22+F22</f>
        <v/>
      </c>
      <c r="K22" s="83">
        <f t="array" ref="K22">E22+G22</f>
        <v/>
      </c>
      <c r="L22" s="90" t="n">
        <v>0.0017348322</v>
      </c>
    </row>
    <row r="23" ht="20.1" customHeight="1" s="206">
      <c r="A23" s="38" t="inlineStr">
        <is>
          <t>m12</t>
        </is>
      </c>
      <c r="B23" s="11" t="inlineStr">
        <is>
          <t>12 years</t>
        </is>
      </c>
      <c r="C23" s="83" t="n">
        <v>5417.95498819334</v>
      </c>
      <c r="D23" s="83" t="n">
        <v>-340.8974277844659</v>
      </c>
      <c r="E23" s="83" t="n">
        <v>-672.2397010897911</v>
      </c>
      <c r="F23" s="83" t="n">
        <v>3320.33040001281</v>
      </c>
      <c r="G23" s="83" t="n">
        <v>3110.76171705482</v>
      </c>
      <c r="H23" s="83">
        <f t="array" ref="H23">E23+D23</f>
        <v/>
      </c>
      <c r="I23" s="83">
        <f t="array" ref="I23">G23+F23</f>
        <v/>
      </c>
      <c r="J23" s="83">
        <f t="array" ref="J23">D23+F23</f>
        <v/>
      </c>
      <c r="K23" s="83">
        <f t="array" ref="K23">E23+G23</f>
        <v/>
      </c>
      <c r="L23" s="90" t="n">
        <v>0.002504922</v>
      </c>
    </row>
    <row r="24" ht="20.1" customHeight="1" s="206">
      <c r="A24" s="38" t="inlineStr">
        <is>
          <t>m13</t>
        </is>
      </c>
      <c r="B24" s="11" t="inlineStr">
        <is>
          <t>13 years</t>
        </is>
      </c>
      <c r="C24" s="83" t="n">
        <v>6139.352443785311</v>
      </c>
      <c r="D24" s="83" t="n">
        <v>-386.287715735809</v>
      </c>
      <c r="E24" s="83" t="n">
        <v>-761.7480139072399</v>
      </c>
      <c r="F24" s="83" t="n">
        <v>3762.43040038442</v>
      </c>
      <c r="G24" s="83" t="n">
        <v>3524.9577730439</v>
      </c>
      <c r="H24" s="83">
        <f t="array" ref="H24">E24+D24</f>
        <v/>
      </c>
      <c r="I24" s="83">
        <f t="array" ref="I24">G24+F24</f>
        <v/>
      </c>
      <c r="J24" s="83">
        <f t="array" ref="J24">D24+F24</f>
        <v/>
      </c>
      <c r="K24" s="83">
        <f t="array" ref="K24">E24+G24</f>
        <v/>
      </c>
      <c r="L24" s="90" t="n">
        <v>0.0035437886</v>
      </c>
    </row>
    <row r="25" ht="20.1" customHeight="1" s="206">
      <c r="A25" s="38" t="inlineStr">
        <is>
          <t>m14</t>
        </is>
      </c>
      <c r="B25" s="11" t="inlineStr">
        <is>
          <t>14 years</t>
        </is>
      </c>
      <c r="C25" s="83" t="n">
        <v>6887.581725505561</v>
      </c>
      <c r="D25" s="83" t="n">
        <v>-433.366260701079</v>
      </c>
      <c r="E25" s="83" t="n">
        <v>-854.5855199009881</v>
      </c>
      <c r="F25" s="83" t="n">
        <v>4220.973971840711</v>
      </c>
      <c r="G25" s="83" t="n">
        <v>3954.5595342669</v>
      </c>
      <c r="H25" s="83">
        <f t="array" ref="H25">E25+D25</f>
        <v/>
      </c>
      <c r="I25" s="83">
        <f t="array" ref="I25">G25+F25</f>
        <v/>
      </c>
      <c r="J25" s="83">
        <f t="array" ref="J25">D25+F25</f>
        <v/>
      </c>
      <c r="K25" s="83">
        <f t="array" ref="K25">E25+G25</f>
        <v/>
      </c>
      <c r="L25" s="90" t="n">
        <v>0.004912225</v>
      </c>
    </row>
    <row r="26" ht="20.1" customHeight="1" s="206">
      <c r="A26" s="38" t="inlineStr">
        <is>
          <t>m15</t>
        </is>
      </c>
      <c r="B26" s="11" t="inlineStr">
        <is>
          <t>15 years</t>
        </is>
      </c>
      <c r="C26" s="83" t="n">
        <v>7650.115471947402</v>
      </c>
      <c r="D26" s="83" t="n">
        <v>-481.344841794376</v>
      </c>
      <c r="E26" s="83" t="n">
        <v>-949.197870667275</v>
      </c>
      <c r="F26" s="83" t="n">
        <v>4688.28386733888</v>
      </c>
      <c r="G26" s="83" t="n">
        <v>4392.37431707015</v>
      </c>
      <c r="H26" s="83">
        <f t="array" ref="H26">E26+D26</f>
        <v/>
      </c>
      <c r="I26" s="83">
        <f t="array" ref="I26">G26+F26</f>
        <v/>
      </c>
      <c r="J26" s="83">
        <f t="array" ref="J26">D26+F26</f>
        <v/>
      </c>
      <c r="K26" s="83">
        <f t="array" ref="K26">E26+G26</f>
        <v/>
      </c>
      <c r="L26" s="90" t="n">
        <v>0.0066715315</v>
      </c>
    </row>
    <row r="27" ht="20.1" customHeight="1" s="206">
      <c r="A27" s="38" t="inlineStr">
        <is>
          <t>m16</t>
        </is>
      </c>
      <c r="B27" s="11" t="inlineStr">
        <is>
          <t>16 years</t>
        </is>
      </c>
      <c r="C27" s="83" t="n">
        <v>8412.522563976519</v>
      </c>
      <c r="D27" s="83" t="n">
        <v>-529.3154537990401</v>
      </c>
      <c r="E27" s="83" t="n">
        <v>-1043.79450662517</v>
      </c>
      <c r="F27" s="83" t="n">
        <v>5155.5161441603</v>
      </c>
      <c r="G27" s="83" t="n">
        <v>4830.116380240379</v>
      </c>
      <c r="H27" s="83">
        <f t="array" ref="H27">E27+D27</f>
        <v/>
      </c>
      <c r="I27" s="83">
        <f t="array" ref="I27">G27+F27</f>
        <v/>
      </c>
      <c r="J27" s="83">
        <f t="array" ref="J27">D27+F27</f>
        <v/>
      </c>
      <c r="K27" s="83">
        <f t="array" ref="K27">E27+G27</f>
        <v/>
      </c>
      <c r="L27" s="90" t="n">
        <v>0.008877888299999999</v>
      </c>
    </row>
    <row r="28" ht="20.1" customHeight="1" s="206">
      <c r="A28" s="38" t="inlineStr">
        <is>
          <t>m17</t>
        </is>
      </c>
      <c r="B28" s="11" t="inlineStr">
        <is>
          <t>17 years</t>
        </is>
      </c>
      <c r="C28" s="83" t="n">
        <v>9158.862093612501</v>
      </c>
      <c r="D28" s="83" t="n">
        <v>-576.2750956678301</v>
      </c>
      <c r="E28" s="83" t="n">
        <v>-1136.39753920986</v>
      </c>
      <c r="F28" s="83" t="n">
        <v>5612.90160313551</v>
      </c>
      <c r="G28" s="83" t="n">
        <v>5258.63312535469</v>
      </c>
      <c r="H28" s="83">
        <f t="array" ref="H28">E28+D28</f>
        <v/>
      </c>
      <c r="I28" s="83">
        <f t="array" ref="I28">G28+F28</f>
        <v/>
      </c>
      <c r="J28" s="83">
        <f t="array" ref="J28">D28+F28</f>
        <v/>
      </c>
      <c r="K28" s="83">
        <f t="array" ref="K28">E28+G28</f>
        <v/>
      </c>
      <c r="L28" s="90" t="n">
        <v>0.0115752575</v>
      </c>
    </row>
    <row r="29" ht="20.1" customHeight="1" s="206">
      <c r="A29" s="38" t="inlineStr">
        <is>
          <t>m18</t>
        </is>
      </c>
      <c r="B29" s="11" t="inlineStr">
        <is>
          <t>18 years</t>
        </is>
      </c>
      <c r="C29" s="83" t="n">
        <v>9872.197240451</v>
      </c>
      <c r="D29" s="83" t="n">
        <v>-621.15810359894</v>
      </c>
      <c r="E29" s="83" t="n">
        <v>-1224.90551074755</v>
      </c>
      <c r="F29" s="83" t="n">
        <v>6050.060711804111</v>
      </c>
      <c r="G29" s="83" t="n">
        <v>5668.200142993321</v>
      </c>
      <c r="H29" s="83">
        <f t="array" ref="H29">E29+D29</f>
        <v/>
      </c>
      <c r="I29" s="83">
        <f t="array" ref="I29">G29+F29</f>
        <v/>
      </c>
      <c r="J29" s="83">
        <f t="array" ref="J29">D29+F29</f>
        <v/>
      </c>
      <c r="K29" s="83">
        <f t="array" ref="K29">E29+G29</f>
        <v/>
      </c>
      <c r="L29" s="90" t="n">
        <v>0.0147872867</v>
      </c>
    </row>
    <row r="30" ht="20.1" customHeight="1" s="206">
      <c r="A30" s="38" t="inlineStr">
        <is>
          <t>m19</t>
        </is>
      </c>
      <c r="B30" s="11" t="inlineStr">
        <is>
          <t>19 years</t>
        </is>
      </c>
      <c r="C30" s="83" t="n">
        <v>10535.2089533998</v>
      </c>
      <c r="D30" s="83" t="n">
        <v>-662.87476385686</v>
      </c>
      <c r="E30" s="83" t="n">
        <v>-1307.16953780258</v>
      </c>
      <c r="F30" s="83" t="n">
        <v>6456.37969209571</v>
      </c>
      <c r="G30" s="83" t="n">
        <v>6048.873562963519</v>
      </c>
      <c r="H30" s="83">
        <f t="array" ref="H30">E30+D30</f>
        <v/>
      </c>
      <c r="I30" s="83">
        <f t="array" ref="I30">G30+F30</f>
        <v/>
      </c>
      <c r="J30" s="83">
        <f t="array" ref="J30">D30+F30</f>
        <v/>
      </c>
      <c r="K30" s="83">
        <f t="array" ref="K30">E30+G30</f>
        <v/>
      </c>
      <c r="L30" s="90" t="n">
        <v>0.0185090093</v>
      </c>
    </row>
    <row r="31" ht="20.1" customHeight="1" s="206">
      <c r="A31" s="38" t="inlineStr">
        <is>
          <t>m20</t>
        </is>
      </c>
      <c r="B31" s="11" t="inlineStr">
        <is>
          <t>20 years</t>
        </is>
      </c>
      <c r="C31" s="83" t="n">
        <v>11130.8802358527</v>
      </c>
      <c r="D31" s="83" t="n">
        <v>-700.3543679576401</v>
      </c>
      <c r="E31" s="83" t="n">
        <v>-1381.07821473634</v>
      </c>
      <c r="F31" s="83" t="n">
        <v>6821.429876501621</v>
      </c>
      <c r="G31" s="83" t="n">
        <v>6390.882942044989</v>
      </c>
      <c r="H31" s="83">
        <f t="array" ref="H31">E31+D31</f>
        <v/>
      </c>
      <c r="I31" s="83">
        <f t="array" ref="I31">G31+F31</f>
        <v/>
      </c>
      <c r="J31" s="83">
        <f t="array" ref="J31">D31+F31</f>
        <v/>
      </c>
      <c r="K31" s="83">
        <f t="array" ref="K31">E31+G31</f>
        <v/>
      </c>
      <c r="L31" s="90" t="n">
        <v>0.0226994169</v>
      </c>
    </row>
    <row r="32" ht="20.1" customHeight="1" s="206">
      <c r="A32" s="38" t="inlineStr">
        <is>
          <t>m21</t>
        </is>
      </c>
      <c r="B32" s="11" t="inlineStr">
        <is>
          <t>21 years</t>
        </is>
      </c>
      <c r="C32" s="83" t="n">
        <v>11643.2143345335</v>
      </c>
      <c r="D32" s="83" t="n">
        <v>-732.5904010710897</v>
      </c>
      <c r="E32" s="83" t="n">
        <v>-1444.64672390739</v>
      </c>
      <c r="F32" s="83" t="n">
        <v>7135.40784171551</v>
      </c>
      <c r="G32" s="83" t="n">
        <v>6685.043617796511</v>
      </c>
      <c r="H32" s="83">
        <f t="array" ref="H32">E32+D32</f>
        <v/>
      </c>
      <c r="I32" s="83">
        <f t="array" ref="I32">G32+F32</f>
        <v/>
      </c>
      <c r="J32" s="83">
        <f t="array" ref="J32">D32+F32</f>
        <v/>
      </c>
      <c r="K32" s="83">
        <f t="array" ref="K32">E32+G32</f>
        <v/>
      </c>
      <c r="L32" s="90" t="n">
        <v>0.0272761503</v>
      </c>
    </row>
    <row r="33" ht="20.1" customHeight="1" s="206">
      <c r="A33" s="38" t="inlineStr">
        <is>
          <t>m22</t>
        </is>
      </c>
      <c r="B33" s="11" t="inlineStr">
        <is>
          <t>22 years</t>
        </is>
      </c>
      <c r="C33" s="83" t="n">
        <v>12057.9450598423</v>
      </c>
      <c r="D33" s="83" t="n">
        <v>-758.6852353377099</v>
      </c>
      <c r="E33" s="83" t="n">
        <v>-1496.10496957792</v>
      </c>
      <c r="F33" s="83" t="n">
        <v>7389.570720156341</v>
      </c>
      <c r="G33" s="83" t="n">
        <v>6923.164544601589</v>
      </c>
      <c r="H33" s="83">
        <f t="array" ref="H33">E33+D33</f>
        <v/>
      </c>
      <c r="I33" s="83">
        <f t="array" ref="I33">G33+F33</f>
        <v/>
      </c>
      <c r="J33" s="83">
        <f t="array" ref="J33">D33+F33</f>
        <v/>
      </c>
      <c r="K33" s="83">
        <f t="array" ref="K33">E33+G33</f>
        <v/>
      </c>
      <c r="L33" s="90" t="n">
        <v>0.0321135485</v>
      </c>
    </row>
    <row r="34" ht="20.1" customHeight="1" s="206">
      <c r="A34" s="38" t="inlineStr">
        <is>
          <t>m23</t>
        </is>
      </c>
      <c r="B34" s="11" t="inlineStr">
        <is>
          <t>23 years</t>
        </is>
      </c>
      <c r="C34" s="83" t="n">
        <v>12363.1954584814</v>
      </c>
      <c r="D34" s="83" t="n">
        <v>-777.8915735138401</v>
      </c>
      <c r="E34" s="83" t="n">
        <v>-1533.97930356295</v>
      </c>
      <c r="F34" s="83" t="n">
        <v>7576.639859790429</v>
      </c>
      <c r="G34" s="83" t="n">
        <v>7098.42647576779</v>
      </c>
      <c r="H34" s="83">
        <f t="array" ref="H34">E34+D34</f>
        <v/>
      </c>
      <c r="I34" s="83">
        <f t="array" ref="I34">G34+F34</f>
        <v/>
      </c>
      <c r="J34" s="83">
        <f t="array" ref="J34">D34+F34</f>
        <v/>
      </c>
      <c r="K34" s="83">
        <f t="array" ref="K34">E34+G34</f>
        <v/>
      </c>
      <c r="L34" s="90" t="n">
        <v>0.0370450654</v>
      </c>
    </row>
    <row r="35" ht="20.1" customHeight="1" s="206">
      <c r="A35" s="38" t="inlineStr">
        <is>
          <t>m24</t>
        </is>
      </c>
      <c r="B35" s="11" t="inlineStr">
        <is>
          <t>24 years</t>
        </is>
      </c>
      <c r="C35" s="83" t="n">
        <v>12550.0424887414</v>
      </c>
      <c r="D35" s="83" t="n">
        <v>-789.6479783093</v>
      </c>
      <c r="E35" s="83" t="n">
        <v>-1557.16258803933</v>
      </c>
      <c r="F35" s="83" t="n">
        <v>7691.146878781229</v>
      </c>
      <c r="G35" s="83" t="n">
        <v>7205.70617630889</v>
      </c>
      <c r="H35" s="83">
        <f t="array" ref="H35">E35+D35</f>
        <v/>
      </c>
      <c r="I35" s="83">
        <f t="array" ref="I35">G35+F35</f>
        <v/>
      </c>
      <c r="J35" s="83">
        <f t="array" ref="J35">D35+F35</f>
        <v/>
      </c>
      <c r="K35" s="83">
        <f t="array" ref="K35">E35+G35</f>
        <v/>
      </c>
      <c r="L35" s="90" t="n">
        <v>0.0418706094</v>
      </c>
    </row>
    <row r="36" ht="20.1" customHeight="1" s="206">
      <c r="A36" s="38" t="inlineStr">
        <is>
          <t>m25</t>
        </is>
      </c>
      <c r="B36" s="11" t="inlineStr">
        <is>
          <t>25 years</t>
        </is>
      </c>
      <c r="C36" s="83" t="n">
        <v>12612.9502600851</v>
      </c>
      <c r="D36" s="83" t="n">
        <v>-793.6061317980998</v>
      </c>
      <c r="E36" s="83" t="n">
        <v>-1564.96795030175</v>
      </c>
      <c r="F36" s="83" t="n">
        <v>7729.69917130579</v>
      </c>
      <c r="G36" s="83" t="n">
        <v>7241.8251708792</v>
      </c>
      <c r="H36" s="83">
        <f t="array" ref="H36">E36+D36</f>
        <v/>
      </c>
      <c r="I36" s="83">
        <f t="array" ref="I36">G36+F36</f>
        <v/>
      </c>
      <c r="J36" s="83">
        <f t="array" ref="J36">D36+F36</f>
        <v/>
      </c>
      <c r="K36" s="83">
        <f t="array" ref="K36">E36+G36</f>
        <v/>
      </c>
      <c r="L36" s="90" t="n">
        <v>0.0463687134</v>
      </c>
    </row>
    <row r="37" ht="20.1" customHeight="1" s="206">
      <c r="A37" s="38" t="inlineStr">
        <is>
          <t>m26</t>
        </is>
      </c>
      <c r="B37" s="11" t="inlineStr">
        <is>
          <t>26 years</t>
        </is>
      </c>
      <c r="C37" s="83" t="n">
        <v>12550.0424887414</v>
      </c>
      <c r="D37" s="83" t="n">
        <v>-789.6479783093</v>
      </c>
      <c r="E37" s="83" t="n">
        <v>-1557.16258803933</v>
      </c>
      <c r="F37" s="83" t="n">
        <v>7691.146878781229</v>
      </c>
      <c r="G37" s="83" t="n">
        <v>7205.70617630889</v>
      </c>
      <c r="H37" s="83">
        <f t="array" ref="H37">E37+D37</f>
        <v/>
      </c>
      <c r="I37" s="83">
        <f t="array" ref="I37">G37+F37</f>
        <v/>
      </c>
      <c r="J37" s="83">
        <f t="array" ref="J37">D37+F37</f>
        <v/>
      </c>
      <c r="K37" s="83">
        <f t="array" ref="K37">E37+G37</f>
        <v/>
      </c>
      <c r="L37" s="90" t="n">
        <v>0.0503127037</v>
      </c>
    </row>
    <row r="38" ht="20.1" customHeight="1" s="206">
      <c r="A38" s="38" t="inlineStr">
        <is>
          <t>m27</t>
        </is>
      </c>
      <c r="B38" s="11" t="inlineStr">
        <is>
          <t>27 years</t>
        </is>
      </c>
      <c r="C38" s="83" t="n">
        <v>12363.1954584814</v>
      </c>
      <c r="D38" s="83" t="n">
        <v>-777.8915735138401</v>
      </c>
      <c r="E38" s="83" t="n">
        <v>-1533.97930356295</v>
      </c>
      <c r="F38" s="83" t="n">
        <v>7576.639859790429</v>
      </c>
      <c r="G38" s="83" t="n">
        <v>7098.42647576779</v>
      </c>
      <c r="H38" s="83">
        <f t="array" ref="H38">E38+D38</f>
        <v/>
      </c>
      <c r="I38" s="83">
        <f t="array" ref="I38">G38+F38</f>
        <v/>
      </c>
      <c r="J38" s="83">
        <f t="array" ref="J38">D38+F38</f>
        <v/>
      </c>
      <c r="K38" s="83">
        <f t="array" ref="K38">E38+G38</f>
        <v/>
      </c>
      <c r="L38" s="90" t="n">
        <v>0.0534893246</v>
      </c>
    </row>
    <row r="39" ht="20.1" customHeight="1" s="206">
      <c r="A39" s="38" t="inlineStr">
        <is>
          <t>m28</t>
        </is>
      </c>
      <c r="B39" s="11" t="inlineStr">
        <is>
          <t>28 years</t>
        </is>
      </c>
      <c r="C39" s="83" t="n">
        <v>12057.9450598423</v>
      </c>
      <c r="D39" s="83" t="n">
        <v>-758.6852353377099</v>
      </c>
      <c r="E39" s="83" t="n">
        <v>-1496.10496957792</v>
      </c>
      <c r="F39" s="83" t="n">
        <v>7389.570720156341</v>
      </c>
      <c r="G39" s="83" t="n">
        <v>6923.164544601589</v>
      </c>
      <c r="H39" s="83">
        <f t="array" ref="H39">E39+D39</f>
        <v/>
      </c>
      <c r="I39" s="83">
        <f t="array" ref="I39">G39+F39</f>
        <v/>
      </c>
      <c r="J39" s="83">
        <f t="array" ref="J39">D39+F39</f>
        <v/>
      </c>
      <c r="K39" s="83">
        <f t="array" ref="K39">E39+G39</f>
        <v/>
      </c>
      <c r="L39" s="90" t="n">
        <v>0.0557177306</v>
      </c>
    </row>
    <row r="40" ht="20.1" customHeight="1" s="206">
      <c r="A40" s="38" t="inlineStr">
        <is>
          <t>m29</t>
        </is>
      </c>
      <c r="B40" s="11" t="inlineStr">
        <is>
          <t>29 years</t>
        </is>
      </c>
      <c r="C40" s="83" t="n">
        <v>11643.2143345335</v>
      </c>
      <c r="D40" s="83" t="n">
        <v>-732.5904010710897</v>
      </c>
      <c r="E40" s="83" t="n">
        <v>-1444.64672390739</v>
      </c>
      <c r="F40" s="83" t="n">
        <v>7135.40784171551</v>
      </c>
      <c r="G40" s="83" t="n">
        <v>6685.043617796511</v>
      </c>
      <c r="H40" s="83">
        <f t="array" ref="H40">E40+D40</f>
        <v/>
      </c>
      <c r="I40" s="83">
        <f t="array" ref="I40">G40+F40</f>
        <v/>
      </c>
      <c r="J40" s="83">
        <f t="array" ref="J40">D40+F40</f>
        <v/>
      </c>
      <c r="K40" s="83">
        <f t="array" ref="K40">E40+G40</f>
        <v/>
      </c>
      <c r="L40" s="90" t="n">
        <v>0.0568665096</v>
      </c>
    </row>
    <row r="41" ht="20.1" customHeight="1" s="206">
      <c r="A41" s="38" t="inlineStr">
        <is>
          <t>m30</t>
        </is>
      </c>
      <c r="B41" s="11" t="inlineStr">
        <is>
          <t>30 years</t>
        </is>
      </c>
      <c r="C41" s="83" t="n">
        <v>11130.8802358527</v>
      </c>
      <c r="D41" s="83" t="n">
        <v>-700.3543679576401</v>
      </c>
      <c r="E41" s="83" t="n">
        <v>-1381.07821473634</v>
      </c>
      <c r="F41" s="83" t="n">
        <v>6821.429876501621</v>
      </c>
      <c r="G41" s="83" t="n">
        <v>6390.882942044989</v>
      </c>
      <c r="H41" s="83">
        <f t="array" ref="H41">E41+D41</f>
        <v/>
      </c>
      <c r="I41" s="83">
        <f t="array" ref="I41">G41+F41</f>
        <v/>
      </c>
      <c r="J41" s="83">
        <f t="array" ref="J41">D41+F41</f>
        <v/>
      </c>
      <c r="K41" s="83">
        <f t="array" ref="K41">E41+G41</f>
        <v/>
      </c>
      <c r="L41" s="90" t="n">
        <v>0.0568665096</v>
      </c>
    </row>
    <row r="42" ht="20.1" customHeight="1" s="206">
      <c r="A42" s="38" t="inlineStr">
        <is>
          <t>m31</t>
        </is>
      </c>
      <c r="B42" s="11" t="inlineStr">
        <is>
          <t>31 years</t>
        </is>
      </c>
      <c r="C42" s="83" t="n">
        <v>10535.2089533998</v>
      </c>
      <c r="D42" s="83" t="n">
        <v>-662.87476385686</v>
      </c>
      <c r="E42" s="83" t="n">
        <v>-1307.16953780258</v>
      </c>
      <c r="F42" s="83" t="n">
        <v>6456.37969209571</v>
      </c>
      <c r="G42" s="83" t="n">
        <v>6048.873562963519</v>
      </c>
      <c r="H42" s="83">
        <f t="array" ref="H42">E42+D42</f>
        <v/>
      </c>
      <c r="I42" s="83">
        <f t="array" ref="I42">G42+F42</f>
        <v/>
      </c>
      <c r="J42" s="83">
        <f t="array" ref="J42">D42+F42</f>
        <v/>
      </c>
      <c r="K42" s="83">
        <f t="array" ref="K42">E42+G42</f>
        <v/>
      </c>
      <c r="L42" s="90" t="n">
        <v>0.0557177306</v>
      </c>
    </row>
    <row r="43" ht="20.1" customHeight="1" s="206">
      <c r="A43" s="38" t="inlineStr">
        <is>
          <t>m32</t>
        </is>
      </c>
      <c r="B43" s="11" t="inlineStr">
        <is>
          <t>32 years</t>
        </is>
      </c>
      <c r="C43" s="83" t="n">
        <v>9872.197240451</v>
      </c>
      <c r="D43" s="83" t="n">
        <v>-621.15810359894</v>
      </c>
      <c r="E43" s="83" t="n">
        <v>-1224.90551074755</v>
      </c>
      <c r="F43" s="83" t="n">
        <v>6050.060711804111</v>
      </c>
      <c r="G43" s="83" t="n">
        <v>5668.200142993321</v>
      </c>
      <c r="H43" s="83">
        <f t="array" ref="H43">E43+D43</f>
        <v/>
      </c>
      <c r="I43" s="83">
        <f t="array" ref="I43">G43+F43</f>
        <v/>
      </c>
      <c r="J43" s="83">
        <f t="array" ref="J43">D43+F43</f>
        <v/>
      </c>
      <c r="K43" s="83">
        <f t="array" ref="K43">E43+G43</f>
        <v/>
      </c>
      <c r="L43" s="90" t="n">
        <v>0.0534893246</v>
      </c>
    </row>
    <row r="44" ht="20.1" customHeight="1" s="206">
      <c r="A44" s="38" t="inlineStr">
        <is>
          <t>m33</t>
        </is>
      </c>
      <c r="B44" s="11" t="inlineStr">
        <is>
          <t>33 years</t>
        </is>
      </c>
      <c r="C44" s="83" t="n">
        <v>9158.862093612501</v>
      </c>
      <c r="D44" s="83" t="n">
        <v>-576.2750956678301</v>
      </c>
      <c r="E44" s="83" t="n">
        <v>-1136.39753920986</v>
      </c>
      <c r="F44" s="83" t="n">
        <v>5612.90160313551</v>
      </c>
      <c r="G44" s="83" t="n">
        <v>5258.63312535469</v>
      </c>
      <c r="H44" s="83">
        <f t="array" ref="H44">E44+D44</f>
        <v/>
      </c>
      <c r="I44" s="83">
        <f t="array" ref="I44">G44+F44</f>
        <v/>
      </c>
      <c r="J44" s="83">
        <f t="array" ref="J44">D44+F44</f>
        <v/>
      </c>
      <c r="K44" s="83">
        <f t="array" ref="K44">E44+G44</f>
        <v/>
      </c>
      <c r="L44" s="90" t="n">
        <v>0.0503127037</v>
      </c>
    </row>
    <row r="45" ht="20.1" customHeight="1" s="206">
      <c r="A45" s="38" t="inlineStr">
        <is>
          <t>m34</t>
        </is>
      </c>
      <c r="B45" s="11" t="inlineStr">
        <is>
          <t>34 years</t>
        </is>
      </c>
      <c r="C45" s="83" t="n">
        <v>8412.522563976519</v>
      </c>
      <c r="D45" s="83" t="n">
        <v>-529.3154537990401</v>
      </c>
      <c r="E45" s="83" t="n">
        <v>-1043.79450662517</v>
      </c>
      <c r="F45" s="83" t="n">
        <v>5155.5161441603</v>
      </c>
      <c r="G45" s="83" t="n">
        <v>4830.116380240379</v>
      </c>
      <c r="H45" s="83">
        <f t="array" ref="H45">E45+D45</f>
        <v/>
      </c>
      <c r="I45" s="83">
        <f t="array" ref="I45">G45+F45</f>
        <v/>
      </c>
      <c r="J45" s="83">
        <f t="array" ref="J45">D45+F45</f>
        <v/>
      </c>
      <c r="K45" s="83">
        <f t="array" ref="K45">E45+G45</f>
        <v/>
      </c>
      <c r="L45" s="90" t="n">
        <v>0.0463687134</v>
      </c>
    </row>
    <row r="46" ht="20.1" customHeight="1" s="206">
      <c r="A46" s="38" t="inlineStr">
        <is>
          <t>m35</t>
        </is>
      </c>
      <c r="B46" s="11" t="inlineStr">
        <is>
          <t>35 years</t>
        </is>
      </c>
      <c r="C46" s="83" t="n">
        <v>7650.115471947402</v>
      </c>
      <c r="D46" s="83" t="n">
        <v>-481.344841794376</v>
      </c>
      <c r="E46" s="83" t="n">
        <v>-949.197870667275</v>
      </c>
      <c r="F46" s="83" t="n">
        <v>4688.28386733888</v>
      </c>
      <c r="G46" s="83" t="n">
        <v>4392.37431707015</v>
      </c>
      <c r="H46" s="83">
        <f t="array" ref="H46">E46+D46</f>
        <v/>
      </c>
      <c r="I46" s="83">
        <f t="array" ref="I46">G46+F46</f>
        <v/>
      </c>
      <c r="J46" s="83">
        <f t="array" ref="J46">D46+F46</f>
        <v/>
      </c>
      <c r="K46" s="83">
        <f t="array" ref="K46">E46+G46</f>
        <v/>
      </c>
      <c r="L46" s="90" t="n">
        <v>0.0418706094</v>
      </c>
    </row>
    <row r="47" ht="20.1" customHeight="1" s="206">
      <c r="A47" s="38" t="inlineStr">
        <is>
          <t>m36</t>
        </is>
      </c>
      <c r="B47" s="11" t="inlineStr">
        <is>
          <t>36 years</t>
        </is>
      </c>
      <c r="C47" s="83" t="n">
        <v>6887.581725505561</v>
      </c>
      <c r="D47" s="83" t="n">
        <v>-433.366260701079</v>
      </c>
      <c r="E47" s="83" t="n">
        <v>-854.5855199009881</v>
      </c>
      <c r="F47" s="83" t="n">
        <v>4220.973971840711</v>
      </c>
      <c r="G47" s="83" t="n">
        <v>3954.5595342669</v>
      </c>
      <c r="H47" s="83">
        <f t="array" ref="H47">E47+D47</f>
        <v/>
      </c>
      <c r="I47" s="83">
        <f t="array" ref="I47">G47+F47</f>
        <v/>
      </c>
      <c r="J47" s="83">
        <f t="array" ref="J47">D47+F47</f>
        <v/>
      </c>
      <c r="K47" s="83">
        <f t="array" ref="K47">E47+G47</f>
        <v/>
      </c>
      <c r="L47" s="90" t="n">
        <v>0.0370450654</v>
      </c>
    </row>
    <row r="48" ht="20.1" customHeight="1" s="206">
      <c r="A48" s="38" t="inlineStr">
        <is>
          <t>m37</t>
        </is>
      </c>
      <c r="B48" s="11" t="inlineStr">
        <is>
          <t>37 years</t>
        </is>
      </c>
      <c r="C48" s="83" t="n">
        <v>6139.352443785311</v>
      </c>
      <c r="D48" s="83" t="n">
        <v>-386.287715735809</v>
      </c>
      <c r="E48" s="83" t="n">
        <v>-761.7480139072399</v>
      </c>
      <c r="F48" s="83" t="n">
        <v>3762.43040038442</v>
      </c>
      <c r="G48" s="83" t="n">
        <v>3524.9577730439</v>
      </c>
      <c r="H48" s="83">
        <f t="array" ref="H48">E48+D48</f>
        <v/>
      </c>
      <c r="I48" s="83">
        <f t="array" ref="I48">G48+F48</f>
        <v/>
      </c>
      <c r="J48" s="83">
        <f t="array" ref="J48">D48+F48</f>
        <v/>
      </c>
      <c r="K48" s="83">
        <f t="array" ref="K48">E48+G48</f>
        <v/>
      </c>
      <c r="L48" s="90" t="n">
        <v>0.0321135485</v>
      </c>
    </row>
    <row r="49" ht="20.1" customHeight="1" s="206">
      <c r="A49" s="38" t="inlineStr">
        <is>
          <t>m38</t>
        </is>
      </c>
      <c r="B49" s="11" t="inlineStr">
        <is>
          <t>38 years</t>
        </is>
      </c>
      <c r="C49" s="83" t="n">
        <v>5417.95498819334</v>
      </c>
      <c r="D49" s="83" t="n">
        <v>-340.8974277844659</v>
      </c>
      <c r="E49" s="83" t="n">
        <v>-672.2397010897911</v>
      </c>
      <c r="F49" s="83" t="n">
        <v>3320.33040001281</v>
      </c>
      <c r="G49" s="83" t="n">
        <v>3110.76171705482</v>
      </c>
      <c r="H49" s="83">
        <f t="array" ref="H49">E49+D49</f>
        <v/>
      </c>
      <c r="I49" s="83">
        <f t="array" ref="I49">G49+F49</f>
        <v/>
      </c>
      <c r="J49" s="83">
        <f t="array" ref="J49">D49+F49</f>
        <v/>
      </c>
      <c r="K49" s="83">
        <f t="array" ref="K49">E49+G49</f>
        <v/>
      </c>
      <c r="L49" s="90" t="n">
        <v>0.0272761503</v>
      </c>
    </row>
    <row r="50" ht="20.1" customHeight="1" s="206">
      <c r="A50" s="38" t="inlineStr">
        <is>
          <t>m39</t>
        </is>
      </c>
      <c r="B50" s="11" t="inlineStr">
        <is>
          <t>39 years</t>
        </is>
      </c>
      <c r="C50" s="83" t="n">
        <v>4733.749209956821</v>
      </c>
      <c r="D50" s="83" t="n">
        <v>-297.8472381124591</v>
      </c>
      <c r="E50" s="83" t="n">
        <v>-587.345993252067</v>
      </c>
      <c r="F50" s="83" t="n">
        <v>2901.022884484571</v>
      </c>
      <c r="G50" s="83" t="n">
        <v>2717.9195568368</v>
      </c>
      <c r="H50" s="83">
        <f t="array" ref="H50">E50+D50</f>
        <v/>
      </c>
      <c r="I50" s="83">
        <f t="array" ref="I50">G50+F50</f>
        <v/>
      </c>
      <c r="J50" s="83">
        <f t="array" ref="J50">D50+F50</f>
        <v/>
      </c>
      <c r="K50" s="83">
        <f t="array" ref="K50">E50+G50</f>
        <v/>
      </c>
      <c r="L50" s="90" t="n">
        <v>0.0226994169</v>
      </c>
    </row>
    <row r="51" ht="20.1" customHeight="1" s="206">
      <c r="A51" s="38" t="inlineStr">
        <is>
          <t>m40</t>
        </is>
      </c>
      <c r="B51" s="11" t="inlineStr">
        <is>
          <t>40 years</t>
        </is>
      </c>
      <c r="C51" s="83" t="n">
        <v>4094.79462747039</v>
      </c>
      <c r="D51" s="83" t="n">
        <v>-257.6442511708201</v>
      </c>
      <c r="E51" s="83" t="n">
        <v>-508.0668854564709</v>
      </c>
      <c r="F51" s="83" t="n">
        <v>2509.44703546396</v>
      </c>
      <c r="G51" s="83" t="n">
        <v>2351.05872863372</v>
      </c>
      <c r="H51" s="83">
        <f t="array" ref="H51">E51+D51</f>
        <v/>
      </c>
      <c r="I51" s="83">
        <f t="array" ref="I51">G51+F51</f>
        <v/>
      </c>
      <c r="J51" s="83">
        <f t="array" ref="J51">D51+F51</f>
        <v/>
      </c>
      <c r="K51" s="83">
        <f t="array" ref="K51">E51+G51</f>
        <v/>
      </c>
      <c r="L51" s="90" t="n">
        <v>0.0185090093</v>
      </c>
    </row>
    <row r="52" ht="20.1" customHeight="1" s="206">
      <c r="A52" s="38" t="inlineStr">
        <is>
          <t>m41</t>
        </is>
      </c>
      <c r="B52" s="11" t="inlineStr">
        <is>
          <t>41 years</t>
        </is>
      </c>
      <c r="C52" s="83" t="n">
        <v>3506.840633988269</v>
      </c>
      <c r="D52" s="83" t="n">
        <v>-220.650218464673</v>
      </c>
      <c r="E52" s="83" t="n">
        <v>-435.115741031268</v>
      </c>
      <c r="F52" s="83" t="n">
        <v>2149.12630141914</v>
      </c>
      <c r="G52" s="83" t="n">
        <v>2013.48029206507</v>
      </c>
      <c r="H52" s="83">
        <f t="array" ref="H52">E52+D52</f>
        <v/>
      </c>
      <c r="I52" s="83">
        <f t="array" ref="I52">G52+F52</f>
        <v/>
      </c>
      <c r="J52" s="83">
        <f t="array" ref="J52">D52+F52</f>
        <v/>
      </c>
      <c r="K52" s="83">
        <f t="array" ref="K52">E52+G52</f>
        <v/>
      </c>
      <c r="L52" s="90" t="n">
        <v>0.0147872867</v>
      </c>
    </row>
    <row r="53" ht="20.1" customHeight="1" s="206">
      <c r="A53" s="38" t="inlineStr">
        <is>
          <t>m42</t>
        </is>
      </c>
      <c r="B53" s="11" t="inlineStr">
        <is>
          <t>42 years</t>
        </is>
      </c>
      <c r="C53" s="83" t="n">
        <v>2973.42481507682</v>
      </c>
      <c r="D53" s="83" t="n">
        <v>-187.087724681923</v>
      </c>
      <c r="E53" s="83" t="n">
        <v>-368.931490434314</v>
      </c>
      <c r="F53" s="83" t="n">
        <v>1822.22865032404</v>
      </c>
      <c r="G53" s="83" t="n">
        <v>1707.21537986901</v>
      </c>
      <c r="H53" s="83">
        <f t="array" ref="H53">E53+D53</f>
        <v/>
      </c>
      <c r="I53" s="83">
        <f t="array" ref="I53">G53+F53</f>
        <v/>
      </c>
      <c r="J53" s="83">
        <f t="array" ref="J53">D53+F53</f>
        <v/>
      </c>
      <c r="K53" s="83">
        <f t="array" ref="K53">E53+G53</f>
        <v/>
      </c>
      <c r="L53" s="90" t="n">
        <v>0.0115752575</v>
      </c>
    </row>
    <row r="54" ht="20.1" customHeight="1" s="206">
      <c r="A54" s="38" t="inlineStr">
        <is>
          <t>m43</t>
        </is>
      </c>
      <c r="B54" s="11" t="inlineStr">
        <is>
          <t>43 years</t>
        </is>
      </c>
      <c r="C54" s="83" t="n">
        <v>2496.05941670395</v>
      </c>
      <c r="D54" s="83" t="n">
        <v>-157.051920255118</v>
      </c>
      <c r="E54" s="83" t="n">
        <v>-309.701767520027</v>
      </c>
      <c r="F54" s="83" t="n">
        <v>1529.680844447902</v>
      </c>
      <c r="G54" s="83" t="n">
        <v>1433.132260031192</v>
      </c>
      <c r="H54" s="83">
        <f t="array" ref="H54">E54+D54</f>
        <v/>
      </c>
      <c r="I54" s="83">
        <f t="array" ref="I54">G54+F54</f>
        <v/>
      </c>
      <c r="J54" s="83">
        <f t="array" ref="J54">D54+F54</f>
        <v/>
      </c>
      <c r="K54" s="83">
        <f t="array" ref="K54">E54+G54</f>
        <v/>
      </c>
      <c r="L54" s="90" t="n">
        <v>0.008877888299999999</v>
      </c>
    </row>
    <row r="55" ht="20.1" customHeight="1" s="206">
      <c r="A55" s="38" t="inlineStr">
        <is>
          <t>m44</t>
        </is>
      </c>
      <c r="B55" s="11" t="inlineStr">
        <is>
          <t>44 years</t>
        </is>
      </c>
      <c r="C55" s="83" t="n">
        <v>2074.4831084384</v>
      </c>
      <c r="D55" s="83" t="n">
        <v>-130.526362287992</v>
      </c>
      <c r="E55" s="83" t="n">
        <v>-257.394147380592</v>
      </c>
      <c r="F55" s="83" t="n">
        <v>1271.322730489849</v>
      </c>
      <c r="G55" s="83" t="n">
        <v>1191.08088761714</v>
      </c>
      <c r="H55" s="83">
        <f t="array" ref="H55">E55+D55</f>
        <v/>
      </c>
      <c r="I55" s="83">
        <f t="array" ref="I55">G55+F55</f>
        <v/>
      </c>
      <c r="J55" s="83">
        <f t="array" ref="J55">D55+F55</f>
        <v/>
      </c>
      <c r="K55" s="83">
        <f t="array" ref="K55">E55+G55</f>
        <v/>
      </c>
      <c r="L55" s="90" t="n">
        <v>0.0066715315</v>
      </c>
    </row>
    <row r="56" ht="20.1" customHeight="1" s="206">
      <c r="A56" s="38" t="inlineStr">
        <is>
          <t>m45</t>
        </is>
      </c>
      <c r="B56" s="11" t="inlineStr">
        <is>
          <t>45 years</t>
        </is>
      </c>
      <c r="C56" s="83" t="n">
        <v>0</v>
      </c>
      <c r="D56" s="83" t="n">
        <v>0</v>
      </c>
      <c r="E56" s="83" t="n">
        <v>0</v>
      </c>
      <c r="F56" s="83" t="n">
        <v>0</v>
      </c>
      <c r="G56" s="83" t="n">
        <v>0</v>
      </c>
      <c r="H56" s="83">
        <f t="array" ref="H56">E56+D56</f>
        <v/>
      </c>
      <c r="I56" s="83">
        <f t="array" ref="I56">G56+F56</f>
        <v/>
      </c>
      <c r="J56" s="83">
        <f t="array" ref="J56">D56+F56</f>
        <v/>
      </c>
      <c r="K56" s="83">
        <f t="array" ref="K56">E56+G56</f>
        <v/>
      </c>
      <c r="L56" s="90" t="n">
        <v>0.004912225</v>
      </c>
    </row>
    <row r="57" ht="20.1" customHeight="1" s="206">
      <c r="A57" s="38" t="inlineStr">
        <is>
          <t>m46</t>
        </is>
      </c>
      <c r="B57" s="11" t="inlineStr">
        <is>
          <t>46 years</t>
        </is>
      </c>
      <c r="C57" s="83" t="n">
        <v>0</v>
      </c>
      <c r="D57" s="83" t="n">
        <v>0</v>
      </c>
      <c r="E57" s="83" t="n">
        <v>0</v>
      </c>
      <c r="F57" s="83" t="n">
        <v>0</v>
      </c>
      <c r="G57" s="83" t="n">
        <v>0</v>
      </c>
      <c r="H57" s="83">
        <f t="array" ref="H57">E57+D57</f>
        <v/>
      </c>
      <c r="I57" s="83">
        <f t="array" ref="I57">G57+F57</f>
        <v/>
      </c>
      <c r="J57" s="83">
        <f t="array" ref="J57">D57+F57</f>
        <v/>
      </c>
      <c r="K57" s="83">
        <f t="array" ref="K57">E57+G57</f>
        <v/>
      </c>
      <c r="L57" s="90" t="n">
        <v>0.0035437886</v>
      </c>
    </row>
    <row r="58" ht="20.1" customHeight="1" s="206">
      <c r="A58" s="38" t="inlineStr">
        <is>
          <t>m47</t>
        </is>
      </c>
      <c r="B58" s="11" t="inlineStr">
        <is>
          <t>47 years</t>
        </is>
      </c>
      <c r="C58" s="83" t="n">
        <v>0</v>
      </c>
      <c r="D58" s="83" t="n">
        <v>0</v>
      </c>
      <c r="E58" s="83" t="n">
        <v>0</v>
      </c>
      <c r="F58" s="83" t="n">
        <v>0</v>
      </c>
      <c r="G58" s="83" t="n">
        <v>0</v>
      </c>
      <c r="H58" s="83">
        <f t="array" ref="H58">E58+D58</f>
        <v/>
      </c>
      <c r="I58" s="83">
        <f t="array" ref="I58">G58+F58</f>
        <v/>
      </c>
      <c r="J58" s="83">
        <f t="array" ref="J58">D58+F58</f>
        <v/>
      </c>
      <c r="K58" s="83">
        <f t="array" ref="K58">E58+G58</f>
        <v/>
      </c>
      <c r="L58" s="90" t="n">
        <v>0.002504922</v>
      </c>
    </row>
    <row r="59" ht="20.1" customHeight="1" s="206">
      <c r="A59" s="38" t="inlineStr">
        <is>
          <t>m48</t>
        </is>
      </c>
      <c r="B59" s="11" t="inlineStr">
        <is>
          <t>48 years</t>
        </is>
      </c>
      <c r="C59" s="83" t="n">
        <v>0</v>
      </c>
      <c r="D59" s="83" t="n">
        <v>0</v>
      </c>
      <c r="E59" s="83" t="n">
        <v>0</v>
      </c>
      <c r="F59" s="83" t="n">
        <v>0</v>
      </c>
      <c r="G59" s="83" t="n">
        <v>0</v>
      </c>
      <c r="H59" s="83">
        <f t="array" ref="H59">E59+D59</f>
        <v/>
      </c>
      <c r="I59" s="83">
        <f t="array" ref="I59">G59+F59</f>
        <v/>
      </c>
      <c r="J59" s="83">
        <f t="array" ref="J59">D59+F59</f>
        <v/>
      </c>
      <c r="K59" s="83">
        <f t="array" ref="K59">E59+G59</f>
        <v/>
      </c>
      <c r="L59" s="90" t="n">
        <v>0.0017348322</v>
      </c>
    </row>
    <row r="60" ht="20.1" customHeight="1" s="206">
      <c r="A60" s="38" t="inlineStr">
        <is>
          <t>m49</t>
        </is>
      </c>
      <c r="B60" s="11" t="inlineStr">
        <is>
          <t>49 years</t>
        </is>
      </c>
      <c r="C60" s="83" t="n">
        <v>0</v>
      </c>
      <c r="D60" s="83" t="n">
        <v>0</v>
      </c>
      <c r="E60" s="83" t="n">
        <v>0</v>
      </c>
      <c r="F60" s="83" t="n">
        <v>0</v>
      </c>
      <c r="G60" s="83" t="n">
        <v>0</v>
      </c>
      <c r="H60" s="83">
        <f t="array" ref="H60">E60+D60</f>
        <v/>
      </c>
      <c r="I60" s="83">
        <f t="array" ref="I60">G60+F60</f>
        <v/>
      </c>
      <c r="J60" s="83">
        <f t="array" ref="J60">D60+F60</f>
        <v/>
      </c>
      <c r="K60" s="83">
        <f t="array" ref="K60">E60+G60</f>
        <v/>
      </c>
      <c r="L60" s="90" t="n">
        <v>0.0011772198</v>
      </c>
    </row>
    <row r="61" ht="20.1" customHeight="1" s="206">
      <c r="A61" s="38" t="inlineStr">
        <is>
          <t>m50</t>
        </is>
      </c>
      <c r="B61" s="11" t="inlineStr">
        <is>
          <t>50 years</t>
        </is>
      </c>
      <c r="C61" s="83" t="n">
        <v>0</v>
      </c>
      <c r="D61" s="83" t="n">
        <v>0</v>
      </c>
      <c r="E61" s="83" t="n">
        <v>0</v>
      </c>
      <c r="F61" s="83" t="n">
        <v>0</v>
      </c>
      <c r="G61" s="83" t="n">
        <v>0</v>
      </c>
      <c r="H61" s="83">
        <f t="array" ref="H61">E61+D61</f>
        <v/>
      </c>
      <c r="I61" s="83">
        <f t="array" ref="I61">G61+F61</f>
        <v/>
      </c>
      <c r="J61" s="83">
        <f t="array" ref="J61">D61+F61</f>
        <v/>
      </c>
      <c r="K61" s="83">
        <f t="array" ref="K61">E61+G61</f>
        <v/>
      </c>
      <c r="L61" s="90" t="n">
        <v>0.0007826985</v>
      </c>
    </row>
    <row r="62" ht="20.1" customHeight="1" s="206">
      <c r="A62" s="38" t="inlineStr">
        <is>
          <t>m51</t>
        </is>
      </c>
      <c r="B62" s="11" t="inlineStr">
        <is>
          <t>51 years</t>
        </is>
      </c>
      <c r="C62" s="83" t="n">
        <v>0</v>
      </c>
      <c r="D62" s="83" t="n">
        <v>0</v>
      </c>
      <c r="E62" s="83" t="n">
        <v>0</v>
      </c>
      <c r="F62" s="83" t="n">
        <v>0</v>
      </c>
      <c r="G62" s="83" t="n">
        <v>0</v>
      </c>
      <c r="H62" s="83">
        <f t="array" ref="H62">E62+D62</f>
        <v/>
      </c>
      <c r="I62" s="83">
        <f t="array" ref="I62">G62+F62</f>
        <v/>
      </c>
      <c r="J62" s="83">
        <f t="array" ref="J62">D62+F62</f>
        <v/>
      </c>
      <c r="K62" s="83">
        <f t="array" ref="K62">E62+G62</f>
        <v/>
      </c>
      <c r="L62" s="90" t="n">
        <v>0.0005098804</v>
      </c>
    </row>
    <row r="63" ht="20.1" customHeight="1" s="206">
      <c r="A63" s="38" t="inlineStr">
        <is>
          <t>m52</t>
        </is>
      </c>
      <c r="B63" s="11" t="inlineStr">
        <is>
          <t>52 years</t>
        </is>
      </c>
      <c r="C63" s="83" t="n">
        <v>0</v>
      </c>
      <c r="D63" s="83" t="n">
        <v>0</v>
      </c>
      <c r="E63" s="83" t="n">
        <v>0</v>
      </c>
      <c r="F63" s="83" t="n">
        <v>0</v>
      </c>
      <c r="G63" s="83" t="n">
        <v>0</v>
      </c>
      <c r="H63" s="83">
        <f t="array" ref="H63">E63+D63</f>
        <v/>
      </c>
      <c r="I63" s="83">
        <f t="array" ref="I63">G63+F63</f>
        <v/>
      </c>
      <c r="J63" s="83">
        <f t="array" ref="J63">D63+F63</f>
        <v/>
      </c>
      <c r="K63" s="83">
        <f t="array" ref="K63">E63+G63</f>
        <v/>
      </c>
      <c r="L63" s="90" t="n">
        <v>0.000325446</v>
      </c>
    </row>
    <row r="64" ht="20.1" customHeight="1" s="206">
      <c r="A64" s="38" t="inlineStr">
        <is>
          <t>m53</t>
        </is>
      </c>
      <c r="B64" s="11" t="inlineStr">
        <is>
          <t>53 years</t>
        </is>
      </c>
      <c r="C64" s="83" t="n">
        <v>0</v>
      </c>
      <c r="D64" s="83" t="n">
        <v>0</v>
      </c>
      <c r="E64" s="83" t="n">
        <v>0</v>
      </c>
      <c r="F64" s="83" t="n">
        <v>0</v>
      </c>
      <c r="G64" s="83" t="n">
        <v>0</v>
      </c>
      <c r="H64" s="83">
        <f t="array" ref="H64">E64+D64</f>
        <v/>
      </c>
      <c r="I64" s="83">
        <f t="array" ref="I64">G64+F64</f>
        <v/>
      </c>
      <c r="J64" s="83">
        <f t="array" ref="J64">D64+F64</f>
        <v/>
      </c>
      <c r="K64" s="83">
        <f t="array" ref="K64">E64+G64</f>
        <v/>
      </c>
      <c r="L64" s="90" t="n">
        <v>0.0002035291</v>
      </c>
    </row>
    <row r="65" ht="20.1" customHeight="1" s="206">
      <c r="A65" s="38" t="inlineStr">
        <is>
          <t>m54</t>
        </is>
      </c>
      <c r="B65" s="11" t="inlineStr">
        <is>
          <t>54 years</t>
        </is>
      </c>
      <c r="C65" s="83" t="n">
        <v>0</v>
      </c>
      <c r="D65" s="83" t="n">
        <v>0</v>
      </c>
      <c r="E65" s="83" t="n">
        <v>0</v>
      </c>
      <c r="F65" s="83" t="n">
        <v>0</v>
      </c>
      <c r="G65" s="83" t="n">
        <v>0</v>
      </c>
      <c r="H65" s="83">
        <f t="array" ref="H65">E65+D65</f>
        <v/>
      </c>
      <c r="I65" s="83">
        <f t="array" ref="I65">G65+F65</f>
        <v/>
      </c>
      <c r="J65" s="83">
        <f t="array" ref="J65">D65+F65</f>
        <v/>
      </c>
      <c r="K65" s="83">
        <f t="array" ref="K65">E65+G65</f>
        <v/>
      </c>
      <c r="L65" s="90" t="n">
        <v>0.0001247127</v>
      </c>
    </row>
    <row r="66" ht="20.1" customHeight="1" s="206">
      <c r="A66" s="38" t="inlineStr">
        <is>
          <t>m55</t>
        </is>
      </c>
      <c r="B66" s="30" t="inlineStr">
        <is>
          <t>55 years</t>
        </is>
      </c>
      <c r="C66" s="120" t="n">
        <v>0</v>
      </c>
      <c r="D66" s="120" t="n">
        <v>0</v>
      </c>
      <c r="E66" s="120" t="n">
        <v>0</v>
      </c>
      <c r="F66" s="120" t="n">
        <v>0</v>
      </c>
      <c r="G66" s="120" t="n">
        <v>0</v>
      </c>
      <c r="H66" s="120">
        <f t="array" ref="H66">E66+D66</f>
        <v/>
      </c>
      <c r="I66" s="120">
        <f t="array" ref="I66">G66+F66</f>
        <v/>
      </c>
      <c r="J66" s="120">
        <f t="array" ref="J66">D66+F66</f>
        <v/>
      </c>
      <c r="K66" s="120">
        <f t="array" ref="K66">E66+G66</f>
        <v/>
      </c>
      <c r="L66" s="57" t="n"/>
    </row>
    <row r="67" ht="20.1" customHeight="1" s="206">
      <c r="A67" s="38" t="inlineStr">
        <is>
          <t>m56</t>
        </is>
      </c>
      <c r="B67" s="23" t="inlineStr">
        <is>
          <t>56 years</t>
        </is>
      </c>
      <c r="C67" s="55" t="n">
        <v>0</v>
      </c>
      <c r="D67" s="55" t="n">
        <v>0</v>
      </c>
      <c r="E67" s="55" t="n">
        <v>0</v>
      </c>
      <c r="F67" s="55" t="n">
        <v>0</v>
      </c>
      <c r="G67" s="55" t="n">
        <v>0</v>
      </c>
      <c r="H67" s="55">
        <f t="array" ref="H67">E67+D67</f>
        <v/>
      </c>
      <c r="I67" s="55">
        <f t="array" ref="I67">G67+F67</f>
        <v/>
      </c>
      <c r="J67" s="55">
        <f t="array" ref="J67">D67+F67</f>
        <v/>
      </c>
      <c r="K67" s="55">
        <f t="array" ref="K67">E67+G67</f>
        <v/>
      </c>
      <c r="L67" s="57" t="n"/>
    </row>
    <row r="68" ht="20.1" customHeight="1" s="206">
      <c r="A68" s="38" t="inlineStr">
        <is>
          <t>m57</t>
        </is>
      </c>
      <c r="B68" s="23" t="inlineStr">
        <is>
          <t>57 years</t>
        </is>
      </c>
      <c r="C68" s="55" t="n">
        <v>0</v>
      </c>
      <c r="D68" s="55" t="n">
        <v>0</v>
      </c>
      <c r="E68" s="55" t="n">
        <v>0</v>
      </c>
      <c r="F68" s="55" t="n">
        <v>0</v>
      </c>
      <c r="G68" s="55" t="n">
        <v>0</v>
      </c>
      <c r="H68" s="55">
        <f t="array" ref="H68">E68+D68</f>
        <v/>
      </c>
      <c r="I68" s="55">
        <f t="array" ref="I68">G68+F68</f>
        <v/>
      </c>
      <c r="J68" s="55">
        <f t="array" ref="J68">D68+F68</f>
        <v/>
      </c>
      <c r="K68" s="55">
        <f t="array" ref="K68">E68+G68</f>
        <v/>
      </c>
      <c r="L68" s="57" t="n"/>
    </row>
    <row r="69" ht="20.1" customHeight="1" s="206">
      <c r="A69" s="38" t="inlineStr">
        <is>
          <t>m58</t>
        </is>
      </c>
      <c r="B69" s="23" t="inlineStr">
        <is>
          <t>58 years</t>
        </is>
      </c>
      <c r="C69" s="55" t="n">
        <v>0</v>
      </c>
      <c r="D69" s="55" t="n">
        <v>0</v>
      </c>
      <c r="E69" s="55" t="n">
        <v>0</v>
      </c>
      <c r="F69" s="55" t="n">
        <v>0</v>
      </c>
      <c r="G69" s="55" t="n">
        <v>0</v>
      </c>
      <c r="H69" s="55">
        <f t="array" ref="H69">E69+D69</f>
        <v/>
      </c>
      <c r="I69" s="55">
        <f t="array" ref="I69">G69+F69</f>
        <v/>
      </c>
      <c r="J69" s="55">
        <f t="array" ref="J69">D69+F69</f>
        <v/>
      </c>
      <c r="K69" s="55">
        <f t="array" ref="K69">E69+G69</f>
        <v/>
      </c>
      <c r="L69" s="57" t="n"/>
    </row>
    <row r="70" ht="20.1" customHeight="1" s="206">
      <c r="A70" s="38" t="inlineStr">
        <is>
          <t>m59</t>
        </is>
      </c>
      <c r="B70" s="23" t="inlineStr">
        <is>
          <t>59 years</t>
        </is>
      </c>
      <c r="C70" s="55" t="n">
        <v>0</v>
      </c>
      <c r="D70" s="55" t="n">
        <v>0</v>
      </c>
      <c r="E70" s="55" t="n">
        <v>0</v>
      </c>
      <c r="F70" s="55" t="n">
        <v>0</v>
      </c>
      <c r="G70" s="55" t="n">
        <v>0</v>
      </c>
      <c r="H70" s="55">
        <f t="array" ref="H70">E70+D70</f>
        <v/>
      </c>
      <c r="I70" s="55">
        <f t="array" ref="I70">G70+F70</f>
        <v/>
      </c>
      <c r="J70" s="55">
        <f t="array" ref="J70">D70+F70</f>
        <v/>
      </c>
      <c r="K70" s="55">
        <f t="array" ref="K70">E70+G70</f>
        <v/>
      </c>
      <c r="L70" s="57" t="n"/>
    </row>
    <row r="71" ht="20.1" customHeight="1" s="206">
      <c r="A71" s="38" t="inlineStr">
        <is>
          <t>m60</t>
        </is>
      </c>
      <c r="B71" s="23" t="inlineStr">
        <is>
          <t>60 years</t>
        </is>
      </c>
      <c r="C71" s="55" t="n">
        <v>0</v>
      </c>
      <c r="D71" s="55" t="n">
        <v>0</v>
      </c>
      <c r="E71" s="55" t="n">
        <v>0</v>
      </c>
      <c r="F71" s="55" t="n">
        <v>0</v>
      </c>
      <c r="G71" s="55" t="n">
        <v>0</v>
      </c>
      <c r="H71" s="55">
        <f t="array" ref="H71">E71+D71</f>
        <v/>
      </c>
      <c r="I71" s="55">
        <f t="array" ref="I71">G71+F71</f>
        <v/>
      </c>
      <c r="J71" s="55">
        <f t="array" ref="J71">D71+F71</f>
        <v/>
      </c>
      <c r="K71" s="55">
        <f t="array" ref="K71">E71+G71</f>
        <v/>
      </c>
      <c r="L71" s="57" t="n"/>
    </row>
    <row r="72" ht="20.1" customHeight="1" s="206">
      <c r="A72" s="38" t="inlineStr">
        <is>
          <t>m61</t>
        </is>
      </c>
      <c r="B72" s="23" t="inlineStr">
        <is>
          <t>61 years</t>
        </is>
      </c>
      <c r="C72" s="55" t="n">
        <v>0</v>
      </c>
      <c r="D72" s="55" t="n">
        <v>0</v>
      </c>
      <c r="E72" s="55" t="n">
        <v>0</v>
      </c>
      <c r="F72" s="55" t="n">
        <v>0</v>
      </c>
      <c r="G72" s="55" t="n">
        <v>0</v>
      </c>
      <c r="H72" s="55">
        <f t="array" ref="H72">E72+D72</f>
        <v/>
      </c>
      <c r="I72" s="55">
        <f t="array" ref="I72">G72+F72</f>
        <v/>
      </c>
      <c r="J72" s="55">
        <f t="array" ref="J72">D72+F72</f>
        <v/>
      </c>
      <c r="K72" s="55">
        <f t="array" ref="K72">E72+G72</f>
        <v/>
      </c>
      <c r="L72" s="57" t="n"/>
    </row>
    <row r="73" ht="20.1" customHeight="1" s="206">
      <c r="A73" s="38" t="inlineStr">
        <is>
          <t>m62</t>
        </is>
      </c>
      <c r="B73" s="23" t="inlineStr">
        <is>
          <t>62 years</t>
        </is>
      </c>
      <c r="C73" s="55" t="n">
        <v>0</v>
      </c>
      <c r="D73" s="55" t="n">
        <v>0</v>
      </c>
      <c r="E73" s="55" t="n">
        <v>0</v>
      </c>
      <c r="F73" s="55" t="n">
        <v>0</v>
      </c>
      <c r="G73" s="55" t="n">
        <v>0</v>
      </c>
      <c r="H73" s="55">
        <f t="array" ref="H73">E73+D73</f>
        <v/>
      </c>
      <c r="I73" s="55">
        <f t="array" ref="I73">G73+F73</f>
        <v/>
      </c>
      <c r="J73" s="55">
        <f t="array" ref="J73">D73+F73</f>
        <v/>
      </c>
      <c r="K73" s="55">
        <f t="array" ref="K73">E73+G73</f>
        <v/>
      </c>
      <c r="L73" s="57" t="n"/>
    </row>
    <row r="74" ht="20.1" customHeight="1" s="206">
      <c r="A74" s="38" t="inlineStr">
        <is>
          <t>m63</t>
        </is>
      </c>
      <c r="B74" s="23" t="inlineStr">
        <is>
          <t>63 years</t>
        </is>
      </c>
      <c r="C74" s="55" t="n">
        <v>0</v>
      </c>
      <c r="D74" s="55" t="n">
        <v>0</v>
      </c>
      <c r="E74" s="55" t="n">
        <v>0</v>
      </c>
      <c r="F74" s="55" t="n">
        <v>0</v>
      </c>
      <c r="G74" s="55" t="n">
        <v>0</v>
      </c>
      <c r="H74" s="55">
        <f t="array" ref="H74">E74+D74</f>
        <v/>
      </c>
      <c r="I74" s="55">
        <f t="array" ref="I74">G74+F74</f>
        <v/>
      </c>
      <c r="J74" s="55">
        <f t="array" ref="J74">D74+F74</f>
        <v/>
      </c>
      <c r="K74" s="55">
        <f t="array" ref="K74">E74+G74</f>
        <v/>
      </c>
      <c r="L74" s="57" t="n"/>
    </row>
    <row r="75" ht="20.1" customHeight="1" s="206">
      <c r="A75" s="38" t="inlineStr">
        <is>
          <t>m64</t>
        </is>
      </c>
      <c r="B75" s="23" t="inlineStr">
        <is>
          <t>64 years</t>
        </is>
      </c>
      <c r="C75" s="55" t="n">
        <v>0</v>
      </c>
      <c r="D75" s="55" t="n">
        <v>0</v>
      </c>
      <c r="E75" s="55" t="n">
        <v>0</v>
      </c>
      <c r="F75" s="55" t="n">
        <v>0</v>
      </c>
      <c r="G75" s="55" t="n">
        <v>0</v>
      </c>
      <c r="H75" s="55">
        <f t="array" ref="H75">E75+D75</f>
        <v/>
      </c>
      <c r="I75" s="55">
        <f t="array" ref="I75">G75+F75</f>
        <v/>
      </c>
      <c r="J75" s="55">
        <f t="array" ref="J75">D75+F75</f>
        <v/>
      </c>
      <c r="K75" s="55">
        <f t="array" ref="K75">E75+G75</f>
        <v/>
      </c>
      <c r="L75" s="57" t="n"/>
    </row>
    <row r="76" ht="20.1" customHeight="1" s="206">
      <c r="A76" s="38" t="inlineStr">
        <is>
          <t>m65</t>
        </is>
      </c>
      <c r="B76" s="23" t="inlineStr">
        <is>
          <t>65 years</t>
        </is>
      </c>
      <c r="C76" s="55" t="n">
        <v>0</v>
      </c>
      <c r="D76" s="55" t="n">
        <v>0</v>
      </c>
      <c r="E76" s="55" t="n">
        <v>0</v>
      </c>
      <c r="F76" s="55" t="n">
        <v>0</v>
      </c>
      <c r="G76" s="55" t="n">
        <v>0</v>
      </c>
      <c r="H76" s="55">
        <f t="array" ref="H76">E76+D76</f>
        <v/>
      </c>
      <c r="I76" s="55">
        <f t="array" ref="I76">G76+F76</f>
        <v/>
      </c>
      <c r="J76" s="55">
        <f t="array" ref="J76">D76+F76</f>
        <v/>
      </c>
      <c r="K76" s="55">
        <f t="array" ref="K76">E76+G76</f>
        <v/>
      </c>
      <c r="L76" s="57" t="n"/>
    </row>
    <row r="77" ht="20.1" customHeight="1" s="206">
      <c r="A77" s="38" t="inlineStr">
        <is>
          <t>m66</t>
        </is>
      </c>
      <c r="B77" s="23" t="inlineStr">
        <is>
          <t>66 years</t>
        </is>
      </c>
      <c r="C77" s="55" t="n">
        <v>0</v>
      </c>
      <c r="D77" s="55" t="n">
        <v>0</v>
      </c>
      <c r="E77" s="55" t="n">
        <v>0</v>
      </c>
      <c r="F77" s="55" t="n">
        <v>0</v>
      </c>
      <c r="G77" s="55" t="n">
        <v>0</v>
      </c>
      <c r="H77" s="55">
        <f t="array" ref="H77">E77+D77</f>
        <v/>
      </c>
      <c r="I77" s="55">
        <f t="array" ref="I77">G77+F77</f>
        <v/>
      </c>
      <c r="J77" s="55">
        <f t="array" ref="J77">D77+F77</f>
        <v/>
      </c>
      <c r="K77" s="55">
        <f t="array" ref="K77">E77+G77</f>
        <v/>
      </c>
      <c r="L77" s="57" t="n"/>
    </row>
    <row r="78" ht="20.1" customHeight="1" s="206">
      <c r="A78" s="38" t="inlineStr">
        <is>
          <t>m67</t>
        </is>
      </c>
      <c r="B78" s="23" t="inlineStr">
        <is>
          <t>67 years</t>
        </is>
      </c>
      <c r="C78" s="55" t="n">
        <v>0</v>
      </c>
      <c r="D78" s="55" t="n">
        <v>0</v>
      </c>
      <c r="E78" s="55" t="n">
        <v>0</v>
      </c>
      <c r="F78" s="55" t="n">
        <v>0</v>
      </c>
      <c r="G78" s="55" t="n">
        <v>0</v>
      </c>
      <c r="H78" s="55">
        <f t="array" ref="H78">E78+D78</f>
        <v/>
      </c>
      <c r="I78" s="55">
        <f t="array" ref="I78">G78+F78</f>
        <v/>
      </c>
      <c r="J78" s="55">
        <f t="array" ref="J78">D78+F78</f>
        <v/>
      </c>
      <c r="K78" s="55">
        <f t="array" ref="K78">E78+G78</f>
        <v/>
      </c>
      <c r="L78" s="57" t="n"/>
    </row>
    <row r="79" ht="20.1" customHeight="1" s="206">
      <c r="A79" s="38" t="inlineStr">
        <is>
          <t>m68</t>
        </is>
      </c>
      <c r="B79" s="23" t="inlineStr">
        <is>
          <t>68 years</t>
        </is>
      </c>
      <c r="C79" s="55" t="n">
        <v>0</v>
      </c>
      <c r="D79" s="55" t="n">
        <v>0</v>
      </c>
      <c r="E79" s="55" t="n">
        <v>0</v>
      </c>
      <c r="F79" s="55" t="n">
        <v>0</v>
      </c>
      <c r="G79" s="55" t="n">
        <v>0</v>
      </c>
      <c r="H79" s="55">
        <f t="array" ref="H79">E79+D79</f>
        <v/>
      </c>
      <c r="I79" s="55">
        <f t="array" ref="I79">G79+F79</f>
        <v/>
      </c>
      <c r="J79" s="55">
        <f t="array" ref="J79">D79+F79</f>
        <v/>
      </c>
      <c r="K79" s="55">
        <f t="array" ref="K79">E79+G79</f>
        <v/>
      </c>
      <c r="L79" s="57" t="n"/>
    </row>
    <row r="80" ht="20.1" customHeight="1" s="206">
      <c r="A80" s="38" t="inlineStr">
        <is>
          <t>m69</t>
        </is>
      </c>
      <c r="B80" s="23" t="inlineStr">
        <is>
          <t>69 years</t>
        </is>
      </c>
      <c r="C80" s="55" t="n">
        <v>0</v>
      </c>
      <c r="D80" s="55" t="n">
        <v>0</v>
      </c>
      <c r="E80" s="55" t="n">
        <v>0</v>
      </c>
      <c r="F80" s="55" t="n">
        <v>0</v>
      </c>
      <c r="G80" s="55" t="n">
        <v>0</v>
      </c>
      <c r="H80" s="55">
        <f t="array" ref="H80">E80+D80</f>
        <v/>
      </c>
      <c r="I80" s="55">
        <f t="array" ref="I80">G80+F80</f>
        <v/>
      </c>
      <c r="J80" s="55">
        <f t="array" ref="J80">D80+F80</f>
        <v/>
      </c>
      <c r="K80" s="55">
        <f t="array" ref="K80">E80+G80</f>
        <v/>
      </c>
      <c r="L80" s="57" t="n"/>
    </row>
    <row r="81" ht="20.1" customHeight="1" s="206">
      <c r="A81" s="38" t="inlineStr">
        <is>
          <t>m70</t>
        </is>
      </c>
      <c r="B81" s="23" t="inlineStr">
        <is>
          <t>70 years</t>
        </is>
      </c>
      <c r="C81" s="55" t="n">
        <v>0</v>
      </c>
      <c r="D81" s="55" t="n">
        <v>0</v>
      </c>
      <c r="E81" s="55" t="n">
        <v>0</v>
      </c>
      <c r="F81" s="55" t="n">
        <v>0</v>
      </c>
      <c r="G81" s="55" t="n">
        <v>0</v>
      </c>
      <c r="H81" s="55">
        <f t="array" ref="H81">E81+D81</f>
        <v/>
      </c>
      <c r="I81" s="55">
        <f t="array" ref="I81">G81+F81</f>
        <v/>
      </c>
      <c r="J81" s="55">
        <f t="array" ref="J81">D81+F81</f>
        <v/>
      </c>
      <c r="K81" s="55">
        <f t="array" ref="K81">E81+G81</f>
        <v/>
      </c>
      <c r="L81" s="57" t="n"/>
    </row>
    <row r="82" ht="20.1" customHeight="1" s="206">
      <c r="A82" s="38" t="inlineStr">
        <is>
          <t>m71</t>
        </is>
      </c>
      <c r="B82" s="23" t="inlineStr">
        <is>
          <t>71 years</t>
        </is>
      </c>
      <c r="C82" s="55" t="n">
        <v>0</v>
      </c>
      <c r="D82" s="55" t="n">
        <v>0</v>
      </c>
      <c r="E82" s="55" t="n">
        <v>0</v>
      </c>
      <c r="F82" s="55" t="n">
        <v>0</v>
      </c>
      <c r="G82" s="55" t="n">
        <v>0</v>
      </c>
      <c r="H82" s="55">
        <f t="array" ref="H82">E82+D82</f>
        <v/>
      </c>
      <c r="I82" s="55">
        <f t="array" ref="I82">G82+F82</f>
        <v/>
      </c>
      <c r="J82" s="55">
        <f t="array" ref="J82">D82+F82</f>
        <v/>
      </c>
      <c r="K82" s="55">
        <f t="array" ref="K82">E82+G82</f>
        <v/>
      </c>
      <c r="L82" s="57" t="n"/>
    </row>
    <row r="83" ht="20.1" customHeight="1" s="206">
      <c r="A83" s="38" t="inlineStr">
        <is>
          <t>m72</t>
        </is>
      </c>
      <c r="B83" s="23" t="inlineStr">
        <is>
          <t>72 years</t>
        </is>
      </c>
      <c r="C83" s="55" t="n">
        <v>0</v>
      </c>
      <c r="D83" s="55" t="n">
        <v>0</v>
      </c>
      <c r="E83" s="55" t="n">
        <v>0</v>
      </c>
      <c r="F83" s="55" t="n">
        <v>0</v>
      </c>
      <c r="G83" s="55" t="n">
        <v>0</v>
      </c>
      <c r="H83" s="55">
        <f t="array" ref="H83">E83+D83</f>
        <v/>
      </c>
      <c r="I83" s="55">
        <f t="array" ref="I83">G83+F83</f>
        <v/>
      </c>
      <c r="J83" s="55">
        <f t="array" ref="J83">D83+F83</f>
        <v/>
      </c>
      <c r="K83" s="55">
        <f t="array" ref="K83">E83+G83</f>
        <v/>
      </c>
      <c r="L83" s="57" t="n"/>
    </row>
    <row r="84" ht="20.1" customHeight="1" s="206">
      <c r="A84" s="38" t="inlineStr">
        <is>
          <t>m73</t>
        </is>
      </c>
      <c r="B84" s="23" t="inlineStr">
        <is>
          <t>73 years</t>
        </is>
      </c>
      <c r="C84" s="55" t="n">
        <v>0</v>
      </c>
      <c r="D84" s="55" t="n">
        <v>0</v>
      </c>
      <c r="E84" s="55" t="n">
        <v>0</v>
      </c>
      <c r="F84" s="55" t="n">
        <v>0</v>
      </c>
      <c r="G84" s="55" t="n">
        <v>0</v>
      </c>
      <c r="H84" s="55">
        <f t="array" ref="H84">E84+D84</f>
        <v/>
      </c>
      <c r="I84" s="55">
        <f t="array" ref="I84">G84+F84</f>
        <v/>
      </c>
      <c r="J84" s="55">
        <f t="array" ref="J84">D84+F84</f>
        <v/>
      </c>
      <c r="K84" s="55">
        <f t="array" ref="K84">E84+G84</f>
        <v/>
      </c>
      <c r="L84" s="57" t="n"/>
    </row>
    <row r="85" ht="20.1" customHeight="1" s="206">
      <c r="A85" s="38" t="inlineStr">
        <is>
          <t>m74</t>
        </is>
      </c>
      <c r="B85" s="23" t="inlineStr">
        <is>
          <t>74 years</t>
        </is>
      </c>
      <c r="C85" s="55" t="n">
        <v>0</v>
      </c>
      <c r="D85" s="55" t="n">
        <v>0</v>
      </c>
      <c r="E85" s="55" t="n">
        <v>0</v>
      </c>
      <c r="F85" s="55" t="n">
        <v>0</v>
      </c>
      <c r="G85" s="55" t="n">
        <v>0</v>
      </c>
      <c r="H85" s="55">
        <f t="array" ref="H85">E85+D85</f>
        <v/>
      </c>
      <c r="I85" s="55">
        <f t="array" ref="I85">G85+F85</f>
        <v/>
      </c>
      <c r="J85" s="55">
        <f t="array" ref="J85">D85+F85</f>
        <v/>
      </c>
      <c r="K85" s="55">
        <f t="array" ref="K85">E85+G85</f>
        <v/>
      </c>
      <c r="L85" s="57" t="n"/>
    </row>
    <row r="86" ht="20.1" customHeight="1" s="206">
      <c r="A86" s="38" t="inlineStr">
        <is>
          <t>m75</t>
        </is>
      </c>
      <c r="B86" s="23" t="inlineStr">
        <is>
          <t>75 years</t>
        </is>
      </c>
      <c r="C86" s="55" t="n">
        <v>0</v>
      </c>
      <c r="D86" s="55" t="n">
        <v>0</v>
      </c>
      <c r="E86" s="55" t="n">
        <v>0</v>
      </c>
      <c r="F86" s="55" t="n">
        <v>0</v>
      </c>
      <c r="G86" s="55" t="n">
        <v>0</v>
      </c>
      <c r="H86" s="55">
        <f t="array" ref="H86">E86+D86</f>
        <v/>
      </c>
      <c r="I86" s="55">
        <f t="array" ref="I86">G86+F86</f>
        <v/>
      </c>
      <c r="J86" s="55">
        <f t="array" ref="J86">D86+F86</f>
        <v/>
      </c>
      <c r="K86" s="55">
        <f t="array" ref="K86">E86+G86</f>
        <v/>
      </c>
      <c r="L86" s="57" t="n"/>
    </row>
    <row r="87" ht="20.1" customHeight="1" s="206">
      <c r="A87" s="38" t="inlineStr">
        <is>
          <t>m76</t>
        </is>
      </c>
      <c r="B87" s="23" t="inlineStr">
        <is>
          <t>76 years</t>
        </is>
      </c>
      <c r="C87" s="55" t="n">
        <v>0</v>
      </c>
      <c r="D87" s="55" t="n">
        <v>0</v>
      </c>
      <c r="E87" s="55" t="n">
        <v>0</v>
      </c>
      <c r="F87" s="55" t="n">
        <v>0</v>
      </c>
      <c r="G87" s="55" t="n">
        <v>0</v>
      </c>
      <c r="H87" s="55">
        <f t="array" ref="H87">E87+D87</f>
        <v/>
      </c>
      <c r="I87" s="55">
        <f t="array" ref="I87">G87+F87</f>
        <v/>
      </c>
      <c r="J87" s="55">
        <f t="array" ref="J87">D87+F87</f>
        <v/>
      </c>
      <c r="K87" s="55">
        <f t="array" ref="K87">E87+G87</f>
        <v/>
      </c>
      <c r="L87" s="57" t="n"/>
    </row>
    <row r="88" ht="20.1" customHeight="1" s="206">
      <c r="A88" s="38" t="inlineStr">
        <is>
          <t>m77</t>
        </is>
      </c>
      <c r="B88" s="23" t="inlineStr">
        <is>
          <t>77 years</t>
        </is>
      </c>
      <c r="C88" s="55" t="n">
        <v>0</v>
      </c>
      <c r="D88" s="55" t="n">
        <v>0</v>
      </c>
      <c r="E88" s="55" t="n">
        <v>0</v>
      </c>
      <c r="F88" s="55" t="n">
        <v>0</v>
      </c>
      <c r="G88" s="55" t="n">
        <v>0</v>
      </c>
      <c r="H88" s="55">
        <f t="array" ref="H88">E88+D88</f>
        <v/>
      </c>
      <c r="I88" s="55">
        <f t="array" ref="I88">G88+F88</f>
        <v/>
      </c>
      <c r="J88" s="55">
        <f t="array" ref="J88">D88+F88</f>
        <v/>
      </c>
      <c r="K88" s="55">
        <f t="array" ref="K88">E88+G88</f>
        <v/>
      </c>
      <c r="L88" s="57" t="n"/>
    </row>
    <row r="89" ht="20.1" customHeight="1" s="206">
      <c r="A89" s="38" t="inlineStr">
        <is>
          <t>m78</t>
        </is>
      </c>
      <c r="B89" s="23" t="inlineStr">
        <is>
          <t>78 years</t>
        </is>
      </c>
      <c r="C89" s="55" t="n">
        <v>0</v>
      </c>
      <c r="D89" s="55" t="n">
        <v>0</v>
      </c>
      <c r="E89" s="55" t="n">
        <v>0</v>
      </c>
      <c r="F89" s="55" t="n">
        <v>0</v>
      </c>
      <c r="G89" s="55" t="n">
        <v>0</v>
      </c>
      <c r="H89" s="55">
        <f t="array" ref="H89">E89+D89</f>
        <v/>
      </c>
      <c r="I89" s="55">
        <f t="array" ref="I89">G89+F89</f>
        <v/>
      </c>
      <c r="J89" s="55">
        <f t="array" ref="J89">D89+F89</f>
        <v/>
      </c>
      <c r="K89" s="55">
        <f t="array" ref="K89">E89+G89</f>
        <v/>
      </c>
      <c r="L89" s="57" t="n"/>
    </row>
    <row r="90" ht="20.1" customHeight="1" s="206">
      <c r="A90" s="38" t="inlineStr">
        <is>
          <t>m79</t>
        </is>
      </c>
      <c r="B90" s="23" t="inlineStr">
        <is>
          <t>79 years</t>
        </is>
      </c>
      <c r="C90" s="55" t="n">
        <v>0</v>
      </c>
      <c r="D90" s="55" t="n">
        <v>0</v>
      </c>
      <c r="E90" s="55" t="n">
        <v>0</v>
      </c>
      <c r="F90" s="55" t="n">
        <v>0</v>
      </c>
      <c r="G90" s="55" t="n">
        <v>0</v>
      </c>
      <c r="H90" s="55">
        <f t="array" ref="H90">E90+D90</f>
        <v/>
      </c>
      <c r="I90" s="55">
        <f t="array" ref="I90">G90+F90</f>
        <v/>
      </c>
      <c r="J90" s="55">
        <f t="array" ref="J90">D90+F90</f>
        <v/>
      </c>
      <c r="K90" s="55">
        <f t="array" ref="K90">E90+G90</f>
        <v/>
      </c>
      <c r="L90" s="57" t="n"/>
    </row>
    <row r="91" ht="20.1" customHeight="1" s="206">
      <c r="A91" s="38" t="inlineStr">
        <is>
          <t>m80</t>
        </is>
      </c>
      <c r="B91" s="23" t="inlineStr">
        <is>
          <t>80 years</t>
        </is>
      </c>
      <c r="C91" s="55" t="n">
        <v>0</v>
      </c>
      <c r="D91" s="55" t="n">
        <v>0</v>
      </c>
      <c r="E91" s="55" t="n">
        <v>0</v>
      </c>
      <c r="F91" s="55" t="n">
        <v>0</v>
      </c>
      <c r="G91" s="55" t="n">
        <v>0</v>
      </c>
      <c r="H91" s="55">
        <f t="array" ref="H91">E91+D91</f>
        <v/>
      </c>
      <c r="I91" s="55">
        <f t="array" ref="I91">G91+F91</f>
        <v/>
      </c>
      <c r="J91" s="55">
        <f t="array" ref="J91">D91+F91</f>
        <v/>
      </c>
      <c r="K91" s="55">
        <f t="array" ref="K91">E91+G91</f>
        <v/>
      </c>
      <c r="L91" s="57" t="n"/>
    </row>
    <row r="92" ht="20.1" customHeight="1" s="206">
      <c r="A92" s="38" t="inlineStr">
        <is>
          <t>m81</t>
        </is>
      </c>
      <c r="B92" s="23" t="inlineStr">
        <is>
          <t>81 years</t>
        </is>
      </c>
      <c r="C92" s="55" t="n">
        <v>0</v>
      </c>
      <c r="D92" s="55" t="n">
        <v>0</v>
      </c>
      <c r="E92" s="55" t="n">
        <v>0</v>
      </c>
      <c r="F92" s="55" t="n">
        <v>0</v>
      </c>
      <c r="G92" s="55" t="n">
        <v>0</v>
      </c>
      <c r="H92" s="55">
        <f t="array" ref="H92">E92+D92</f>
        <v/>
      </c>
      <c r="I92" s="55">
        <f t="array" ref="I92">G92+F92</f>
        <v/>
      </c>
      <c r="J92" s="55">
        <f t="array" ref="J92">D92+F92</f>
        <v/>
      </c>
      <c r="K92" s="55">
        <f t="array" ref="K92">E92+G92</f>
        <v/>
      </c>
      <c r="L92" s="57" t="n"/>
    </row>
    <row r="93" ht="20.1" customHeight="1" s="206">
      <c r="A93" s="38" t="inlineStr">
        <is>
          <t>m82</t>
        </is>
      </c>
      <c r="B93" s="23" t="inlineStr">
        <is>
          <t>82 years</t>
        </is>
      </c>
      <c r="C93" s="55" t="n">
        <v>0</v>
      </c>
      <c r="D93" s="55" t="n">
        <v>0</v>
      </c>
      <c r="E93" s="55" t="n">
        <v>0</v>
      </c>
      <c r="F93" s="55" t="n">
        <v>0</v>
      </c>
      <c r="G93" s="55" t="n">
        <v>0</v>
      </c>
      <c r="H93" s="55">
        <f t="array" ref="H93">E93+D93</f>
        <v/>
      </c>
      <c r="I93" s="55">
        <f t="array" ref="I93">G93+F93</f>
        <v/>
      </c>
      <c r="J93" s="55">
        <f t="array" ref="J93">D93+F93</f>
        <v/>
      </c>
      <c r="K93" s="55">
        <f t="array" ref="K93">E93+G93</f>
        <v/>
      </c>
      <c r="L93" s="57" t="n"/>
    </row>
    <row r="94" ht="20.1" customHeight="1" s="206">
      <c r="A94" s="38" t="inlineStr">
        <is>
          <t>m83</t>
        </is>
      </c>
      <c r="B94" s="23" t="inlineStr">
        <is>
          <t>83 years</t>
        </is>
      </c>
      <c r="C94" s="55" t="n">
        <v>0</v>
      </c>
      <c r="D94" s="55" t="n">
        <v>0</v>
      </c>
      <c r="E94" s="55" t="n">
        <v>0</v>
      </c>
      <c r="F94" s="55" t="n">
        <v>0</v>
      </c>
      <c r="G94" s="55" t="n">
        <v>0</v>
      </c>
      <c r="H94" s="55">
        <f t="array" ref="H94">E94+D94</f>
        <v/>
      </c>
      <c r="I94" s="55">
        <f t="array" ref="I94">G94+F94</f>
        <v/>
      </c>
      <c r="J94" s="55">
        <f t="array" ref="J94">D94+F94</f>
        <v/>
      </c>
      <c r="K94" s="55">
        <f t="array" ref="K94">E94+G94</f>
        <v/>
      </c>
      <c r="L94" s="57" t="n"/>
    </row>
    <row r="95" ht="20.1" customHeight="1" s="206">
      <c r="A95" s="38" t="inlineStr">
        <is>
          <t>m84</t>
        </is>
      </c>
      <c r="B95" s="23" t="inlineStr">
        <is>
          <t>84 years</t>
        </is>
      </c>
      <c r="C95" s="55" t="n">
        <v>0</v>
      </c>
      <c r="D95" s="55" t="n">
        <v>0</v>
      </c>
      <c r="E95" s="55" t="n">
        <v>0</v>
      </c>
      <c r="F95" s="55" t="n">
        <v>0</v>
      </c>
      <c r="G95" s="55" t="n">
        <v>0</v>
      </c>
      <c r="H95" s="55">
        <f t="array" ref="H95">E95+D95</f>
        <v/>
      </c>
      <c r="I95" s="55">
        <f t="array" ref="I95">G95+F95</f>
        <v/>
      </c>
      <c r="J95" s="55">
        <f t="array" ref="J95">D95+F95</f>
        <v/>
      </c>
      <c r="K95" s="55">
        <f t="array" ref="K95">E95+G95</f>
        <v/>
      </c>
      <c r="L95" s="57" t="n"/>
    </row>
    <row r="96" ht="20.1" customHeight="1" s="206">
      <c r="A96" s="38" t="inlineStr">
        <is>
          <t>m85</t>
        </is>
      </c>
      <c r="B96" s="23" t="inlineStr">
        <is>
          <t>85 years</t>
        </is>
      </c>
      <c r="C96" s="55" t="n">
        <v>0</v>
      </c>
      <c r="D96" s="55" t="n">
        <v>0</v>
      </c>
      <c r="E96" s="55" t="n">
        <v>0</v>
      </c>
      <c r="F96" s="55" t="n">
        <v>0</v>
      </c>
      <c r="G96" s="55" t="n">
        <v>0</v>
      </c>
      <c r="H96" s="55">
        <f t="array" ref="H96">E96+D96</f>
        <v/>
      </c>
      <c r="I96" s="55">
        <f t="array" ref="I96">G96+F96</f>
        <v/>
      </c>
      <c r="J96" s="55">
        <f t="array" ref="J96">D96+F96</f>
        <v/>
      </c>
      <c r="K96" s="55">
        <f t="array" ref="K96">E96+G96</f>
        <v/>
      </c>
      <c r="L96" s="57" t="n"/>
    </row>
    <row r="97" ht="20.1" customHeight="1" s="206">
      <c r="A97" s="38" t="inlineStr">
        <is>
          <t>m86</t>
        </is>
      </c>
      <c r="B97" s="23" t="inlineStr">
        <is>
          <t>86 years</t>
        </is>
      </c>
      <c r="C97" s="55" t="n">
        <v>0</v>
      </c>
      <c r="D97" s="55" t="n">
        <v>0</v>
      </c>
      <c r="E97" s="55" t="n">
        <v>0</v>
      </c>
      <c r="F97" s="55" t="n">
        <v>0</v>
      </c>
      <c r="G97" s="55" t="n">
        <v>0</v>
      </c>
      <c r="H97" s="55">
        <f t="array" ref="H97">E97+D97</f>
        <v/>
      </c>
      <c r="I97" s="55">
        <f t="array" ref="I97">G97+F97</f>
        <v/>
      </c>
      <c r="J97" s="55">
        <f t="array" ref="J97">D97+F97</f>
        <v/>
      </c>
      <c r="K97" s="55">
        <f t="array" ref="K97">E97+G97</f>
        <v/>
      </c>
      <c r="L97" s="57" t="n"/>
    </row>
    <row r="98" ht="20.1" customHeight="1" s="206">
      <c r="A98" s="38" t="inlineStr">
        <is>
          <t>m87</t>
        </is>
      </c>
      <c r="B98" s="23" t="inlineStr">
        <is>
          <t>87 years</t>
        </is>
      </c>
      <c r="C98" s="55" t="n">
        <v>0</v>
      </c>
      <c r="D98" s="55" t="n">
        <v>0</v>
      </c>
      <c r="E98" s="55" t="n">
        <v>0</v>
      </c>
      <c r="F98" s="55" t="n">
        <v>0</v>
      </c>
      <c r="G98" s="55" t="n">
        <v>0</v>
      </c>
      <c r="H98" s="55">
        <f t="array" ref="H98">E98+D98</f>
        <v/>
      </c>
      <c r="I98" s="55">
        <f t="array" ref="I98">G98+F98</f>
        <v/>
      </c>
      <c r="J98" s="55">
        <f t="array" ref="J98">D98+F98</f>
        <v/>
      </c>
      <c r="K98" s="55">
        <f t="array" ref="K98">E98+G98</f>
        <v/>
      </c>
      <c r="L98" s="57" t="n"/>
    </row>
    <row r="99" ht="20.1" customHeight="1" s="206">
      <c r="A99" s="38" t="inlineStr">
        <is>
          <t>m88</t>
        </is>
      </c>
      <c r="B99" s="23" t="inlineStr">
        <is>
          <t>88 years</t>
        </is>
      </c>
      <c r="C99" s="55" t="n">
        <v>0</v>
      </c>
      <c r="D99" s="55" t="n">
        <v>0</v>
      </c>
      <c r="E99" s="55" t="n">
        <v>0</v>
      </c>
      <c r="F99" s="55" t="n">
        <v>0</v>
      </c>
      <c r="G99" s="55" t="n">
        <v>0</v>
      </c>
      <c r="H99" s="55">
        <f t="array" ref="H99">E99+D99</f>
        <v/>
      </c>
      <c r="I99" s="55">
        <f t="array" ref="I99">G99+F99</f>
        <v/>
      </c>
      <c r="J99" s="55">
        <f t="array" ref="J99">D99+F99</f>
        <v/>
      </c>
      <c r="K99" s="55">
        <f t="array" ref="K99">E99+G99</f>
        <v/>
      </c>
      <c r="L99" s="57" t="n"/>
    </row>
    <row r="100" ht="20.1" customHeight="1" s="206">
      <c r="A100" s="38" t="inlineStr">
        <is>
          <t>m89</t>
        </is>
      </c>
      <c r="B100" s="23" t="inlineStr">
        <is>
          <t>89 years</t>
        </is>
      </c>
      <c r="C100" s="55" t="n">
        <v>0</v>
      </c>
      <c r="D100" s="55" t="n">
        <v>0</v>
      </c>
      <c r="E100" s="55" t="n">
        <v>0</v>
      </c>
      <c r="F100" s="55" t="n">
        <v>0</v>
      </c>
      <c r="G100" s="55" t="n">
        <v>0</v>
      </c>
      <c r="H100" s="55">
        <f t="array" ref="H100">E100+D100</f>
        <v/>
      </c>
      <c r="I100" s="55">
        <f t="array" ref="I100">G100+F100</f>
        <v/>
      </c>
      <c r="J100" s="55">
        <f t="array" ref="J100">D100+F100</f>
        <v/>
      </c>
      <c r="K100" s="55">
        <f t="array" ref="K100">E100+G100</f>
        <v/>
      </c>
      <c r="L100" s="57" t="n"/>
    </row>
    <row r="101" ht="20.1" customHeight="1" s="206">
      <c r="A101" s="38" t="inlineStr">
        <is>
          <t>m90</t>
        </is>
      </c>
      <c r="B101" s="23" t="inlineStr">
        <is>
          <t>90 years</t>
        </is>
      </c>
      <c r="C101" s="55" t="n">
        <v>0</v>
      </c>
      <c r="D101" s="55" t="n">
        <v>0</v>
      </c>
      <c r="E101" s="55" t="n">
        <v>0</v>
      </c>
      <c r="F101" s="55" t="n">
        <v>0</v>
      </c>
      <c r="G101" s="55" t="n">
        <v>0</v>
      </c>
      <c r="H101" s="55">
        <f t="array" ref="H101">E101+D101</f>
        <v/>
      </c>
      <c r="I101" s="55">
        <f t="array" ref="I101">G101+F101</f>
        <v/>
      </c>
      <c r="J101" s="55">
        <f t="array" ref="J101">D101+F101</f>
        <v/>
      </c>
      <c r="K101" s="55">
        <f t="array" ref="K101">E101+G101</f>
        <v/>
      </c>
      <c r="L101" s="57" t="n"/>
    </row>
    <row r="102" ht="20.1" customHeight="1" s="206">
      <c r="A102" s="38" t="inlineStr">
        <is>
          <t>m91</t>
        </is>
      </c>
      <c r="B102" s="23" t="inlineStr">
        <is>
          <t>91 years</t>
        </is>
      </c>
      <c r="C102" s="55" t="n">
        <v>0</v>
      </c>
      <c r="D102" s="55" t="n">
        <v>0</v>
      </c>
      <c r="E102" s="55" t="n">
        <v>0</v>
      </c>
      <c r="F102" s="55" t="n">
        <v>0</v>
      </c>
      <c r="G102" s="55" t="n">
        <v>0</v>
      </c>
      <c r="H102" s="55">
        <f t="array" ref="H102">E102+D102</f>
        <v/>
      </c>
      <c r="I102" s="55">
        <f t="array" ref="I102">G102+F102</f>
        <v/>
      </c>
      <c r="J102" s="55">
        <f t="array" ref="J102">D102+F102</f>
        <v/>
      </c>
      <c r="K102" s="55">
        <f t="array" ref="K102">E102+G102</f>
        <v/>
      </c>
      <c r="L102" s="57" t="n"/>
    </row>
    <row r="103" ht="20.1" customHeight="1" s="206">
      <c r="A103" s="38" t="inlineStr">
        <is>
          <t>m92</t>
        </is>
      </c>
      <c r="B103" s="23" t="inlineStr">
        <is>
          <t>92 years</t>
        </is>
      </c>
      <c r="C103" s="55" t="n">
        <v>0</v>
      </c>
      <c r="D103" s="55" t="n">
        <v>0</v>
      </c>
      <c r="E103" s="55" t="n">
        <v>0</v>
      </c>
      <c r="F103" s="55" t="n">
        <v>0</v>
      </c>
      <c r="G103" s="55" t="n">
        <v>0</v>
      </c>
      <c r="H103" s="55">
        <f t="array" ref="H103">E103+D103</f>
        <v/>
      </c>
      <c r="I103" s="55">
        <f t="array" ref="I103">G103+F103</f>
        <v/>
      </c>
      <c r="J103" s="55">
        <f t="array" ref="J103">D103+F103</f>
        <v/>
      </c>
      <c r="K103" s="55">
        <f t="array" ref="K103">E103+G103</f>
        <v/>
      </c>
      <c r="L103" s="57" t="n"/>
    </row>
    <row r="104" ht="20.1" customHeight="1" s="206">
      <c r="A104" s="38" t="inlineStr">
        <is>
          <t>m93</t>
        </is>
      </c>
      <c r="B104" s="23" t="inlineStr">
        <is>
          <t>93 years</t>
        </is>
      </c>
      <c r="C104" s="55" t="n">
        <v>0</v>
      </c>
      <c r="D104" s="55" t="n">
        <v>0</v>
      </c>
      <c r="E104" s="55" t="n">
        <v>0</v>
      </c>
      <c r="F104" s="55" t="n">
        <v>0</v>
      </c>
      <c r="G104" s="55" t="n">
        <v>0</v>
      </c>
      <c r="H104" s="55">
        <f t="array" ref="H104">E104+D104</f>
        <v/>
      </c>
      <c r="I104" s="55">
        <f t="array" ref="I104">G104+F104</f>
        <v/>
      </c>
      <c r="J104" s="55">
        <f t="array" ref="J104">D104+F104</f>
        <v/>
      </c>
      <c r="K104" s="55">
        <f t="array" ref="K104">E104+G104</f>
        <v/>
      </c>
      <c r="L104" s="57" t="n"/>
    </row>
    <row r="105" ht="20.1" customHeight="1" s="206">
      <c r="A105" s="38" t="inlineStr">
        <is>
          <t>m94</t>
        </is>
      </c>
      <c r="B105" s="23" t="inlineStr">
        <is>
          <t>94 years</t>
        </is>
      </c>
      <c r="C105" s="55" t="n">
        <v>0</v>
      </c>
      <c r="D105" s="55" t="n">
        <v>0</v>
      </c>
      <c r="E105" s="55" t="n">
        <v>0</v>
      </c>
      <c r="F105" s="55" t="n">
        <v>0</v>
      </c>
      <c r="G105" s="55" t="n">
        <v>0</v>
      </c>
      <c r="H105" s="55">
        <f t="array" ref="H105">E105+D105</f>
        <v/>
      </c>
      <c r="I105" s="55">
        <f t="array" ref="I105">G105+F105</f>
        <v/>
      </c>
      <c r="J105" s="55">
        <f t="array" ref="J105">D105+F105</f>
        <v/>
      </c>
      <c r="K105" s="55">
        <f t="array" ref="K105">E105+G105</f>
        <v/>
      </c>
      <c r="L105" s="57" t="n"/>
    </row>
    <row r="106" ht="20.1" customHeight="1" s="206">
      <c r="A106" s="38" t="inlineStr">
        <is>
          <t>m95</t>
        </is>
      </c>
      <c r="B106" s="23" t="inlineStr">
        <is>
          <t>95 years</t>
        </is>
      </c>
      <c r="C106" s="55" t="n">
        <v>0</v>
      </c>
      <c r="D106" s="55" t="n">
        <v>0</v>
      </c>
      <c r="E106" s="55" t="n">
        <v>0</v>
      </c>
      <c r="F106" s="55" t="n">
        <v>0</v>
      </c>
      <c r="G106" s="55" t="n">
        <v>0</v>
      </c>
      <c r="H106" s="55">
        <f t="array" ref="H106">E106+D106</f>
        <v/>
      </c>
      <c r="I106" s="55">
        <f t="array" ref="I106">G106+F106</f>
        <v/>
      </c>
      <c r="J106" s="55">
        <f t="array" ref="J106">D106+F106</f>
        <v/>
      </c>
      <c r="K106" s="55">
        <f t="array" ref="K106">E106+G106</f>
        <v/>
      </c>
      <c r="L106" s="57" t="n"/>
    </row>
    <row r="107" ht="20.1" customHeight="1" s="206">
      <c r="A107" s="38" t="inlineStr">
        <is>
          <t>m96</t>
        </is>
      </c>
      <c r="B107" s="23" t="inlineStr">
        <is>
          <t>96 years</t>
        </is>
      </c>
      <c r="C107" s="55" t="n">
        <v>0</v>
      </c>
      <c r="D107" s="55" t="n">
        <v>0</v>
      </c>
      <c r="E107" s="55" t="n">
        <v>0</v>
      </c>
      <c r="F107" s="55" t="n">
        <v>0</v>
      </c>
      <c r="G107" s="55" t="n">
        <v>0</v>
      </c>
      <c r="H107" s="55">
        <f t="array" ref="H107">E107+D107</f>
        <v/>
      </c>
      <c r="I107" s="55">
        <f t="array" ref="I107">G107+F107</f>
        <v/>
      </c>
      <c r="J107" s="55">
        <f t="array" ref="J107">D107+F107</f>
        <v/>
      </c>
      <c r="K107" s="55">
        <f t="array" ref="K107">E107+G107</f>
        <v/>
      </c>
      <c r="L107" s="57" t="n"/>
    </row>
    <row r="108" ht="20.1" customHeight="1" s="206">
      <c r="A108" s="38" t="inlineStr">
        <is>
          <t>m97</t>
        </is>
      </c>
      <c r="B108" s="23" t="inlineStr">
        <is>
          <t>97 years</t>
        </is>
      </c>
      <c r="C108" s="55" t="n">
        <v>0</v>
      </c>
      <c r="D108" s="55" t="n">
        <v>0</v>
      </c>
      <c r="E108" s="55" t="n">
        <v>0</v>
      </c>
      <c r="F108" s="55" t="n">
        <v>0</v>
      </c>
      <c r="G108" s="55" t="n">
        <v>0</v>
      </c>
      <c r="H108" s="55">
        <f t="array" ref="H108">E108+D108</f>
        <v/>
      </c>
      <c r="I108" s="55">
        <f t="array" ref="I108">G108+F108</f>
        <v/>
      </c>
      <c r="J108" s="55">
        <f t="array" ref="J108">D108+F108</f>
        <v/>
      </c>
      <c r="K108" s="55">
        <f t="array" ref="K108">E108+G108</f>
        <v/>
      </c>
      <c r="L108" s="57" t="n"/>
    </row>
    <row r="109" ht="20.1" customHeight="1" s="206">
      <c r="A109" s="38" t="inlineStr">
        <is>
          <t>m98</t>
        </is>
      </c>
      <c r="B109" s="23" t="inlineStr">
        <is>
          <t>98 years</t>
        </is>
      </c>
      <c r="C109" s="55" t="n">
        <v>0</v>
      </c>
      <c r="D109" s="55" t="n">
        <v>0</v>
      </c>
      <c r="E109" s="55" t="n">
        <v>0</v>
      </c>
      <c r="F109" s="55" t="n">
        <v>0</v>
      </c>
      <c r="G109" s="55" t="n">
        <v>0</v>
      </c>
      <c r="H109" s="55">
        <f t="array" ref="H109">E109+D109</f>
        <v/>
      </c>
      <c r="I109" s="55">
        <f t="array" ref="I109">G109+F109</f>
        <v/>
      </c>
      <c r="J109" s="55">
        <f t="array" ref="J109">D109+F109</f>
        <v/>
      </c>
      <c r="K109" s="55">
        <f t="array" ref="K109">E109+G109</f>
        <v/>
      </c>
      <c r="L109" s="57" t="n"/>
    </row>
    <row r="110" ht="20.1" customHeight="1" s="206">
      <c r="A110" s="38" t="inlineStr">
        <is>
          <t>m99</t>
        </is>
      </c>
      <c r="B110" s="23" t="inlineStr">
        <is>
          <t>99 years and older</t>
        </is>
      </c>
      <c r="C110" s="55" t="n">
        <v>0</v>
      </c>
      <c r="D110" s="55" t="n">
        <v>0</v>
      </c>
      <c r="E110" s="55" t="n">
        <v>0</v>
      </c>
      <c r="F110" s="55" t="n">
        <v>0</v>
      </c>
      <c r="G110" s="55" t="n">
        <v>0</v>
      </c>
      <c r="H110" s="55">
        <f t="array" ref="H110">E110+D110</f>
        <v/>
      </c>
      <c r="I110" s="55">
        <f t="array" ref="I110">G110+F110</f>
        <v/>
      </c>
      <c r="J110" s="55">
        <f t="array" ref="J110">D110+F110</f>
        <v/>
      </c>
      <c r="K110" s="55">
        <f t="array" ref="K110">E110+G110</f>
        <v/>
      </c>
      <c r="L110" s="57" t="n"/>
    </row>
    <row r="111" ht="20.1" customHeight="1" s="206">
      <c r="A111" s="38" t="inlineStr">
        <is>
          <t>mt</t>
        </is>
      </c>
      <c r="B111" s="23" t="inlineStr">
        <is>
          <t>Total</t>
        </is>
      </c>
      <c r="C111" s="55">
        <f t="array" ref="C111">SUM(C11:C110)</f>
        <v/>
      </c>
      <c r="D111" s="55">
        <f t="array" ref="D111">SUM(D11:D110)</f>
        <v/>
      </c>
      <c r="E111" s="55">
        <f t="array" ref="E111">SUM(E11:E110)</f>
        <v/>
      </c>
      <c r="F111" s="55">
        <f t="array" ref="F111">SUM(F11:F110)</f>
        <v/>
      </c>
      <c r="G111" s="55">
        <f t="array" ref="G111">SUM(G11:G110)</f>
        <v/>
      </c>
      <c r="H111" s="55">
        <f t="array" ref="H111">SUM(H11:H110)</f>
        <v/>
      </c>
      <c r="I111" s="55">
        <f t="array" ref="I111">SUM(I11:I110)</f>
        <v/>
      </c>
      <c r="J111" s="55">
        <f t="array" ref="J111">D111+F111</f>
        <v/>
      </c>
      <c r="K111" s="55">
        <f t="array" ref="K111">E111+G111</f>
        <v/>
      </c>
      <c r="L111" s="57" t="n"/>
    </row>
    <row r="112" ht="20.1" customHeight="1" s="206">
      <c r="A112" s="10" t="n"/>
      <c r="B112" s="18" t="n"/>
      <c r="C112" s="13" t="n"/>
      <c r="D112" s="13" t="n"/>
      <c r="E112" s="13" t="n"/>
      <c r="F112" s="13" t="n"/>
      <c r="G112" s="13" t="n"/>
      <c r="H112" s="13" t="n"/>
      <c r="I112" s="13" t="n"/>
      <c r="J112" s="13" t="n"/>
      <c r="K112" s="13" t="n"/>
      <c r="L112" s="13" t="n"/>
    </row>
    <row r="113" ht="32.1" customHeight="1" s="206">
      <c r="A113" s="38" t="inlineStr">
        <is>
          <t>ms</t>
        </is>
      </c>
      <c r="B113" s="23" t="inlineStr">
        <is>
          <t>Source of the data (verbal)</t>
        </is>
      </c>
      <c r="C113" s="184" t="inlineStr">
        <is>
          <t>https://ec.europa.eu/eurostat/databrowser/view/migr_imm1ctz__custom_21284776/default/table; downloaded 2026-05-04; we used the 10-year average number of migrants (2015-2024); not for all countries age-related data is available so the number of migrants is binomially distributed between the age of 6 and 44 (μ=25, σ=10); the numbers are only available until 2019, so we used this numbers for all further years</t>
        </is>
      </c>
      <c r="D113" s="177" t="n"/>
      <c r="E113" s="177" t="n"/>
      <c r="F113" s="177" t="n"/>
      <c r="G113" s="177" t="n"/>
      <c r="H113" s="177" t="n"/>
      <c r="I113" s="177" t="n"/>
      <c r="J113" s="177" t="n"/>
      <c r="K113" s="177" t="n"/>
      <c r="L113" s="13" t="n"/>
    </row>
    <row r="114" ht="20.1" customHeight="1" s="206">
      <c r="A114" s="15" t="n"/>
      <c r="B114" s="23" t="inlineStr">
        <is>
          <t>URLs, where the data was found</t>
        </is>
      </c>
      <c r="C114" s="185" t="inlineStr">
        <is>
          <t>https://ec.europa.eu/eurostat/databrowser/view/migr_imm3ctb, https://ec.europa.eu/eurostat/databrowser/view/migr_emi4ctb, https://www.statistik.at/fileadmin/pages/432/Tabellensammlung_Aussenwanderungen_2024.ods</t>
        </is>
      </c>
      <c r="D114" s="177" t="n"/>
      <c r="E114" s="177" t="n"/>
      <c r="F114" s="177" t="n"/>
      <c r="G114" s="177" t="n"/>
      <c r="H114" s="177" t="n"/>
      <c r="I114" s="177" t="n"/>
      <c r="J114" s="177" t="n"/>
      <c r="K114" s="177" t="n"/>
      <c r="L114" s="13" t="n"/>
    </row>
    <row r="115" ht="20.1" customHeight="1" s="206">
      <c r="A115" s="24" t="n"/>
      <c r="B115" s="33" t="inlineStr">
        <is>
          <t>Date, when the data was downloaded</t>
        </is>
      </c>
      <c r="C115" s="201" t="inlineStr">
        <is>
          <t>2026-05-20</t>
        </is>
      </c>
      <c r="D115" s="182" t="n"/>
      <c r="E115" s="182" t="n"/>
      <c r="F115" s="182" t="n"/>
      <c r="G115" s="182" t="n"/>
      <c r="H115" s="182" t="n"/>
      <c r="I115" s="182" t="n"/>
      <c r="J115" s="182" t="n"/>
      <c r="K115" s="182" t="n"/>
      <c r="L115" s="13" t="n"/>
    </row>
    <row r="116" ht="20.1" customHeight="1" s="206">
      <c r="A116" s="10" t="n"/>
      <c r="B116" s="11" t="inlineStr">
        <is>
          <t>Manual remarks (not for AI!)</t>
        </is>
      </c>
      <c r="C116" s="202" t="inlineStr">
        <is>
          <t>we used the 10-year average number of the migration balance (2015-2024); the numbers are binomially distributed between the age of 5 and 54</t>
        </is>
      </c>
      <c r="L116" s="13" t="n"/>
    </row>
    <row r="117" ht="20.1" customHeight="1" s="206">
      <c r="A117" s="10" t="n"/>
      <c r="B117" s="11" t="inlineStr">
        <is>
          <t>Remarks of the AI (e.g. calculation)</t>
        </is>
      </c>
      <c r="C117"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117" s="188" t="n"/>
      <c r="E117" s="188" t="n"/>
      <c r="F117" s="188" t="n"/>
      <c r="G117" s="188" t="n"/>
      <c r="H117" s="188" t="n"/>
      <c r="I117" s="188" t="n"/>
      <c r="J117" s="188" t="n"/>
      <c r="K117" s="188" t="n"/>
      <c r="L117" s="13" t="n"/>
    </row>
    <row r="118" ht="20.1" customHeight="1" s="206">
      <c r="A118" s="10" t="n"/>
      <c r="B118" s="11" t="inlineStr">
        <is>
          <t>Internal remarks</t>
        </is>
      </c>
      <c r="C118" s="186" t="n"/>
      <c r="D118" s="177" t="n"/>
      <c r="E118" s="177" t="n"/>
      <c r="F118" s="177" t="n"/>
      <c r="G118" s="177" t="n"/>
      <c r="H118" s="177" t="n"/>
      <c r="I118" s="177" t="n"/>
      <c r="J118" s="177" t="n"/>
      <c r="K118" s="177" t="n"/>
      <c r="L118" s="13" t="n"/>
    </row>
    <row r="119" ht="20.1" customHeight="1" s="206">
      <c r="A119" s="15" t="n"/>
      <c r="B119" s="16" t="n"/>
      <c r="C119" s="13" t="n"/>
      <c r="D119" s="13" t="n"/>
      <c r="E119" s="13" t="n"/>
      <c r="F119" s="13" t="n"/>
      <c r="G119" s="13" t="n"/>
      <c r="H119" s="13" t="n"/>
      <c r="I119" s="13" t="n"/>
      <c r="J119" s="13" t="n"/>
      <c r="K119" s="13" t="n"/>
      <c r="L119" s="13" t="n"/>
    </row>
    <row r="120" ht="33.4" customHeight="1" s="206">
      <c r="A120" s="100" t="n"/>
      <c r="B120" s="101" t="inlineStr">
        <is>
          <t>✏️</t>
        </is>
      </c>
      <c r="C120" s="198" t="inlineStr">
        <is>
          <t>Enter your data below and make sure that you adjust the formulas above, if necessary.  If calculations are necessary, use the fields below for it and use formulas in the area above, to fill in the fields above exactly as intended.</t>
        </is>
      </c>
      <c r="D120" s="177" t="n"/>
      <c r="E120" s="177" t="n"/>
      <c r="F120" s="177" t="n"/>
      <c r="G120" s="177" t="n"/>
      <c r="H120" s="177" t="n"/>
      <c r="I120" s="177" t="n"/>
      <c r="J120" s="177" t="n"/>
      <c r="K120" s="177" t="n"/>
      <c r="L120" s="58" t="n"/>
    </row>
    <row r="121" ht="32.1" customHeight="1" s="206">
      <c r="A121" s="121" t="n"/>
      <c r="B121" s="122" t="inlineStr">
        <is>
          <t>Immigration</t>
        </is>
      </c>
      <c r="C121" s="195" t="inlineStr">
        <is>
          <t>Fill in the numbers of people immigrating into this country here.  For the calculation only the last 10 years are relevant. But we need the older values for later so we can calculate the numbers more correctly.</t>
        </is>
      </c>
      <c r="D121" s="177" t="n"/>
      <c r="E121" s="177" t="n"/>
      <c r="F121" s="177" t="n"/>
      <c r="G121" s="177" t="n"/>
      <c r="H121" s="177" t="n"/>
      <c r="I121" s="177" t="n"/>
      <c r="J121" s="177" t="n"/>
      <c r="K121" s="177" t="n"/>
      <c r="L121" s="22" t="n"/>
    </row>
    <row r="122" ht="20.1" customHeight="1" s="206">
      <c r="A122" s="15" t="n"/>
      <c r="B122" s="16" t="n"/>
      <c r="C122" s="57" t="n"/>
      <c r="D122" s="57" t="n"/>
      <c r="E122" s="57" t="n"/>
      <c r="F122" s="57" t="n"/>
      <c r="G122" s="57" t="n"/>
      <c r="H122" s="57" t="n"/>
      <c r="I122" s="57" t="n"/>
      <c r="J122" s="57" t="n"/>
      <c r="K122" s="57" t="n"/>
      <c r="L122" s="57" t="n"/>
    </row>
    <row r="123" ht="20.1" customHeight="1" s="206">
      <c r="A123" s="1" t="n"/>
      <c r="B123" s="123">
        <f t="array" ref="B123">$B124-1</f>
        <v/>
      </c>
      <c r="C123" s="55">
        <f t="array" ref="C123">H123+I123</f>
        <v/>
      </c>
      <c r="D123" s="75" t="n"/>
      <c r="E123" s="75" t="n"/>
      <c r="F123" s="56">
        <f t="array" ref="F123">J123-D123</f>
        <v/>
      </c>
      <c r="G123" s="56">
        <f t="array" ref="G123">K123-E123</f>
        <v/>
      </c>
      <c r="H123" s="55">
        <f t="array" ref="H123">E123+D123</f>
        <v/>
      </c>
      <c r="I123" s="55">
        <f t="array" ref="I123">G123+F123</f>
        <v/>
      </c>
      <c r="J123" s="75" t="n"/>
      <c r="K123" s="75" t="n"/>
      <c r="L123" s="90" t="n">
        <v>0.0418706094</v>
      </c>
    </row>
    <row r="124" ht="20.1" customHeight="1" s="206">
      <c r="A124" s="1" t="n"/>
      <c r="B124" s="123">
        <f t="array" ref="B124">$B125-1</f>
        <v/>
      </c>
      <c r="C124" s="55">
        <f t="array" ref="C124">H124+I124</f>
        <v/>
      </c>
      <c r="D124" s="75" t="n"/>
      <c r="E124" s="75" t="n"/>
      <c r="F124" s="56">
        <f t="array" ref="F124">J124-D124</f>
        <v/>
      </c>
      <c r="G124" s="56">
        <f t="array" ref="G124">K124-E124</f>
        <v/>
      </c>
      <c r="H124" s="55">
        <f t="array" ref="H124">E124+D124</f>
        <v/>
      </c>
      <c r="I124" s="55">
        <f t="array" ref="I124">G124+F124</f>
        <v/>
      </c>
      <c r="J124" s="75" t="n"/>
      <c r="K124" s="75" t="n"/>
      <c r="L124" s="90" t="n">
        <v>0.0463687134</v>
      </c>
    </row>
    <row r="125" ht="20.1" customHeight="1" s="206">
      <c r="A125" s="1" t="n"/>
      <c r="B125" s="123">
        <f t="array" ref="B125">$B126-1</f>
        <v/>
      </c>
      <c r="C125" s="55">
        <f t="array" ref="C125">H125+I125</f>
        <v/>
      </c>
      <c r="D125" s="75" t="n"/>
      <c r="E125" s="75" t="n"/>
      <c r="F125" s="56">
        <f t="array" ref="F125">J125-D125</f>
        <v/>
      </c>
      <c r="G125" s="56">
        <f t="array" ref="G125">K125-E125</f>
        <v/>
      </c>
      <c r="H125" s="55">
        <f t="array" ref="H125">E125+D125</f>
        <v/>
      </c>
      <c r="I125" s="55">
        <f t="array" ref="I125">G125+F125</f>
        <v/>
      </c>
      <c r="J125" s="75" t="n"/>
      <c r="K125" s="75" t="n"/>
      <c r="L125" s="90" t="n">
        <v>0.0503127037</v>
      </c>
    </row>
    <row r="126" ht="20.1" customHeight="1" s="206">
      <c r="A126" s="1" t="n"/>
      <c r="B126" s="123">
        <f t="array" ref="B126">$B127-1</f>
        <v/>
      </c>
      <c r="C126" s="55">
        <f t="array" ref="C126">H126+I126</f>
        <v/>
      </c>
      <c r="D126" s="75" t="n"/>
      <c r="E126" s="75" t="n"/>
      <c r="F126" s="56">
        <f t="array" ref="F126">J126-D126</f>
        <v/>
      </c>
      <c r="G126" s="56">
        <f t="array" ref="G126">K126-E126</f>
        <v/>
      </c>
      <c r="H126" s="55">
        <f t="array" ref="H126">E126+D126</f>
        <v/>
      </c>
      <c r="I126" s="55">
        <f t="array" ref="I126">G126+F126</f>
        <v/>
      </c>
      <c r="J126" s="75" t="n"/>
      <c r="K126" s="75" t="n"/>
      <c r="L126" s="90" t="n">
        <v>0.0534893246</v>
      </c>
    </row>
    <row r="127" ht="20.1" customHeight="1" s="206">
      <c r="A127" s="1" t="n"/>
      <c r="B127" s="123">
        <f t="array" ref="B127">$B128-1</f>
        <v/>
      </c>
      <c r="C127" s="55">
        <f t="array" ref="C127">H127+I127</f>
        <v/>
      </c>
      <c r="D127" s="75" t="n"/>
      <c r="E127" s="75" t="n"/>
      <c r="F127" s="56">
        <f t="array" ref="F127">J127-D127</f>
        <v/>
      </c>
      <c r="G127" s="56">
        <f t="array" ref="G127">K127-E127</f>
        <v/>
      </c>
      <c r="H127" s="55">
        <f t="array" ref="H127">E127+D127</f>
        <v/>
      </c>
      <c r="I127" s="55">
        <f t="array" ref="I127">G127+F127</f>
        <v/>
      </c>
      <c r="J127" s="75" t="n"/>
      <c r="K127" s="75" t="n"/>
      <c r="L127" s="90" t="n">
        <v>0.0557177306</v>
      </c>
    </row>
    <row r="128" ht="20.1" customHeight="1" s="206">
      <c r="A128" s="1" t="n"/>
      <c r="B128" s="123">
        <f t="array" ref="B128">$B129-1</f>
        <v/>
      </c>
      <c r="C128" s="55">
        <f t="array" ref="C128">H128+I128</f>
        <v/>
      </c>
      <c r="D128" s="75" t="n"/>
      <c r="E128" s="75" t="n"/>
      <c r="F128" s="56">
        <f t="array" ref="F128">J128-D128</f>
        <v/>
      </c>
      <c r="G128" s="56">
        <f t="array" ref="G128">K128-E128</f>
        <v/>
      </c>
      <c r="H128" s="55">
        <f t="array" ref="H128">E128+D128</f>
        <v/>
      </c>
      <c r="I128" s="55">
        <f t="array" ref="I128">G128+F128</f>
        <v/>
      </c>
      <c r="J128" s="75" t="n"/>
      <c r="K128" s="75" t="n"/>
      <c r="L128" s="90" t="n">
        <v>0.0568665096</v>
      </c>
    </row>
    <row r="129" ht="20.1" customHeight="1" s="206">
      <c r="A129" s="1" t="n"/>
      <c r="B129" s="123">
        <f t="array" ref="B129">$B130-1</f>
        <v/>
      </c>
      <c r="C129" s="55">
        <f t="array" ref="C129">H129+I129</f>
        <v/>
      </c>
      <c r="D129" s="75" t="n"/>
      <c r="E129" s="75" t="n"/>
      <c r="F129" s="56">
        <f t="array" ref="F129">J129-D129</f>
        <v/>
      </c>
      <c r="G129" s="56">
        <f t="array" ref="G129">K129-E129</f>
        <v/>
      </c>
      <c r="H129" s="55">
        <f t="array" ref="H129">E129+D129</f>
        <v/>
      </c>
      <c r="I129" s="55">
        <f t="array" ref="I129">G129+F129</f>
        <v/>
      </c>
      <c r="J129" s="75" t="n"/>
      <c r="K129" s="75" t="n"/>
      <c r="L129" s="90" t="n">
        <v>0.0568665096</v>
      </c>
    </row>
    <row r="130" ht="20.1" customHeight="1" s="206">
      <c r="A130" s="1" t="n"/>
      <c r="B130" s="123">
        <f t="array" ref="B130">$B131-1</f>
        <v/>
      </c>
      <c r="C130" s="55">
        <f t="array" ref="C130">H130+I130</f>
        <v/>
      </c>
      <c r="D130" s="75" t="n"/>
      <c r="E130" s="75" t="n"/>
      <c r="F130" s="56">
        <f t="array" ref="F130">J130-D130</f>
        <v/>
      </c>
      <c r="G130" s="56">
        <f t="array" ref="G130">K130-E130</f>
        <v/>
      </c>
      <c r="H130" s="55">
        <f t="array" ref="H130">E130+D130</f>
        <v/>
      </c>
      <c r="I130" s="55">
        <f t="array" ref="I130">G130+F130</f>
        <v/>
      </c>
      <c r="J130" s="75" t="n"/>
      <c r="K130" s="75" t="n"/>
      <c r="L130" s="90" t="n">
        <v>0.0557177306</v>
      </c>
    </row>
    <row r="131" ht="20.1" customHeight="1" s="206">
      <c r="A131" s="1" t="n"/>
      <c r="B131" s="123">
        <f t="array" ref="B131">$B132-1</f>
        <v/>
      </c>
      <c r="C131" s="55">
        <f t="array" ref="C131">H131+I131</f>
        <v/>
      </c>
      <c r="D131" s="75" t="n"/>
      <c r="E131" s="75" t="n"/>
      <c r="F131" s="56">
        <f t="array" ref="F131">J131-D131</f>
        <v/>
      </c>
      <c r="G131" s="56">
        <f t="array" ref="G131">K131-E131</f>
        <v/>
      </c>
      <c r="H131" s="55">
        <f t="array" ref="H131">E131+D131</f>
        <v/>
      </c>
      <c r="I131" s="55">
        <f t="array" ref="I131">G131+F131</f>
        <v/>
      </c>
      <c r="J131" s="75" t="n"/>
      <c r="K131" s="75" t="n"/>
      <c r="L131" s="90" t="n">
        <v>0.0534893246</v>
      </c>
    </row>
    <row r="132" ht="20.1" customHeight="1" s="206">
      <c r="A132" s="1" t="n"/>
      <c r="B132" s="123">
        <f t="array" ref="B132">$B133-1</f>
        <v/>
      </c>
      <c r="C132" s="55">
        <f t="array" ref="C132">H132+I132</f>
        <v/>
      </c>
      <c r="D132" s="75" t="n"/>
      <c r="E132" s="75" t="n"/>
      <c r="F132" s="56">
        <f t="array" ref="F132">J132-D132</f>
        <v/>
      </c>
      <c r="G132" s="56">
        <f t="array" ref="G132">K132-E132</f>
        <v/>
      </c>
      <c r="H132" s="55">
        <f t="array" ref="H132">E132+D132</f>
        <v/>
      </c>
      <c r="I132" s="55">
        <f t="array" ref="I132">G132+F132</f>
        <v/>
      </c>
      <c r="J132" s="75" t="n"/>
      <c r="K132" s="75" t="n"/>
      <c r="L132" s="90" t="n">
        <v>0.0503127037</v>
      </c>
    </row>
    <row r="133" ht="20.1" customHeight="1" s="206">
      <c r="A133" s="1" t="n"/>
      <c r="B133" s="123">
        <f t="array" ref="B133">$B134-1</f>
        <v/>
      </c>
      <c r="C133" s="55">
        <f t="array" ref="C133">H133+I133</f>
        <v/>
      </c>
      <c r="D133" s="75" t="n"/>
      <c r="E133" s="75" t="n"/>
      <c r="F133" s="56">
        <f t="array" ref="F133">J133-D133</f>
        <v/>
      </c>
      <c r="G133" s="56">
        <f t="array" ref="G133">K133-E133</f>
        <v/>
      </c>
      <c r="H133" s="55">
        <f t="array" ref="H133">E133+D133</f>
        <v/>
      </c>
      <c r="I133" s="55">
        <f t="array" ref="I133">G133+F133</f>
        <v/>
      </c>
      <c r="J133" s="75" t="n"/>
      <c r="K133" s="75" t="n"/>
      <c r="L133" s="90" t="n">
        <v>0.0463687134</v>
      </c>
    </row>
    <row r="134" ht="20.1" customHeight="1" s="206">
      <c r="A134" s="1" t="n"/>
      <c r="B134" s="123">
        <f t="array" ref="B134">$B135-1</f>
        <v/>
      </c>
      <c r="C134" s="55">
        <f t="array" ref="C134">H134+I134</f>
        <v/>
      </c>
      <c r="D134" s="75" t="n"/>
      <c r="E134" s="75" t="n"/>
      <c r="F134" s="56">
        <f t="array" ref="F134">J134-D134</f>
        <v/>
      </c>
      <c r="G134" s="56">
        <f t="array" ref="G134">K134-E134</f>
        <v/>
      </c>
      <c r="H134" s="55">
        <f t="array" ref="H134">E134+D134</f>
        <v/>
      </c>
      <c r="I134" s="55">
        <f t="array" ref="I134">G134+F134</f>
        <v/>
      </c>
      <c r="J134" s="75" t="n"/>
      <c r="K134" s="75" t="n"/>
      <c r="L134" s="90" t="n">
        <v>0.0418706094</v>
      </c>
    </row>
    <row r="135" ht="20.1" customHeight="1" s="206">
      <c r="A135" s="1" t="n"/>
      <c r="B135" s="123">
        <f t="array" ref="B135">$B136-1</f>
        <v/>
      </c>
      <c r="C135" s="55">
        <f t="array" ref="C135">H135+I135</f>
        <v/>
      </c>
      <c r="D135" s="75" t="n"/>
      <c r="E135" s="75" t="n"/>
      <c r="F135" s="56">
        <f t="array" ref="F135">J135-D135</f>
        <v/>
      </c>
      <c r="G135" s="56">
        <f t="array" ref="G135">K135-E135</f>
        <v/>
      </c>
      <c r="H135" s="172" t="n">
        <v>-6981</v>
      </c>
      <c r="I135" s="172" t="n">
        <v>4302</v>
      </c>
      <c r="J135" s="75" t="n"/>
      <c r="K135" s="75" t="n"/>
      <c r="L135" s="90" t="n">
        <v>0.0370450654</v>
      </c>
    </row>
    <row r="136" ht="20.1" customHeight="1" s="206">
      <c r="A136" s="1" t="n"/>
      <c r="B136" s="123">
        <f t="array" ref="B136">$B137-1</f>
        <v/>
      </c>
      <c r="C136" s="55">
        <f t="array" ref="C136">H136+I136</f>
        <v/>
      </c>
      <c r="D136" s="75" t="n"/>
      <c r="E136" s="75" t="n"/>
      <c r="F136" s="56">
        <f t="array" ref="F136">J136-D136</f>
        <v/>
      </c>
      <c r="G136" s="56">
        <f t="array" ref="G136">K136-E136</f>
        <v/>
      </c>
      <c r="H136" s="172" t="n">
        <v>-6174</v>
      </c>
      <c r="I136" s="172" t="n">
        <v>7695</v>
      </c>
      <c r="J136" s="75" t="n"/>
      <c r="K136" s="75" t="n"/>
      <c r="L136" s="90" t="n">
        <v>0.0321135485</v>
      </c>
    </row>
    <row r="137" ht="20.1" customHeight="1" s="206">
      <c r="A137" s="1" t="n"/>
      <c r="B137" s="123">
        <f t="array" ref="B137">$B138-1</f>
        <v/>
      </c>
      <c r="C137" s="55">
        <f t="array" ref="C137">H137+I137</f>
        <v/>
      </c>
      <c r="D137" s="75" t="n"/>
      <c r="E137" s="75" t="n"/>
      <c r="F137" s="56">
        <f t="array" ref="F137">J137-D137</f>
        <v/>
      </c>
      <c r="G137" s="56">
        <f t="array" ref="G137">K137-E137</f>
        <v/>
      </c>
      <c r="H137" s="172" t="n">
        <v>-5209</v>
      </c>
      <c r="I137" s="172" t="n">
        <v>9953</v>
      </c>
      <c r="J137" s="75" t="n"/>
      <c r="K137" s="75" t="n"/>
      <c r="L137" s="90" t="n">
        <v>0.0272761503</v>
      </c>
    </row>
    <row r="138" ht="20.1" customHeight="1" s="206">
      <c r="A138" s="1" t="n"/>
      <c r="B138" s="123">
        <f t="array" ref="B138">$B139-1</f>
        <v/>
      </c>
      <c r="C138" s="55">
        <f t="array" ref="C138">H138+I138</f>
        <v/>
      </c>
      <c r="D138" s="75" t="n"/>
      <c r="E138" s="75" t="n"/>
      <c r="F138" s="56">
        <f t="array" ref="F138">J138-D138</f>
        <v/>
      </c>
      <c r="G138" s="56">
        <f t="array" ref="G138">K138-E138</f>
        <v/>
      </c>
      <c r="H138" s="172" t="n">
        <v>-5937</v>
      </c>
      <c r="I138" s="172" t="n">
        <v>9183</v>
      </c>
      <c r="J138" s="75" t="n"/>
      <c r="K138" s="75" t="n"/>
      <c r="L138" s="90" t="n">
        <v>0.0226994169</v>
      </c>
    </row>
    <row r="139" ht="20.1" customHeight="1" s="206">
      <c r="A139" s="1" t="n"/>
      <c r="B139" s="123">
        <f t="array" ref="B139">$B140-1</f>
        <v/>
      </c>
      <c r="C139" s="55">
        <f t="array" ref="C139">H139+I139</f>
        <v/>
      </c>
      <c r="D139" s="75" t="n"/>
      <c r="E139" s="75" t="n"/>
      <c r="F139" s="56">
        <f t="array" ref="F139">J139-D139</f>
        <v/>
      </c>
      <c r="G139" s="56">
        <f t="array" ref="G139">K139-E139</f>
        <v/>
      </c>
      <c r="H139" s="172" t="n">
        <v>-6063</v>
      </c>
      <c r="I139" s="172" t="n">
        <v>16581</v>
      </c>
      <c r="J139" s="75" t="n"/>
      <c r="K139" s="75" t="n"/>
      <c r="L139" s="90" t="n">
        <v>0.0185090093</v>
      </c>
    </row>
    <row r="140" ht="20.1" customHeight="1" s="206">
      <c r="A140" s="1" t="n"/>
      <c r="B140" s="123">
        <f t="array" ref="B140">$B141-1</f>
        <v/>
      </c>
      <c r="C140" s="55">
        <f t="array" ref="C140">H140+I140</f>
        <v/>
      </c>
      <c r="D140" s="75" t="n"/>
      <c r="E140" s="75" t="n"/>
      <c r="F140" s="56">
        <f t="array" ref="F140">J140-D140</f>
        <v/>
      </c>
      <c r="G140" s="56">
        <f t="array" ref="G140">K140-E140</f>
        <v/>
      </c>
      <c r="H140" s="172" t="n">
        <v>-3173</v>
      </c>
      <c r="I140" s="172" t="n">
        <v>22222</v>
      </c>
      <c r="J140" s="75" t="n"/>
      <c r="K140" s="75" t="n"/>
      <c r="L140" s="90" t="n">
        <v>0.0147872867</v>
      </c>
    </row>
    <row r="141" ht="20.1" customHeight="1" s="206">
      <c r="A141" s="1" t="n"/>
      <c r="B141" s="123">
        <f t="array" ref="B141">$B142-1</f>
        <v/>
      </c>
      <c r="C141" s="55">
        <f t="array" ref="C141">H141+I141</f>
        <v/>
      </c>
      <c r="D141" s="75" t="n"/>
      <c r="E141" s="75" t="n"/>
      <c r="F141" s="56">
        <f t="array" ref="F141">J141-D141</f>
        <v/>
      </c>
      <c r="G141" s="56">
        <f t="array" ref="G141">K141-E141</f>
        <v/>
      </c>
      <c r="H141" s="172" t="n">
        <v>3617</v>
      </c>
      <c r="I141" s="172" t="n">
        <v>18095</v>
      </c>
      <c r="J141" s="75" t="n"/>
      <c r="K141" s="75" t="n"/>
      <c r="L141" s="90" t="n">
        <v>0.0115752575</v>
      </c>
    </row>
    <row r="142" ht="20.1" customHeight="1" s="206">
      <c r="A142" s="1" t="n"/>
      <c r="B142" s="123">
        <f t="array" ref="B142">$B143-1</f>
        <v/>
      </c>
      <c r="C142" s="55">
        <f t="array" ref="C142">H142+I142</f>
        <v/>
      </c>
      <c r="D142" s="75" t="n"/>
      <c r="E142" s="75" t="n"/>
      <c r="F142" s="56">
        <f t="array" ref="F142">J142-D142</f>
        <v/>
      </c>
      <c r="G142" s="56">
        <f t="array" ref="G142">K142-E142</f>
        <v/>
      </c>
      <c r="H142" s="172" t="n">
        <v>-2676</v>
      </c>
      <c r="I142" s="172" t="n">
        <v>-4294</v>
      </c>
      <c r="J142" s="75" t="n"/>
      <c r="K142" s="75" t="n"/>
      <c r="L142" s="90" t="n">
        <v>0.008877888299999999</v>
      </c>
    </row>
    <row r="143" ht="20.1" customHeight="1" s="206">
      <c r="A143" s="1" t="n"/>
      <c r="B143" s="123">
        <f t="array" ref="B143">$B144-1</f>
        <v/>
      </c>
      <c r="C143" s="55">
        <f t="array" ref="C143">H143+I143</f>
        <v/>
      </c>
      <c r="D143" s="75" t="n"/>
      <c r="E143" s="75" t="n"/>
      <c r="F143" s="56">
        <f t="array" ref="F143">J143-D143</f>
        <v/>
      </c>
      <c r="G143" s="56">
        <f t="array" ref="G143">K143-E143</f>
        <v/>
      </c>
      <c r="H143" s="172" t="n">
        <v>-12241</v>
      </c>
      <c r="I143" s="172" t="n">
        <v>17753</v>
      </c>
      <c r="J143" s="75" t="n"/>
      <c r="K143" s="75" t="n"/>
      <c r="L143" s="90" t="n">
        <v>0.0066715315</v>
      </c>
    </row>
    <row r="144" ht="20.1" customHeight="1" s="206">
      <c r="A144" s="1" t="n"/>
      <c r="B144" s="123">
        <f t="array" ref="B144">$B145-1</f>
        <v/>
      </c>
      <c r="C144" s="55">
        <f t="array" ref="C144">H144+I144</f>
        <v/>
      </c>
      <c r="D144" s="75" t="n"/>
      <c r="E144" s="75" t="n"/>
      <c r="F144" s="56">
        <f t="array" ref="F144">J144-D144</f>
        <v/>
      </c>
      <c r="G144" s="56">
        <f t="array" ref="G144">K144-E144</f>
        <v/>
      </c>
      <c r="H144" s="172" t="n">
        <v>-20161</v>
      </c>
      <c r="I144" s="172" t="n">
        <v>30567</v>
      </c>
      <c r="J144" s="75" t="n"/>
      <c r="K144" s="75" t="n"/>
      <c r="L144" s="90" t="n">
        <v>0.004912225</v>
      </c>
    </row>
    <row r="145" ht="20.1" customHeight="1" s="206">
      <c r="A145" s="1" t="n"/>
      <c r="B145" s="123">
        <f t="array" ref="B145">$B146-1</f>
        <v/>
      </c>
      <c r="C145" s="55">
        <f t="array" ref="C145">H145+I145</f>
        <v/>
      </c>
      <c r="D145" s="75" t="n"/>
      <c r="E145" s="75" t="n"/>
      <c r="F145" s="56">
        <f t="array" ref="F145">J145-D145</f>
        <v/>
      </c>
      <c r="G145" s="56">
        <f t="array" ref="G145">K145-E145</f>
        <v/>
      </c>
      <c r="H145" s="172" t="n">
        <v>-15603</v>
      </c>
      <c r="I145" s="172" t="n">
        <v>47330</v>
      </c>
      <c r="J145" s="75" t="n"/>
      <c r="K145" s="75" t="n"/>
      <c r="L145" s="90" t="n">
        <v>0.0035437886</v>
      </c>
    </row>
    <row r="146" ht="20.1" customHeight="1" s="206">
      <c r="A146" s="1" t="n"/>
      <c r="B146" s="123">
        <f t="array" ref="B146">$B147-1</f>
        <v/>
      </c>
      <c r="C146" s="55">
        <f t="array" ref="C146">H146+I146</f>
        <v/>
      </c>
      <c r="D146" s="75" t="n"/>
      <c r="E146" s="75" t="n"/>
      <c r="F146" s="56">
        <f t="array" ref="F146">J146-D146</f>
        <v/>
      </c>
      <c r="G146" s="56">
        <f t="array" ref="G146">K146-E146</f>
        <v/>
      </c>
      <c r="H146" s="172" t="n">
        <v>-6637</v>
      </c>
      <c r="I146" s="172" t="n">
        <v>42463</v>
      </c>
      <c r="J146" s="75" t="n"/>
      <c r="K146" s="75" t="n"/>
      <c r="L146" s="90" t="n">
        <v>0.002504922</v>
      </c>
    </row>
    <row r="147" ht="20.1" customHeight="1" s="206">
      <c r="A147" s="1" t="n"/>
      <c r="B147" s="123">
        <f t="array" ref="B147">$B148-1</f>
        <v/>
      </c>
      <c r="C147" s="55">
        <f t="array" ref="C147">H147+I147</f>
        <v/>
      </c>
      <c r="D147" s="75" t="n"/>
      <c r="E147" s="75" t="n"/>
      <c r="F147" s="56">
        <f t="array" ref="F147">J147-D147</f>
        <v/>
      </c>
      <c r="G147" s="56">
        <f t="array" ref="G147">K147-E147</f>
        <v/>
      </c>
      <c r="H147" s="172" t="n">
        <v>-5145</v>
      </c>
      <c r="I147" s="172" t="n">
        <v>39163</v>
      </c>
      <c r="J147" s="75" t="n"/>
      <c r="K147" s="75" t="n"/>
      <c r="L147" s="90" t="n">
        <v>0.0017348322</v>
      </c>
    </row>
    <row r="148" ht="20.1" customHeight="1" s="206">
      <c r="A148" s="1" t="n"/>
      <c r="B148" s="123">
        <f t="array" ref="B148">$B149-1</f>
        <v/>
      </c>
      <c r="C148" s="55">
        <f t="array" ref="C148">H148+I148</f>
        <v/>
      </c>
      <c r="D148" s="75" t="n"/>
      <c r="E148" s="75" t="n"/>
      <c r="F148" s="56">
        <f t="array" ref="F148">J148-D148</f>
        <v/>
      </c>
      <c r="G148" s="56">
        <f t="array" ref="G148">K148-E148</f>
        <v/>
      </c>
      <c r="H148" s="172" t="n">
        <v>5833</v>
      </c>
      <c r="I148" s="172" t="n">
        <v>-22383</v>
      </c>
      <c r="J148" s="75" t="n"/>
      <c r="K148" s="75" t="n"/>
      <c r="L148" s="90" t="n">
        <v>0.0011772198</v>
      </c>
    </row>
    <row r="149" ht="20.1" customHeight="1" s="206">
      <c r="A149" s="1" t="n"/>
      <c r="B149" s="123">
        <f t="array" ref="B149">$B150-1</f>
        <v/>
      </c>
      <c r="C149" s="55">
        <f t="array" ref="C149">H149+I149</f>
        <v/>
      </c>
      <c r="D149" s="75" t="n"/>
      <c r="E149" s="75" t="n"/>
      <c r="F149" s="56">
        <f t="array" ref="F149">J149-D149</f>
        <v/>
      </c>
      <c r="G149" s="56">
        <f t="array" ref="G149">K149-E149</f>
        <v/>
      </c>
      <c r="H149" s="172" t="n">
        <v>5304</v>
      </c>
      <c r="I149" s="172" t="n">
        <v>-29847</v>
      </c>
      <c r="J149" s="75" t="n"/>
      <c r="K149" s="75" t="n"/>
      <c r="L149" s="90" t="n">
        <v>0.0007826985</v>
      </c>
    </row>
    <row r="150" ht="20.1" customHeight="1" s="206">
      <c r="A150" s="1" t="n"/>
      <c r="B150" s="123">
        <f t="array" ref="B150">$B151-1</f>
        <v/>
      </c>
      <c r="C150" s="55">
        <f t="array" ref="C150">H150+I150</f>
        <v/>
      </c>
      <c r="D150" s="75" t="n"/>
      <c r="E150" s="75" t="n"/>
      <c r="F150" s="56">
        <f t="array" ref="F150">J150-D150</f>
        <v/>
      </c>
      <c r="G150" s="56">
        <f t="array" ref="G150">K150-E150</f>
        <v/>
      </c>
      <c r="H150" s="172" t="n">
        <v>1149</v>
      </c>
      <c r="I150" s="172" t="n">
        <v>6617</v>
      </c>
      <c r="J150" s="75" t="n"/>
      <c r="K150" s="75" t="n"/>
      <c r="L150" s="90" t="n">
        <v>0.0005098804</v>
      </c>
    </row>
    <row r="151" ht="20.1" customHeight="1" s="206">
      <c r="A151" s="1" t="n"/>
      <c r="B151" s="123">
        <f t="array" ref="B151">$B152-1</f>
        <v/>
      </c>
      <c r="C151" s="55">
        <f t="array" ref="C151">H151+I151</f>
        <v/>
      </c>
      <c r="D151" s="75" t="n"/>
      <c r="E151" s="75" t="n"/>
      <c r="F151" s="56">
        <f t="array" ref="F151">J151-D151</f>
        <v/>
      </c>
      <c r="G151" s="56">
        <f t="array" ref="G151">K151-E151</f>
        <v/>
      </c>
      <c r="H151" s="172" t="n">
        <v>41</v>
      </c>
      <c r="I151" s="172" t="n">
        <v>12504</v>
      </c>
      <c r="J151" s="75" t="n"/>
      <c r="K151" s="75" t="n"/>
      <c r="L151" s="90" t="n">
        <v>0.000325446</v>
      </c>
    </row>
    <row r="152" ht="20.1" customHeight="1" s="206">
      <c r="A152" s="1" t="n"/>
      <c r="B152" s="123">
        <f t="array" ref="B152">$B153-1</f>
        <v/>
      </c>
      <c r="C152" s="55">
        <f t="array" ref="C152">H152+I152</f>
        <v/>
      </c>
      <c r="D152" s="75" t="n"/>
      <c r="E152" s="75" t="n"/>
      <c r="F152" s="56">
        <f t="array" ref="F152">J152-D152</f>
        <v/>
      </c>
      <c r="G152" s="56">
        <f t="array" ref="G152">K152-E152</f>
        <v/>
      </c>
      <c r="H152" s="172" t="n">
        <v>-207</v>
      </c>
      <c r="I152" s="172" t="n">
        <v>-8567</v>
      </c>
      <c r="J152" s="75" t="n"/>
      <c r="K152" s="75" t="n"/>
      <c r="L152" s="90" t="n">
        <v>0.0002035291</v>
      </c>
    </row>
    <row r="153" ht="20.1" customHeight="1" s="206">
      <c r="A153" s="1" t="n"/>
      <c r="B153" s="123">
        <f t="array" ref="B153">$B154-1</f>
        <v/>
      </c>
      <c r="C153" s="55">
        <f t="array" ref="C153">H153+I153</f>
        <v/>
      </c>
      <c r="D153" s="75" t="n"/>
      <c r="E153" s="75" t="n"/>
      <c r="F153" s="56">
        <f t="array" ref="F153">J153-D153</f>
        <v/>
      </c>
      <c r="G153" s="56">
        <f t="array" ref="G153">K153-E153</f>
        <v/>
      </c>
      <c r="H153" s="172" t="n">
        <v>-5713</v>
      </c>
      <c r="I153" s="172" t="n">
        <v>3567</v>
      </c>
      <c r="J153" s="75" t="n"/>
      <c r="K153" s="75" t="n"/>
      <c r="L153" s="90" t="n">
        <v>0.0001247127</v>
      </c>
    </row>
    <row r="154" ht="20.1" customHeight="1" s="206">
      <c r="A154" s="1" t="n"/>
      <c r="B154" s="123">
        <f t="array" ref="B154">$B155-1</f>
        <v/>
      </c>
      <c r="C154" s="55">
        <f t="array" ref="C154">H154+I154</f>
        <v/>
      </c>
      <c r="D154" s="75" t="n"/>
      <c r="E154" s="75" t="n"/>
      <c r="F154" s="56">
        <f t="array" ref="F154">J154-D154</f>
        <v/>
      </c>
      <c r="G154" s="56">
        <f t="array" ref="G154">K154-E154</f>
        <v/>
      </c>
      <c r="H154" s="172" t="n">
        <v>-4856</v>
      </c>
      <c r="I154" s="172" t="n">
        <v>14212</v>
      </c>
      <c r="J154" s="75" t="n"/>
      <c r="K154" s="75" t="n"/>
      <c r="L154" s="90" t="n"/>
    </row>
    <row r="155" ht="20.1" customHeight="1" s="206">
      <c r="A155" s="1" t="n"/>
      <c r="B155" s="123">
        <f t="array" ref="B155">$B156-1</f>
        <v/>
      </c>
      <c r="C155" s="55">
        <f t="array" ref="C155">H155+I155</f>
        <v/>
      </c>
      <c r="D155" s="75" t="n"/>
      <c r="E155" s="75" t="n"/>
      <c r="F155" s="56">
        <f t="array" ref="F155">J155-D155</f>
        <v/>
      </c>
      <c r="G155" s="56">
        <f t="array" ref="G155">K155-E155</f>
        <v/>
      </c>
      <c r="H155" s="172" t="n">
        <v>-3548</v>
      </c>
      <c r="I155" s="172" t="n">
        <v>33067</v>
      </c>
      <c r="J155" s="75" t="n"/>
      <c r="K155" s="75" t="n"/>
      <c r="L155" s="90" t="n"/>
    </row>
    <row r="156" ht="20.1" customHeight="1" s="206">
      <c r="A156" s="1" t="n"/>
      <c r="B156" s="123">
        <f t="array" ref="B156">$B157-1</f>
        <v/>
      </c>
      <c r="C156" s="55">
        <f t="array" ref="C156">H156+I156</f>
        <v/>
      </c>
      <c r="D156" s="75" t="n"/>
      <c r="E156" s="75" t="n"/>
      <c r="F156" s="56">
        <f t="array" ref="F156">J156-D156</f>
        <v/>
      </c>
      <c r="G156" s="56">
        <f t="array" ref="G156">K156-E156</f>
        <v/>
      </c>
      <c r="H156" s="172" t="n">
        <v>-3576</v>
      </c>
      <c r="I156" s="172" t="n">
        <v>-19834</v>
      </c>
      <c r="J156" s="75" t="n"/>
      <c r="K156" s="75" t="n"/>
      <c r="L156" s="90" t="n"/>
    </row>
    <row r="157" ht="20.1" customHeight="1" s="206">
      <c r="A157" s="1" t="n"/>
      <c r="B157" s="123">
        <f t="array" ref="B157">$B158-1</f>
        <v/>
      </c>
      <c r="C157" s="55">
        <f t="array" ref="C157">H157+I157</f>
        <v/>
      </c>
      <c r="D157" s="75" t="n"/>
      <c r="E157" s="75" t="n"/>
      <c r="F157" s="56">
        <f t="array" ref="F157">J157-D157</f>
        <v/>
      </c>
      <c r="G157" s="56">
        <f t="array" ref="G157">K157-E157</f>
        <v/>
      </c>
      <c r="H157" s="172" t="n">
        <v>-4175</v>
      </c>
      <c r="I157" s="172" t="n">
        <v>2548</v>
      </c>
      <c r="J157" s="75" t="n"/>
      <c r="K157" s="75" t="n"/>
      <c r="L157" s="90" t="n"/>
    </row>
    <row r="158" ht="20.1" customHeight="1" s="206">
      <c r="A158" s="1" t="n"/>
      <c r="B158" s="123">
        <f t="array" ref="B158">$B159-1</f>
        <v/>
      </c>
      <c r="C158" s="55">
        <f t="array" ref="C158">H158+I158</f>
        <v/>
      </c>
      <c r="D158" s="75" t="n"/>
      <c r="E158" s="75" t="n"/>
      <c r="F158" s="56">
        <f t="array" ref="F158">J158-D158</f>
        <v/>
      </c>
      <c r="G158" s="56">
        <f t="array" ref="G158">K158-E158</f>
        <v/>
      </c>
      <c r="H158" s="172" t="n">
        <v>-4616</v>
      </c>
      <c r="I158" s="172" t="n">
        <v>7446</v>
      </c>
      <c r="J158" s="75" t="n"/>
      <c r="K158" s="75" t="n"/>
      <c r="L158" s="90" t="n"/>
    </row>
    <row r="159" ht="20.1" customHeight="1" s="206">
      <c r="A159" s="1" t="n"/>
      <c r="B159" s="123">
        <f t="array" ref="B159">$B160-1</f>
        <v/>
      </c>
      <c r="C159" s="55">
        <f t="array" ref="C159">H159+I159</f>
        <v/>
      </c>
      <c r="D159" s="75" t="n"/>
      <c r="E159" s="75" t="n"/>
      <c r="F159" s="56">
        <f t="array" ref="F159">J159-D159</f>
        <v/>
      </c>
      <c r="G159" s="56">
        <f t="array" ref="G159">K159-E159</f>
        <v/>
      </c>
      <c r="H159" s="172" t="n">
        <v>-5983</v>
      </c>
      <c r="I159" s="172" t="n">
        <v>11624</v>
      </c>
      <c r="J159" s="75" t="n"/>
      <c r="K159" s="75" t="n"/>
      <c r="L159" s="90" t="n"/>
    </row>
    <row r="160" ht="20.1" customHeight="1" s="206">
      <c r="A160" s="1" t="n"/>
      <c r="B160" s="123">
        <f t="array" ref="B160">$B161-1</f>
        <v/>
      </c>
      <c r="C160" s="55">
        <f t="array" ref="C160">H160+I160</f>
        <v/>
      </c>
      <c r="D160" s="75" t="n"/>
      <c r="E160" s="75" t="n"/>
      <c r="F160" s="56">
        <f t="array" ref="F160">J160-D160</f>
        <v/>
      </c>
      <c r="G160" s="56">
        <f t="array" ref="G160">K160-E160</f>
        <v/>
      </c>
      <c r="H160" s="172" t="n">
        <v>-8511</v>
      </c>
      <c r="I160" s="172" t="n">
        <v>14734</v>
      </c>
      <c r="J160" s="75" t="n"/>
      <c r="K160" s="75" t="n"/>
      <c r="L160" s="90" t="n"/>
    </row>
    <row r="161" ht="20.1" customHeight="1" s="206">
      <c r="A161" s="1" t="n"/>
      <c r="B161" s="123">
        <f t="array" ref="B161">$B162-1</f>
        <v/>
      </c>
      <c r="C161" s="55">
        <f t="array" ref="C161">H161+I161</f>
        <v/>
      </c>
      <c r="D161" s="75" t="n"/>
      <c r="E161" s="75" t="n"/>
      <c r="F161" s="56">
        <f t="array" ref="F161">J161-D161</f>
        <v/>
      </c>
      <c r="G161" s="56">
        <f t="array" ref="G161">K161-E161</f>
        <v/>
      </c>
      <c r="H161" s="172" t="n">
        <v>-10471</v>
      </c>
      <c r="I161" s="172" t="n">
        <v>12342</v>
      </c>
      <c r="J161" s="75" t="n"/>
      <c r="K161" s="75" t="n"/>
      <c r="L161" s="90" t="n"/>
    </row>
    <row r="162" ht="20.1" customHeight="1" s="206">
      <c r="A162" s="1" t="n"/>
      <c r="B162" s="123">
        <f t="array" ref="B162">$B163-1</f>
        <v/>
      </c>
      <c r="C162" s="55">
        <f t="array" ref="C162">H162+I162</f>
        <v/>
      </c>
      <c r="D162" s="75" t="n"/>
      <c r="E162" s="75" t="n"/>
      <c r="F162" s="56">
        <f t="array" ref="F162">J162-D162</f>
        <v/>
      </c>
      <c r="G162" s="56">
        <f t="array" ref="G162">K162-E162</f>
        <v/>
      </c>
      <c r="H162" s="172" t="n">
        <v>-12496</v>
      </c>
      <c r="I162" s="172" t="n">
        <v>25703</v>
      </c>
      <c r="J162" s="75" t="n"/>
      <c r="K162" s="75" t="n"/>
      <c r="L162" s="90" t="n"/>
    </row>
    <row r="163" ht="20.1" customHeight="1" s="206">
      <c r="A163" s="1" t="n"/>
      <c r="B163" s="123">
        <f t="array" ref="B163">$B164-1</f>
        <v/>
      </c>
      <c r="C163" s="55">
        <f t="array" ref="C163">H163+I163</f>
        <v/>
      </c>
      <c r="D163" s="75" t="n"/>
      <c r="E163" s="75" t="n"/>
      <c r="F163" s="56">
        <f t="array" ref="F163">J163-D163</f>
        <v/>
      </c>
      <c r="G163" s="56">
        <f t="array" ref="G163">K163-E163</f>
        <v/>
      </c>
      <c r="H163" s="172" t="n">
        <v>-13599</v>
      </c>
      <c r="I163" s="172" t="n">
        <v>58750</v>
      </c>
      <c r="J163" s="75" t="n"/>
      <c r="K163" s="75" t="n"/>
      <c r="L163" s="90" t="n"/>
    </row>
    <row r="164" ht="20.1" customHeight="1" s="206">
      <c r="A164" s="1" t="n"/>
      <c r="B164" s="123">
        <f t="array" ref="B164">$B165-1</f>
        <v/>
      </c>
      <c r="C164" s="55">
        <f t="array" ref="C164">H164+I164</f>
        <v/>
      </c>
      <c r="D164" s="75" t="n"/>
      <c r="E164" s="75" t="n"/>
      <c r="F164" s="56">
        <f t="array" ref="F164">J164-D164</f>
        <v/>
      </c>
      <c r="G164" s="56">
        <f t="array" ref="G164">K164-E164</f>
        <v/>
      </c>
      <c r="H164" s="172" t="n">
        <v>-13133</v>
      </c>
      <c r="I164" s="172" t="n">
        <v>71695</v>
      </c>
      <c r="J164" s="75" t="n"/>
      <c r="K164" s="75" t="n"/>
      <c r="L164" s="90" t="n"/>
    </row>
    <row r="165" ht="20.1" customHeight="1" s="206">
      <c r="A165" s="1" t="n"/>
      <c r="B165" s="123">
        <f t="array" ref="B165">$B166-1</f>
        <v/>
      </c>
      <c r="C165" s="55">
        <f t="array" ref="C165">H165+I165</f>
        <v/>
      </c>
      <c r="D165" s="75" t="n"/>
      <c r="E165" s="75" t="n"/>
      <c r="F165" s="56">
        <f t="array" ref="F165">J165-D165</f>
        <v/>
      </c>
      <c r="G165" s="56">
        <f t="array" ref="G165">K165-E165</f>
        <v/>
      </c>
      <c r="H165" s="172" t="n">
        <v>-7890</v>
      </c>
      <c r="I165" s="172" t="n">
        <v>84706</v>
      </c>
      <c r="J165" s="75" t="n"/>
      <c r="K165" s="75" t="n"/>
      <c r="L165" s="90" t="n"/>
    </row>
    <row r="166" ht="20.1" customHeight="1" s="206">
      <c r="A166" s="1" t="n"/>
      <c r="B166" s="123">
        <f t="array" ref="B166">$B167-1</f>
        <v/>
      </c>
      <c r="C166" s="55">
        <f t="array" ref="C166">H166+I166</f>
        <v/>
      </c>
      <c r="D166" s="75" t="n"/>
      <c r="E166" s="75" t="n"/>
      <c r="F166" s="56">
        <f t="array" ref="F166">J166-D166</f>
        <v/>
      </c>
      <c r="G166" s="56">
        <f t="array" ref="G166">K166-E166</f>
        <v/>
      </c>
      <c r="H166" s="172" t="n">
        <v>-8591</v>
      </c>
      <c r="I166" s="172" t="n">
        <v>80071</v>
      </c>
      <c r="J166" s="75" t="n"/>
      <c r="K166" s="75" t="n"/>
      <c r="L166" s="90" t="n"/>
    </row>
    <row r="167" ht="20.1" customHeight="1" s="206">
      <c r="A167" s="1" t="n"/>
      <c r="B167" s="123">
        <f t="array" ref="B167">$B168-1</f>
        <v/>
      </c>
      <c r="C167" s="55">
        <f t="array" ref="C167">H167+I167</f>
        <v/>
      </c>
      <c r="D167" s="75" t="n"/>
      <c r="E167" s="75" t="n"/>
      <c r="F167" s="56">
        <f t="array" ref="F167">J167-D167</f>
        <v/>
      </c>
      <c r="G167" s="56">
        <f t="array" ref="G167">K167-E167</f>
        <v/>
      </c>
      <c r="H167" s="172" t="n">
        <v>-8175</v>
      </c>
      <c r="I167" s="172" t="n">
        <v>41692</v>
      </c>
      <c r="J167" s="75" t="n"/>
      <c r="K167" s="75" t="n"/>
      <c r="L167" s="90" t="n"/>
    </row>
    <row r="168" ht="20.1" customHeight="1" s="206">
      <c r="A168" s="1" t="n"/>
      <c r="B168" s="123">
        <f t="array" ref="B168">$B169-1</f>
        <v/>
      </c>
      <c r="C168" s="55">
        <f t="array" ref="C168">H168+I168</f>
        <v/>
      </c>
      <c r="D168" s="75" t="n"/>
      <c r="E168" s="75" t="n"/>
      <c r="F168" s="56">
        <f t="array" ref="F168">J168-D168</f>
        <v/>
      </c>
      <c r="G168" s="56">
        <f t="array" ref="G168">K168-E168</f>
        <v/>
      </c>
      <c r="H168" s="172" t="n">
        <v>-10197</v>
      </c>
      <c r="I168" s="172" t="n">
        <v>13209</v>
      </c>
      <c r="J168" s="75" t="n"/>
      <c r="K168" s="75" t="n"/>
      <c r="L168" s="90" t="n"/>
    </row>
    <row r="169" ht="20.1" customHeight="1" s="206">
      <c r="A169" s="1" t="n"/>
      <c r="B169" s="123">
        <f t="array" ref="B169">$B170-1</f>
        <v/>
      </c>
      <c r="C169" s="55">
        <f t="array" ref="C169">H169+I169</f>
        <v/>
      </c>
      <c r="D169" s="75" t="n"/>
      <c r="E169" s="75" t="n"/>
      <c r="F169" s="56">
        <f t="array" ref="F169">J169-D169</f>
        <v/>
      </c>
      <c r="G169" s="56">
        <f t="array" ref="G169">K169-E169</f>
        <v/>
      </c>
      <c r="H169" s="172" t="n">
        <v>-8503</v>
      </c>
      <c r="I169" s="172" t="n">
        <v>10583</v>
      </c>
      <c r="J169" s="75" t="n"/>
      <c r="K169" s="75" t="n"/>
      <c r="L169" s="90" t="n"/>
    </row>
    <row r="170" ht="20.1" customHeight="1" s="206">
      <c r="A170" s="1" t="n"/>
      <c r="B170" s="123">
        <f t="array" ref="B170">$B171-1</f>
        <v/>
      </c>
      <c r="C170" s="55">
        <f t="array" ref="C170">H170+I170</f>
        <v/>
      </c>
      <c r="D170" s="75" t="n">
        <v>5255</v>
      </c>
      <c r="E170" s="75" t="n">
        <v>7575</v>
      </c>
      <c r="F170" s="56">
        <f t="array" ref="F170">J170-D170</f>
        <v/>
      </c>
      <c r="G170" s="56">
        <f t="array" ref="G170">K170-E170</f>
        <v/>
      </c>
      <c r="H170" s="55">
        <f t="array" ref="H170">E170+D170</f>
        <v/>
      </c>
      <c r="I170" s="55">
        <f t="array" ref="I170">G170+F170</f>
        <v/>
      </c>
      <c r="J170" s="75" t="n">
        <v>32181</v>
      </c>
      <c r="K170" s="75" t="n">
        <v>37749</v>
      </c>
      <c r="L170" s="90" t="n"/>
    </row>
    <row r="171" ht="20.1" customHeight="1" s="206">
      <c r="A171" s="1" t="n"/>
      <c r="B171" s="123">
        <f t="array" ref="B171">$B172-1</f>
        <v/>
      </c>
      <c r="C171" s="55">
        <f t="array" ref="C171">H171+I171</f>
        <v/>
      </c>
      <c r="D171" s="75" t="n">
        <v>5417</v>
      </c>
      <c r="E171" s="75" t="n">
        <v>7810</v>
      </c>
      <c r="F171" s="56">
        <f t="array" ref="F171">J171-D171</f>
        <v/>
      </c>
      <c r="G171" s="56">
        <f t="array" ref="G171">K171-E171</f>
        <v/>
      </c>
      <c r="H171" s="55">
        <f t="array" ref="H171">E171+D171</f>
        <v/>
      </c>
      <c r="I171" s="55">
        <f t="array" ref="I171">G171+F171</f>
        <v/>
      </c>
      <c r="J171" s="75" t="n">
        <v>32246</v>
      </c>
      <c r="K171" s="75" t="n">
        <v>37876</v>
      </c>
      <c r="L171" s="90" t="n"/>
    </row>
    <row r="172" ht="20.1" customHeight="1" s="206">
      <c r="A172" s="1" t="n"/>
      <c r="B172" s="123">
        <f t="array" ref="B172">$B173-1</f>
        <v/>
      </c>
      <c r="C172" s="55">
        <f t="array" ref="C172">H172+I172</f>
        <v/>
      </c>
      <c r="D172" s="75" t="n">
        <v>5527</v>
      </c>
      <c r="E172" s="75" t="n">
        <v>7967</v>
      </c>
      <c r="F172" s="56">
        <f t="array" ref="F172">J172-D172</f>
        <v/>
      </c>
      <c r="G172" s="56">
        <f t="array" ref="G172">K172-E172</f>
        <v/>
      </c>
      <c r="H172" s="55">
        <f t="array" ref="H172">E172+D172</f>
        <v/>
      </c>
      <c r="I172" s="55">
        <f t="array" ref="I172">G172+F172</f>
        <v/>
      </c>
      <c r="J172" s="75" t="n">
        <v>33457</v>
      </c>
      <c r="K172" s="75" t="n">
        <v>39266</v>
      </c>
      <c r="L172" s="90" t="n"/>
    </row>
    <row r="173" ht="20.1" customHeight="1" s="206">
      <c r="A173" s="1" t="n"/>
      <c r="B173" s="123">
        <f t="array" ref="B173">$B174-1</f>
        <v/>
      </c>
      <c r="C173" s="55">
        <f t="array" ref="C173">H173+I173</f>
        <v/>
      </c>
      <c r="D173" s="75" t="n">
        <v>5870</v>
      </c>
      <c r="E173" s="75" t="n">
        <v>8461</v>
      </c>
      <c r="F173" s="56">
        <f t="array" ref="F173">J173-D173</f>
        <v/>
      </c>
      <c r="G173" s="56">
        <f t="array" ref="G173">K173-E173</f>
        <v/>
      </c>
      <c r="H173" s="55">
        <f t="array" ref="H173">E173+D173</f>
        <v/>
      </c>
      <c r="I173" s="55">
        <f t="array" ref="I173">G173+F173</f>
        <v/>
      </c>
      <c r="J173" s="75" t="n">
        <v>40001</v>
      </c>
      <c r="K173" s="75" t="n">
        <v>46709</v>
      </c>
      <c r="L173" s="90" t="n"/>
    </row>
    <row r="174" ht="20.1" customHeight="1" s="206">
      <c r="A174" s="1" t="n"/>
      <c r="B174" s="123">
        <f t="array" ref="B174">$B175-1</f>
        <v/>
      </c>
      <c r="C174" s="55">
        <f t="array" ref="C174">H174+I174</f>
        <v/>
      </c>
      <c r="D174" s="75" t="n">
        <v>5457</v>
      </c>
      <c r="E174" s="75" t="n">
        <v>7867</v>
      </c>
      <c r="F174" s="56">
        <f t="array" ref="F174">J174-D174</f>
        <v/>
      </c>
      <c r="G174" s="56">
        <f t="array" ref="G174">K174-E174</f>
        <v/>
      </c>
      <c r="H174" s="55">
        <f t="array" ref="H174">E174+D174</f>
        <v/>
      </c>
      <c r="I174" s="55">
        <f t="array" ref="I174">G174+F174</f>
        <v/>
      </c>
      <c r="J174" s="75" t="n">
        <v>36558</v>
      </c>
      <c r="K174" s="75" t="n">
        <v>42720</v>
      </c>
      <c r="L174" s="90" t="n"/>
    </row>
    <row r="175" ht="20.1" customHeight="1" s="206">
      <c r="A175" s="1" t="n"/>
      <c r="B175" s="123">
        <f t="array" ref="B175">$B176-1</f>
        <v/>
      </c>
      <c r="C175" s="55">
        <f t="array" ref="C175">H175+I175</f>
        <v/>
      </c>
      <c r="D175" s="75" t="n"/>
      <c r="E175" s="75" t="n"/>
      <c r="F175" s="56">
        <f t="array" ref="F175">J175-D175</f>
        <v/>
      </c>
      <c r="G175" s="56">
        <f t="array" ref="G175">K175-E175</f>
        <v/>
      </c>
      <c r="H175" s="55">
        <f t="array" ref="H175">E175+D175</f>
        <v/>
      </c>
      <c r="I175" s="55">
        <f t="array" ref="I175">G175+F175</f>
        <v/>
      </c>
      <c r="J175" s="75" t="n"/>
      <c r="K175" s="75" t="n"/>
      <c r="L175" s="90" t="n"/>
    </row>
    <row r="176" ht="20.1" customHeight="1" s="206">
      <c r="A176" s="1" t="n"/>
      <c r="B176" s="123">
        <f t="array" ref="B176">$B177-1</f>
        <v/>
      </c>
      <c r="C176" s="55">
        <f t="array" ref="C176">H176+I176</f>
        <v/>
      </c>
      <c r="D176" s="75" t="n">
        <v>9003</v>
      </c>
      <c r="E176" s="75" t="n">
        <v>12978</v>
      </c>
      <c r="F176" s="56">
        <f t="array" ref="F176">J176-D176</f>
        <v/>
      </c>
      <c r="G176" s="56">
        <f t="array" ref="G176">K176-E176</f>
        <v/>
      </c>
      <c r="H176" s="55">
        <f t="array" ref="H176">E176+D176</f>
        <v/>
      </c>
      <c r="I176" s="55">
        <f t="array" ref="I176">G176+F176</f>
        <v/>
      </c>
      <c r="J176" s="75" t="n">
        <v>49625</v>
      </c>
      <c r="K176" s="75" t="n">
        <v>58500</v>
      </c>
      <c r="L176" s="90" t="n"/>
    </row>
    <row r="177" ht="20.1" customHeight="1" s="206">
      <c r="A177" s="1" t="n"/>
      <c r="B177" s="123">
        <f t="array" ref="B177">$B178-1</f>
        <v/>
      </c>
      <c r="C177" s="55">
        <f t="array" ref="C177">H177+I177</f>
        <v/>
      </c>
      <c r="D177" s="75" t="n">
        <v>7589</v>
      </c>
      <c r="E177" s="75" t="n">
        <v>10939</v>
      </c>
      <c r="F177" s="56">
        <f t="array" ref="F177">J177-D177</f>
        <v/>
      </c>
      <c r="G177" s="56">
        <f t="array" ref="G177">K177-E177</f>
        <v/>
      </c>
      <c r="H177" s="55">
        <f t="array" ref="H177">E177+D177</f>
        <v/>
      </c>
      <c r="I177" s="55">
        <f t="array" ref="I177">G177+F177</f>
        <v/>
      </c>
      <c r="J177" s="75" t="n">
        <v>51605</v>
      </c>
      <c r="K177" s="75" t="n">
        <v>60264</v>
      </c>
      <c r="L177" s="90" t="n"/>
    </row>
    <row r="178" ht="20.1" customHeight="1" s="206">
      <c r="A178" s="1" t="n"/>
      <c r="B178" s="123">
        <f t="array" ref="B178">$B179-1</f>
        <v/>
      </c>
      <c r="C178" s="55">
        <f t="array" ref="C178">H178+I178</f>
        <v/>
      </c>
      <c r="D178" s="75" t="n">
        <v>7496</v>
      </c>
      <c r="E178" s="75" t="n">
        <v>10805</v>
      </c>
      <c r="F178" s="56">
        <f t="array" ref="F178">J178-D178</f>
        <v/>
      </c>
      <c r="G178" s="56">
        <f t="array" ref="G178">K178-E178</f>
        <v/>
      </c>
      <c r="H178" s="55">
        <f t="array" ref="H178">E178+D178</f>
        <v/>
      </c>
      <c r="I178" s="55">
        <f t="array" ref="I178">G178+F178</f>
        <v/>
      </c>
      <c r="J178" s="75" t="n">
        <v>56654</v>
      </c>
      <c r="K178" s="75" t="n">
        <v>65893</v>
      </c>
      <c r="L178" s="90" t="n"/>
    </row>
    <row r="179" ht="20.1" customHeight="1" s="206">
      <c r="A179" s="1" t="n"/>
      <c r="B179" s="123">
        <f t="array" ref="B179">$B180-1</f>
        <v/>
      </c>
      <c r="C179" s="55">
        <f t="array" ref="C179">H179+I179</f>
        <v/>
      </c>
      <c r="D179" s="75" t="n">
        <v>6746</v>
      </c>
      <c r="E179" s="75" t="n">
        <v>9724</v>
      </c>
      <c r="F179" s="56">
        <f t="array" ref="F179">J179-D179</f>
        <v/>
      </c>
      <c r="G179" s="56">
        <f t="array" ref="G179">K179-E179</f>
        <v/>
      </c>
      <c r="H179" s="55">
        <f t="array" ref="H179">E179+D179</f>
        <v/>
      </c>
      <c r="I179" s="55">
        <f t="array" ref="I179">G179+F179</f>
        <v/>
      </c>
      <c r="J179" s="75" t="n">
        <v>52957</v>
      </c>
      <c r="K179" s="75" t="n">
        <v>61508</v>
      </c>
      <c r="L179" s="90" t="n"/>
    </row>
    <row r="180" ht="20.1" customHeight="1" s="206">
      <c r="A180" s="1" t="n"/>
      <c r="B180" s="123">
        <f t="array" ref="B180">$B181-1</f>
        <v/>
      </c>
      <c r="C180" s="55">
        <f t="array" ref="C180">H180+I180</f>
        <v/>
      </c>
      <c r="D180" s="75" t="n">
        <v>6404</v>
      </c>
      <c r="E180" s="75" t="n">
        <v>9232</v>
      </c>
      <c r="F180" s="56">
        <f t="array" ref="F180">J180-D180</f>
        <v/>
      </c>
      <c r="G180" s="56">
        <f t="array" ref="G180">K180-E180</f>
        <v/>
      </c>
      <c r="H180" s="55">
        <f t="array" ref="H180">E180+D180</f>
        <v/>
      </c>
      <c r="I180" s="55">
        <f t="array" ref="I180">G180+F180</f>
        <v/>
      </c>
      <c r="J180" s="75" t="n">
        <v>45496</v>
      </c>
      <c r="K180" s="75" t="n">
        <v>53039</v>
      </c>
      <c r="L180" s="90" t="n"/>
    </row>
    <row r="181" ht="20.1" customHeight="1" s="206">
      <c r="A181" s="1" t="n"/>
      <c r="B181" s="123">
        <f t="array" ref="B181">$B182-1</f>
        <v/>
      </c>
      <c r="C181" s="55">
        <f t="array" ref="C181">H181+I181</f>
        <v/>
      </c>
      <c r="D181" s="75" t="n">
        <v>6113</v>
      </c>
      <c r="E181" s="75" t="n">
        <v>8811</v>
      </c>
      <c r="F181" s="56">
        <f t="array" ref="F181">J181-D181</f>
        <v/>
      </c>
      <c r="G181" s="56">
        <f t="array" ref="G181">K181-E181</f>
        <v/>
      </c>
      <c r="H181" s="55">
        <f t="array" ref="H181">E181+D181</f>
        <v/>
      </c>
      <c r="I181" s="55">
        <f t="array" ref="I181">G181+F181</f>
        <v/>
      </c>
      <c r="J181" s="75" t="n">
        <v>49283</v>
      </c>
      <c r="K181" s="75" t="n">
        <v>57187</v>
      </c>
      <c r="L181" s="90" t="n"/>
    </row>
    <row r="182" ht="20.1" customHeight="1" s="206">
      <c r="A182" s="1" t="n"/>
      <c r="B182" s="123">
        <f t="array" ref="B182">$B183-1</f>
        <v/>
      </c>
      <c r="C182" s="55">
        <f t="array" ref="C182">H182+I182</f>
        <v/>
      </c>
      <c r="D182" s="75" t="n">
        <v>2489</v>
      </c>
      <c r="E182" s="75" t="n">
        <v>4373</v>
      </c>
      <c r="F182" s="56">
        <f t="array" ref="F182">J182-D182</f>
        <v/>
      </c>
      <c r="G182" s="56">
        <f t="array" ref="G182">K182-E182</f>
        <v/>
      </c>
      <c r="H182" s="55">
        <f t="array" ref="H182">E182+D182</f>
        <v/>
      </c>
      <c r="I182" s="55">
        <f t="array" ref="I182">G182+F182</f>
        <v/>
      </c>
      <c r="J182" s="75" t="n">
        <v>35800</v>
      </c>
      <c r="K182" s="75" t="n">
        <v>37972</v>
      </c>
      <c r="L182" s="90" t="n"/>
    </row>
    <row r="183" ht="20.1" customHeight="1" s="206">
      <c r="A183" s="1" t="n"/>
      <c r="B183" s="123">
        <f t="array" ref="B183">$B184-1</f>
        <v/>
      </c>
      <c r="C183" s="55">
        <f t="array" ref="C183">H183+I183</f>
        <v/>
      </c>
      <c r="D183" s="75" t="n"/>
      <c r="E183" s="75" t="n"/>
      <c r="F183" s="56">
        <f t="array" ref="F183">J183-D183</f>
        <v/>
      </c>
      <c r="G183" s="56">
        <f t="array" ref="G183">K183-E183</f>
        <v/>
      </c>
      <c r="H183" s="55">
        <f t="array" ref="H183">E183+D183</f>
        <v/>
      </c>
      <c r="I183" s="55">
        <f t="array" ref="I183">G183+F183</f>
        <v/>
      </c>
      <c r="J183" s="75" t="n">
        <v>33019</v>
      </c>
      <c r="K183" s="75" t="n">
        <v>36276</v>
      </c>
      <c r="L183" s="90" t="n"/>
    </row>
    <row r="184" ht="20.1" customHeight="1" s="206">
      <c r="A184" s="1" t="n"/>
      <c r="B184" s="123">
        <f t="array" ref="B184">$B185-1</f>
        <v/>
      </c>
      <c r="C184" s="55">
        <f t="array" ref="C184">H184+I184</f>
        <v/>
      </c>
      <c r="D184" s="75" t="n"/>
      <c r="E184" s="75" t="n"/>
      <c r="F184" s="56">
        <f t="array" ref="F184">J184-D184</f>
        <v/>
      </c>
      <c r="G184" s="56">
        <f t="array" ref="G184">K184-E184</f>
        <v/>
      </c>
      <c r="H184" s="55">
        <f t="array" ref="H184">E184+D184</f>
        <v/>
      </c>
      <c r="I184" s="55">
        <f t="array" ref="I184">G184+F184</f>
        <v/>
      </c>
      <c r="J184" s="75" t="n">
        <v>33863</v>
      </c>
      <c r="K184" s="75" t="n">
        <v>37115</v>
      </c>
      <c r="L184" s="90" t="n"/>
    </row>
    <row r="185" ht="20.1" customHeight="1" s="206">
      <c r="A185" s="1" t="n"/>
      <c r="B185" s="123">
        <f t="array" ref="B185">$B186-1</f>
        <v/>
      </c>
      <c r="C185" s="55">
        <f t="array" ref="C185">H185+I185</f>
        <v/>
      </c>
      <c r="D185" s="75" t="n">
        <v>2391</v>
      </c>
      <c r="E185" s="75" t="n">
        <v>4035</v>
      </c>
      <c r="F185" s="56">
        <f t="array" ref="F185">J185-D185</f>
        <v/>
      </c>
      <c r="G185" s="56">
        <f t="array" ref="G185">K185-E185</f>
        <v/>
      </c>
      <c r="H185" s="55">
        <f t="array" ref="H185">E185+D185</f>
        <v/>
      </c>
      <c r="I185" s="55">
        <f t="array" ref="I185">G185+F185</f>
        <v/>
      </c>
      <c r="J185" s="75" t="n">
        <v>38007</v>
      </c>
      <c r="K185" s="75" t="n">
        <v>44223</v>
      </c>
      <c r="L185" s="90" t="n"/>
    </row>
    <row r="186" ht="20.45" customHeight="1" s="206">
      <c r="A186" s="24" t="n"/>
      <c r="B186" s="124">
        <f t="array" ref="B186">$B187-1</f>
        <v/>
      </c>
      <c r="C186" s="79">
        <f t="array" ref="C186">H186+I186</f>
        <v/>
      </c>
      <c r="D186" s="125" t="n">
        <v>2618</v>
      </c>
      <c r="E186" s="125" t="n">
        <v>4156</v>
      </c>
      <c r="F186" s="126">
        <f t="array" ref="F186">J186-D186</f>
        <v/>
      </c>
      <c r="G186" s="126">
        <f t="array" ref="G186">K186-E186</f>
        <v/>
      </c>
      <c r="H186" s="79">
        <f t="array" ref="H186">E186+D186</f>
        <v/>
      </c>
      <c r="I186" s="79">
        <f t="array" ref="I186">G186+F186</f>
        <v/>
      </c>
      <c r="J186" s="125" t="n">
        <v>42524</v>
      </c>
      <c r="K186" s="125" t="n">
        <v>49033</v>
      </c>
      <c r="L186" s="90" t="n"/>
    </row>
    <row r="187" ht="20.65" customHeight="1" s="206">
      <c r="A187" s="10" t="n"/>
      <c r="B187" s="127">
        <f t="array" ref="B187">$B188-1</f>
        <v/>
      </c>
      <c r="C187" s="128">
        <f t="array" ref="C187">H187+I187</f>
        <v/>
      </c>
      <c r="D187" s="112" t="n"/>
      <c r="E187" s="112" t="n"/>
      <c r="F187" s="129">
        <f t="array" ref="F187">J187-D187</f>
        <v/>
      </c>
      <c r="G187" s="118">
        <f t="array" ref="G187">K187-E187</f>
        <v/>
      </c>
      <c r="H187" s="83">
        <f t="array" ref="H187">E187+D187</f>
        <v/>
      </c>
      <c r="I187" s="128">
        <f t="array" ref="I187">G187+F187</f>
        <v/>
      </c>
      <c r="J187" s="112" t="n">
        <v>47432</v>
      </c>
      <c r="K187" s="112" t="n">
        <v>54434</v>
      </c>
      <c r="L187" s="130" t="n"/>
    </row>
    <row r="188" ht="20.65" customHeight="1" s="206">
      <c r="A188" s="10" t="n"/>
      <c r="B188" s="127">
        <f t="array" ref="B188">$B189-1</f>
        <v/>
      </c>
      <c r="C188" s="128">
        <f t="array" ref="C188">H188+I188</f>
        <v/>
      </c>
      <c r="D188" s="112" t="n">
        <v>2946</v>
      </c>
      <c r="E188" s="112" t="n">
        <v>4703</v>
      </c>
      <c r="F188" s="129">
        <f t="array" ref="F188">J188-D188</f>
        <v/>
      </c>
      <c r="G188" s="118">
        <f t="array" ref="G188">K188-E188</f>
        <v/>
      </c>
      <c r="H188" s="83">
        <f t="array" ref="H188">E188+D188</f>
        <v/>
      </c>
      <c r="I188" s="128">
        <f t="array" ref="I188">G188+F188</f>
        <v/>
      </c>
      <c r="J188" s="112" t="n">
        <v>52494</v>
      </c>
      <c r="K188" s="112" t="n">
        <v>63768</v>
      </c>
      <c r="L188" s="131" t="n"/>
    </row>
    <row r="189" ht="20.65" customHeight="1" s="206">
      <c r="A189" s="10" t="n"/>
      <c r="B189" s="127">
        <f t="array" ref="B189">$B190-1</f>
        <v/>
      </c>
      <c r="C189" s="128" t="n">
        <v>631452</v>
      </c>
      <c r="D189" s="112" t="n">
        <v>36583</v>
      </c>
      <c r="E189" s="112" t="n">
        <v>47041</v>
      </c>
      <c r="F189" s="129" t="n">
        <v>269711</v>
      </c>
      <c r="G189" s="118" t="n">
        <v>278117</v>
      </c>
      <c r="H189" s="83">
        <f t="array" ref="H189">E189+D189</f>
        <v/>
      </c>
      <c r="I189" s="128">
        <f t="array" ref="I189">G189+F189</f>
        <v/>
      </c>
      <c r="J189" s="112" t="n">
        <v>69345</v>
      </c>
      <c r="K189" s="112" t="n">
        <v>96978</v>
      </c>
      <c r="L189" s="131" t="n"/>
    </row>
    <row r="190" ht="20.65" customHeight="1" s="206">
      <c r="A190" s="10" t="n"/>
      <c r="B190" s="127">
        <f t="array" ref="B190">$B191-1</f>
        <v/>
      </c>
      <c r="C190" s="128" t="n">
        <v>588993</v>
      </c>
      <c r="D190" s="112" t="n">
        <v>30070</v>
      </c>
      <c r="E190" s="112" t="n">
        <v>44140</v>
      </c>
      <c r="F190" s="129" t="n">
        <v>245457</v>
      </c>
      <c r="G190" s="118" t="n">
        <v>269326</v>
      </c>
      <c r="H190" s="83">
        <f t="array" ref="H190">E190+D190</f>
        <v/>
      </c>
      <c r="I190" s="128">
        <f t="array" ref="I190">G190+F190</f>
        <v/>
      </c>
      <c r="J190" s="112" t="n">
        <v>59191</v>
      </c>
      <c r="K190" s="112" t="n">
        <v>70318</v>
      </c>
      <c r="L190" s="131" t="n"/>
    </row>
    <row r="191" ht="20.65" customHeight="1" s="206">
      <c r="A191" s="10" t="n"/>
      <c r="B191" s="127">
        <f t="array" ref="B191">$B192-1</f>
        <v/>
      </c>
      <c r="C191" s="128" t="n">
        <v>644209</v>
      </c>
      <c r="D191" s="112" t="n">
        <v>47936</v>
      </c>
      <c r="E191" s="112" t="n">
        <v>32917</v>
      </c>
      <c r="F191" s="129" t="n">
        <v>249612</v>
      </c>
      <c r="G191" s="118" t="n">
        <v>313744</v>
      </c>
      <c r="H191" s="83">
        <f t="array" ref="H191">E191+D191</f>
        <v/>
      </c>
      <c r="I191" s="128">
        <f t="array" ref="I191">G191+F191</f>
        <v/>
      </c>
      <c r="J191" s="112" t="n">
        <v>52863</v>
      </c>
      <c r="K191" s="112" t="n">
        <v>58938</v>
      </c>
      <c r="L191" s="131" t="n"/>
    </row>
    <row r="192" ht="20.65" customHeight="1" s="206">
      <c r="A192" s="10" t="n"/>
      <c r="B192" s="127">
        <f t="array" ref="B192">$B193-1</f>
        <v/>
      </c>
      <c r="C192" s="128" t="n">
        <v>603953</v>
      </c>
      <c r="D192" s="112" t="n">
        <v>41614</v>
      </c>
      <c r="E192" s="112" t="n">
        <v>35328</v>
      </c>
      <c r="F192" s="129" t="n">
        <v>262592</v>
      </c>
      <c r="G192" s="118" t="n">
        <v>264419</v>
      </c>
      <c r="H192" s="83">
        <f t="array" ref="H192">E192+D192</f>
        <v/>
      </c>
      <c r="I192" s="128">
        <f t="array" ref="I192">G192+F192</f>
        <v/>
      </c>
      <c r="J192" s="112" t="n">
        <v>49456</v>
      </c>
      <c r="K192" s="112" t="n">
        <v>56177</v>
      </c>
      <c r="L192" s="131" t="n"/>
    </row>
    <row r="193" ht="20.65" customHeight="1" s="206">
      <c r="A193" s="10" t="n"/>
      <c r="B193" s="127">
        <f t="array" ref="B193">$B194-1</f>
        <v/>
      </c>
      <c r="C193" s="128" t="n">
        <v>680906</v>
      </c>
      <c r="D193" s="112" t="n">
        <v>39289</v>
      </c>
      <c r="E193" s="112" t="n">
        <v>38225</v>
      </c>
      <c r="F193" s="129" t="n">
        <v>305579</v>
      </c>
      <c r="G193" s="118" t="n">
        <v>297813</v>
      </c>
      <c r="H193" s="83">
        <f t="array" ref="H193">E193+D193</f>
        <v/>
      </c>
      <c r="I193" s="128">
        <f t="array" ref="I193">G193+F193</f>
        <v/>
      </c>
      <c r="J193" s="112" t="n">
        <v>50613</v>
      </c>
      <c r="K193" s="112" t="n">
        <v>58554</v>
      </c>
      <c r="L193" s="131" t="n"/>
    </row>
    <row r="194" ht="20.65" customHeight="1" s="206">
      <c r="A194" s="10" t="n"/>
      <c r="B194" s="127">
        <f t="array" ref="B194">$B195-1</f>
        <v/>
      </c>
      <c r="C194" s="128" t="n">
        <v>680906</v>
      </c>
      <c r="D194" s="112" t="n">
        <v>39289</v>
      </c>
      <c r="E194" s="112" t="n">
        <v>38225</v>
      </c>
      <c r="F194" s="129" t="n">
        <v>305579</v>
      </c>
      <c r="G194" s="118" t="n">
        <v>297813</v>
      </c>
      <c r="H194" s="83">
        <f t="array" ref="H194">E194+D194</f>
        <v/>
      </c>
      <c r="I194" s="128">
        <f t="array" ref="I194">G194+F194</f>
        <v/>
      </c>
      <c r="J194" s="112" t="n">
        <v>47156</v>
      </c>
      <c r="K194" s="112" t="n">
        <v>56409</v>
      </c>
      <c r="L194" s="131" t="n"/>
    </row>
    <row r="195" ht="20.65" customHeight="1" s="206">
      <c r="A195" s="10" t="n"/>
      <c r="B195" s="127">
        <f t="array" ref="B195">$B196-1</f>
        <v/>
      </c>
      <c r="C195" s="128" t="n">
        <v>680906</v>
      </c>
      <c r="D195" s="112" t="n">
        <v>39289</v>
      </c>
      <c r="E195" s="112" t="n">
        <v>38225</v>
      </c>
      <c r="F195" s="129" t="n">
        <v>305579</v>
      </c>
      <c r="G195" s="118" t="n">
        <v>297813</v>
      </c>
      <c r="H195" s="83">
        <f t="array" ref="H195">E195+D195</f>
        <v/>
      </c>
      <c r="I195" s="128">
        <f t="array" ref="I195">G195+F195</f>
        <v/>
      </c>
      <c r="J195" s="112" t="n">
        <v>50392</v>
      </c>
      <c r="K195" s="112" t="n">
        <v>68119</v>
      </c>
      <c r="L195" s="131" t="n"/>
    </row>
    <row r="196" ht="20.65" customHeight="1" s="206">
      <c r="A196" s="10" t="n"/>
      <c r="B196" s="127">
        <f t="array" ref="B196">$B197-1</f>
        <v/>
      </c>
      <c r="C196" s="128" t="n">
        <v>680906</v>
      </c>
      <c r="D196" s="112" t="n">
        <v>39289</v>
      </c>
      <c r="E196" s="112" t="n">
        <v>38225</v>
      </c>
      <c r="F196" s="129" t="n">
        <v>305579</v>
      </c>
      <c r="G196" s="118" t="n">
        <v>297813</v>
      </c>
      <c r="H196" s="83">
        <f t="array" ref="H196">E196+D196</f>
        <v/>
      </c>
      <c r="I196" s="128">
        <f t="array" ref="I196">G196+F196</f>
        <v/>
      </c>
      <c r="J196" s="112" t="n">
        <v>102165</v>
      </c>
      <c r="K196" s="112" t="n">
        <v>99457</v>
      </c>
      <c r="L196" s="131" t="n"/>
    </row>
    <row r="197" ht="20.65" customHeight="1" s="206">
      <c r="A197" s="10" t="n"/>
      <c r="B197" s="127">
        <f t="array" ref="B197">$B198-1</f>
        <v/>
      </c>
      <c r="C197" s="128" t="n">
        <v>680906</v>
      </c>
      <c r="D197" s="112" t="n">
        <v>39289</v>
      </c>
      <c r="E197" s="112" t="n">
        <v>38225</v>
      </c>
      <c r="F197" s="129" t="n">
        <v>305579</v>
      </c>
      <c r="G197" s="118" t="n">
        <v>297813</v>
      </c>
      <c r="H197" s="83">
        <f t="array" ref="H197">E197+D197</f>
        <v/>
      </c>
      <c r="I197" s="128">
        <f t="array" ref="I197">G197+F197</f>
        <v/>
      </c>
      <c r="J197" s="112" t="n">
        <v>68403</v>
      </c>
      <c r="K197" s="112" t="n">
        <v>79188</v>
      </c>
      <c r="L197" s="131" t="n"/>
    </row>
    <row r="198" ht="20.45" customHeight="1" s="206">
      <c r="A198" s="10" t="n"/>
      <c r="B198" s="127">
        <f t="array" ref="B198">$C$7</f>
        <v/>
      </c>
      <c r="C198" s="128" t="n">
        <v>680906</v>
      </c>
      <c r="D198" s="132" t="n">
        <v>39289</v>
      </c>
      <c r="E198" s="133" t="n">
        <v>38225</v>
      </c>
      <c r="F198" s="118" t="n">
        <v>305579</v>
      </c>
      <c r="G198" s="118" t="n">
        <v>297813</v>
      </c>
      <c r="H198" s="83">
        <f t="array" ref="H198">E198+D198</f>
        <v/>
      </c>
      <c r="I198" s="128">
        <f t="array" ref="I198">G198+F198</f>
        <v/>
      </c>
      <c r="J198" s="132" t="n">
        <v>62236</v>
      </c>
      <c r="K198" s="132" t="n">
        <v>66569</v>
      </c>
      <c r="L198" s="131" t="n"/>
    </row>
    <row r="199" ht="20.1" customHeight="1" s="206">
      <c r="A199" s="10" t="n"/>
      <c r="B199" s="11" t="inlineStr">
        <is>
          <t>10 year Ø of immigration</t>
        </is>
      </c>
      <c r="C199" s="83">
        <f t="array" ref="C199">AVERAGE(C189:C198)</f>
        <v/>
      </c>
      <c r="D199" s="83">
        <f t="array" ref="D199">AVERAGE(D189:D198)</f>
        <v/>
      </c>
      <c r="E199" s="83">
        <f t="array" ref="E199">AVERAGE(E189:E198)</f>
        <v/>
      </c>
      <c r="F199" s="83">
        <f t="array" ref="F199">AVERAGE(F189:F198)</f>
        <v/>
      </c>
      <c r="G199" s="83">
        <f t="array" ref="G199">AVERAGE(G189:G198)</f>
        <v/>
      </c>
      <c r="H199" s="83">
        <f t="array" ref="H199">AVERAGE(H189:H198)</f>
        <v/>
      </c>
      <c r="I199" s="83">
        <f t="array" ref="I199">AVERAGE(I189:I198)</f>
        <v/>
      </c>
      <c r="J199" s="83">
        <f t="array" ref="J199">AVERAGE(J189:J198)</f>
        <v/>
      </c>
      <c r="K199" s="83">
        <f t="array" ref="K199">AVERAGE(K189:K198)</f>
        <v/>
      </c>
      <c r="L199" s="13" t="n"/>
    </row>
    <row r="200" ht="20.1" customHeight="1" s="206">
      <c r="A200" s="15" t="n"/>
      <c r="B200" s="16" t="n"/>
      <c r="C200" s="17" t="n"/>
      <c r="D200" s="17" t="n"/>
      <c r="E200" s="17" t="n"/>
      <c r="F200" s="17" t="n"/>
      <c r="G200" s="17" t="n"/>
      <c r="H200" s="17" t="n"/>
      <c r="I200" s="17" t="n"/>
      <c r="J200" s="17" t="n"/>
      <c r="K200" s="17" t="n"/>
      <c r="L200" s="13" t="n"/>
    </row>
    <row r="201" ht="20.1" customHeight="1" s="206">
      <c r="A201" s="24" t="n"/>
      <c r="B201" s="23" t="inlineStr">
        <is>
          <t>Source of the data (verbal)</t>
        </is>
      </c>
      <c r="C201" s="184">
        <f t="array" ref="C201">IF(C202="","?",C202)&amp;IF(C203="","","; downloaded "&amp;C203)&amp;IF(C204="","","; "&amp;C204)</f>
        <v/>
      </c>
      <c r="D201" s="177" t="n"/>
      <c r="E201" s="177" t="n"/>
      <c r="F201" s="177" t="n"/>
      <c r="G201" s="177" t="n"/>
      <c r="H201" s="177" t="n"/>
      <c r="I201" s="177" t="n"/>
      <c r="J201" s="177" t="n"/>
      <c r="K201" s="177" t="n"/>
      <c r="L201" s="13" t="n"/>
    </row>
    <row r="202" ht="20.1" customHeight="1" s="206">
      <c r="A202" s="15" t="n"/>
      <c r="B202" s="23" t="inlineStr">
        <is>
          <t>URLs, where the data was found</t>
        </is>
      </c>
      <c r="C202" s="185" t="inlineStr">
        <is>
          <t>https://ec.europa.eu/eurostat/databrowser/view/migr_imm3ctb, https://ec.europa.eu/eurostat/databrowser/view/migr_emi4ctb, https://www.statistik.at/fileadmin/pages/432/Tabellensammlung_Aussenwanderungen_2024.ods</t>
        </is>
      </c>
      <c r="D202" s="177" t="n"/>
      <c r="E202" s="177" t="n"/>
      <c r="F202" s="177" t="n"/>
      <c r="G202" s="177" t="n"/>
      <c r="H202" s="177" t="n"/>
      <c r="I202" s="177" t="n"/>
      <c r="J202" s="177" t="n"/>
      <c r="K202" s="177" t="n"/>
      <c r="L202" s="13" t="n"/>
    </row>
    <row r="203" ht="20.1" customHeight="1" s="206">
      <c r="A203" s="24" t="n"/>
      <c r="B203" s="33" t="inlineStr">
        <is>
          <t>Date, when the data was downloaded</t>
        </is>
      </c>
      <c r="C203" s="185" t="inlineStr">
        <is>
          <t>2026-05-20</t>
        </is>
      </c>
      <c r="D203" s="177" t="n"/>
      <c r="E203" s="177" t="n"/>
      <c r="F203" s="177" t="n"/>
      <c r="G203" s="177" t="n"/>
      <c r="H203" s="177" t="n"/>
      <c r="I203" s="177" t="n"/>
      <c r="J203" s="177" t="n"/>
      <c r="K203" s="177" t="n"/>
      <c r="L203" s="13" t="n"/>
    </row>
    <row r="204" ht="20.1" customHeight="1" s="206">
      <c r="A204" s="10" t="n"/>
      <c r="B204" s="11" t="inlineStr">
        <is>
          <t>Manual remarks (not for AI!)</t>
        </is>
      </c>
      <c r="C204" s="201" t="n"/>
      <c r="D204" s="182" t="n"/>
      <c r="E204" s="182" t="n"/>
      <c r="F204" s="182" t="n"/>
      <c r="G204" s="182" t="n"/>
      <c r="H204" s="182" t="n"/>
      <c r="I204" s="182" t="n"/>
      <c r="J204" s="182" t="n"/>
      <c r="K204" s="182" t="n"/>
      <c r="L204" s="13" t="n"/>
    </row>
    <row r="205" ht="20.1" customHeight="1" s="206">
      <c r="A205" s="10" t="n"/>
      <c r="B205" s="11" t="inlineStr">
        <is>
          <t>Remarks of the AI (e.g. calculation)</t>
        </is>
      </c>
      <c r="C205" s="204"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
V3-Ergänzung 2026-05-21: Wanderungssaldo 1961-1995 (35 Jahre) nachgepflegt aus STAT Tabelle T1 'Wanderungen mit dem Ausland 1961-2024 nach Staatsangehörigkeit' (Tabellensammlung_Aussenwanderungen_2024.ods). Datenherkunft 1961-1995: Bevölkerungsfortschreibung (errechnete Bilanz, kein direkter Brutto-Strom); ab 1996 echte Wanderungsstatistik mit Brutto. Konvention nach CLAUDE.md Lücken-Konvention: Saldo Native (Österreichische StAng) in Spalte H, Saldo Migrant (Nicht-österr. StAng) in Spalte I der Imm-Sektion. Originalformeln (H=D+E, I=F+G) damit überschrieben für 1961-1995. Spalten D/E/F/G/J/K dieser Zeilen leer (kein Brutto, kein Sex-Split). Emigration-Sektion 1961-1995 (Z. 222-256) komplett leer — Saldo ist schon der Saldo. Doppelter Methodenbruch: (a) 1995/1996: Saldo→Brutto+Saldo (Datenlage); (b) 2007/2008: Staatsang→Geburtsland (V2-Eurostat-Switch). Beide Brüche dokumentiert. Jahre 1961-1995 außerhalb 10-J-Ø-Fenster (Z. 189-198 = 2015-2024), daher keine Verfälschung von migration!H9/I9/C9.</t>
        </is>
      </c>
      <c r="L205" s="13" t="n"/>
    </row>
    <row r="206" ht="20.1" customHeight="1" s="206">
      <c r="A206" s="10" t="n"/>
      <c r="B206" s="11" t="inlineStr">
        <is>
          <t>Internal remarks</t>
        </is>
      </c>
      <c r="C206" s="203" t="n"/>
      <c r="D206" s="188" t="n"/>
      <c r="E206" s="188" t="n"/>
      <c r="F206" s="188" t="n"/>
      <c r="G206" s="188" t="n"/>
      <c r="H206" s="188" t="n"/>
      <c r="I206" s="188" t="n"/>
      <c r="J206" s="188" t="n"/>
      <c r="K206" s="188" t="n"/>
      <c r="L206" s="13" t="n"/>
    </row>
    <row r="207" ht="20.1" customHeight="1" s="206">
      <c r="A207" s="15" t="n"/>
      <c r="B207" s="16" t="n"/>
      <c r="C207" s="13" t="n"/>
      <c r="D207" s="13" t="n"/>
      <c r="E207" s="13" t="n"/>
      <c r="F207" s="13" t="n"/>
      <c r="G207" s="13" t="n"/>
      <c r="H207" s="13" t="n"/>
      <c r="I207" s="13" t="n"/>
      <c r="J207" s="13" t="n"/>
      <c r="K207" s="13" t="n"/>
      <c r="L207" s="13" t="n"/>
    </row>
    <row r="208" ht="32.1" customHeight="1" s="206">
      <c r="A208" s="20" t="n"/>
      <c r="B208" s="21" t="inlineStr">
        <is>
          <t>Emigration</t>
        </is>
      </c>
      <c r="C208" s="195" t="inlineStr">
        <is>
          <t>Fill in the numbers of people emigrating from this country here.  For the calculation only the last 10 years are relevant. But we need the older values for later so we can calculate the numbers more correctly.</t>
        </is>
      </c>
      <c r="D208" s="177" t="n"/>
      <c r="E208" s="177" t="n"/>
      <c r="F208" s="177" t="n"/>
      <c r="G208" s="177" t="n"/>
      <c r="H208" s="177" t="n"/>
      <c r="I208" s="177" t="n"/>
      <c r="J208" s="177" t="n"/>
      <c r="K208" s="177" t="n"/>
      <c r="L208" s="22" t="n"/>
    </row>
    <row r="209" ht="20.1" customHeight="1" s="206">
      <c r="A209" s="1" t="n"/>
      <c r="B209" s="18" t="n"/>
      <c r="C209" s="57" t="n"/>
      <c r="D209" s="57" t="n"/>
      <c r="E209" s="57" t="n"/>
      <c r="F209" s="57" t="n"/>
      <c r="G209" s="57" t="n"/>
      <c r="H209" s="57" t="n"/>
      <c r="I209" s="57" t="n"/>
      <c r="J209" s="57" t="n"/>
      <c r="K209" s="57" t="n"/>
      <c r="L209" s="57" t="n"/>
    </row>
    <row r="210" ht="20.1" customHeight="1" s="206">
      <c r="A210" s="1" t="n"/>
      <c r="B210" s="123">
        <f t="array" ref="B210">$B211-1</f>
        <v/>
      </c>
      <c r="C210" s="55">
        <f t="array" ref="C210">H210+I210</f>
        <v/>
      </c>
      <c r="D210" s="75" t="n"/>
      <c r="E210" s="75" t="n"/>
      <c r="F210" s="56">
        <f t="array" ref="F210">J210-D210</f>
        <v/>
      </c>
      <c r="G210" s="56">
        <f t="array" ref="G210">K210-E210</f>
        <v/>
      </c>
      <c r="H210" s="55">
        <f t="array" ref="H210">E210+D210</f>
        <v/>
      </c>
      <c r="I210" s="55">
        <f t="array" ref="I210">G210+F210</f>
        <v/>
      </c>
      <c r="J210" s="75" t="n"/>
      <c r="K210" s="75" t="n"/>
      <c r="L210" s="90" t="n">
        <v>0.0418706094</v>
      </c>
    </row>
    <row r="211" ht="20.1" customHeight="1" s="206">
      <c r="A211" s="1" t="n"/>
      <c r="B211" s="123">
        <f t="array" ref="B211">$B212-1</f>
        <v/>
      </c>
      <c r="C211" s="55">
        <f t="array" ref="C211">H211+I211</f>
        <v/>
      </c>
      <c r="D211" s="75" t="n"/>
      <c r="E211" s="75" t="n"/>
      <c r="F211" s="56">
        <f t="array" ref="F211">J211-D211</f>
        <v/>
      </c>
      <c r="G211" s="56">
        <f t="array" ref="G211">K211-E211</f>
        <v/>
      </c>
      <c r="H211" s="55">
        <f t="array" ref="H211">E211+D211</f>
        <v/>
      </c>
      <c r="I211" s="55">
        <f t="array" ref="I211">G211+F211</f>
        <v/>
      </c>
      <c r="J211" s="75" t="n"/>
      <c r="K211" s="75" t="n"/>
      <c r="L211" s="90" t="n">
        <v>0.0463687134</v>
      </c>
    </row>
    <row r="212" ht="20.1" customHeight="1" s="206">
      <c r="A212" s="1" t="n"/>
      <c r="B212" s="123">
        <f t="array" ref="B212">$B213-1</f>
        <v/>
      </c>
      <c r="C212" s="55">
        <f t="array" ref="C212">H212+I212</f>
        <v/>
      </c>
      <c r="D212" s="75" t="n"/>
      <c r="E212" s="75" t="n"/>
      <c r="F212" s="56">
        <f t="array" ref="F212">J212-D212</f>
        <v/>
      </c>
      <c r="G212" s="56">
        <f t="array" ref="G212">K212-E212</f>
        <v/>
      </c>
      <c r="H212" s="55">
        <f t="array" ref="H212">E212+D212</f>
        <v/>
      </c>
      <c r="I212" s="55">
        <f t="array" ref="I212">G212+F212</f>
        <v/>
      </c>
      <c r="J212" s="75" t="n"/>
      <c r="K212" s="75" t="n"/>
      <c r="L212" s="90" t="n">
        <v>0.0503127037</v>
      </c>
    </row>
    <row r="213" ht="20.1" customHeight="1" s="206">
      <c r="A213" s="1" t="n"/>
      <c r="B213" s="123">
        <f t="array" ref="B213">$B214-1</f>
        <v/>
      </c>
      <c r="C213" s="55">
        <f t="array" ref="C213">H213+I213</f>
        <v/>
      </c>
      <c r="D213" s="75" t="n"/>
      <c r="E213" s="75" t="n"/>
      <c r="F213" s="56">
        <f t="array" ref="F213">J213-D213</f>
        <v/>
      </c>
      <c r="G213" s="56">
        <f t="array" ref="G213">K213-E213</f>
        <v/>
      </c>
      <c r="H213" s="55">
        <f t="array" ref="H213">E213+D213</f>
        <v/>
      </c>
      <c r="I213" s="55">
        <f t="array" ref="I213">G213+F213</f>
        <v/>
      </c>
      <c r="J213" s="75" t="n"/>
      <c r="K213" s="75" t="n"/>
      <c r="L213" s="90" t="n">
        <v>0.0534893246</v>
      </c>
    </row>
    <row r="214" ht="20.1" customHeight="1" s="206">
      <c r="A214" s="1" t="n"/>
      <c r="B214" s="123">
        <f t="array" ref="B214">$B215-1</f>
        <v/>
      </c>
      <c r="C214" s="55">
        <f t="array" ref="C214">H214+I214</f>
        <v/>
      </c>
      <c r="D214" s="75" t="n"/>
      <c r="E214" s="75" t="n"/>
      <c r="F214" s="56">
        <f t="array" ref="F214">J214-D214</f>
        <v/>
      </c>
      <c r="G214" s="56">
        <f t="array" ref="G214">K214-E214</f>
        <v/>
      </c>
      <c r="H214" s="55">
        <f t="array" ref="H214">E214+D214</f>
        <v/>
      </c>
      <c r="I214" s="55">
        <f t="array" ref="I214">G214+F214</f>
        <v/>
      </c>
      <c r="J214" s="75" t="n"/>
      <c r="K214" s="75" t="n"/>
      <c r="L214" s="90" t="n">
        <v>0.0557177306</v>
      </c>
    </row>
    <row r="215" ht="20.1" customHeight="1" s="206">
      <c r="A215" s="1" t="n"/>
      <c r="B215" s="123">
        <f t="array" ref="B215">$B216-1</f>
        <v/>
      </c>
      <c r="C215" s="55">
        <f t="array" ref="C215">H215+I215</f>
        <v/>
      </c>
      <c r="D215" s="75" t="n"/>
      <c r="E215" s="75" t="n"/>
      <c r="F215" s="56">
        <f t="array" ref="F215">J215-D215</f>
        <v/>
      </c>
      <c r="G215" s="56">
        <f t="array" ref="G215">K215-E215</f>
        <v/>
      </c>
      <c r="H215" s="55">
        <f t="array" ref="H215">E215+D215</f>
        <v/>
      </c>
      <c r="I215" s="55">
        <f t="array" ref="I215">G215+F215</f>
        <v/>
      </c>
      <c r="J215" s="75" t="n"/>
      <c r="K215" s="75" t="n"/>
      <c r="L215" s="90" t="n">
        <v>0.0568665096</v>
      </c>
    </row>
    <row r="216" ht="20.1" customHeight="1" s="206">
      <c r="A216" s="1" t="n"/>
      <c r="B216" s="123">
        <f t="array" ref="B216">$B217-1</f>
        <v/>
      </c>
      <c r="C216" s="55">
        <f t="array" ref="C216">H216+I216</f>
        <v/>
      </c>
      <c r="D216" s="75" t="n"/>
      <c r="E216" s="75" t="n"/>
      <c r="F216" s="56">
        <f t="array" ref="F216">J216-D216</f>
        <v/>
      </c>
      <c r="G216" s="56">
        <f t="array" ref="G216">K216-E216</f>
        <v/>
      </c>
      <c r="H216" s="55">
        <f t="array" ref="H216">E216+D216</f>
        <v/>
      </c>
      <c r="I216" s="55">
        <f t="array" ref="I216">G216+F216</f>
        <v/>
      </c>
      <c r="J216" s="75" t="n"/>
      <c r="K216" s="75" t="n"/>
      <c r="L216" s="90" t="n">
        <v>0.0568665096</v>
      </c>
    </row>
    <row r="217" ht="20.1" customHeight="1" s="206">
      <c r="A217" s="1" t="n"/>
      <c r="B217" s="123">
        <f t="array" ref="B217">$B218-1</f>
        <v/>
      </c>
      <c r="C217" s="55">
        <f t="array" ref="C217">H217+I217</f>
        <v/>
      </c>
      <c r="D217" s="75" t="n"/>
      <c r="E217" s="75" t="n"/>
      <c r="F217" s="56">
        <f t="array" ref="F217">J217-D217</f>
        <v/>
      </c>
      <c r="G217" s="56">
        <f t="array" ref="G217">K217-E217</f>
        <v/>
      </c>
      <c r="H217" s="55">
        <f t="array" ref="H217">E217+D217</f>
        <v/>
      </c>
      <c r="I217" s="55">
        <f t="array" ref="I217">G217+F217</f>
        <v/>
      </c>
      <c r="J217" s="75" t="n"/>
      <c r="K217" s="75" t="n"/>
      <c r="L217" s="90" t="n">
        <v>0.0557177306</v>
      </c>
    </row>
    <row r="218" ht="20.1" customHeight="1" s="206">
      <c r="A218" s="1" t="n"/>
      <c r="B218" s="123">
        <f t="array" ref="B218">$B219-1</f>
        <v/>
      </c>
      <c r="C218" s="55">
        <f t="array" ref="C218">H218+I218</f>
        <v/>
      </c>
      <c r="D218" s="75" t="n"/>
      <c r="E218" s="75" t="n"/>
      <c r="F218" s="56">
        <f t="array" ref="F218">J218-D218</f>
        <v/>
      </c>
      <c r="G218" s="56">
        <f t="array" ref="G218">K218-E218</f>
        <v/>
      </c>
      <c r="H218" s="55">
        <f t="array" ref="H218">E218+D218</f>
        <v/>
      </c>
      <c r="I218" s="55">
        <f t="array" ref="I218">G218+F218</f>
        <v/>
      </c>
      <c r="J218" s="75" t="n"/>
      <c r="K218" s="75" t="n"/>
      <c r="L218" s="90" t="n">
        <v>0.0534893246</v>
      </c>
    </row>
    <row r="219" ht="20.1" customHeight="1" s="206">
      <c r="A219" s="1" t="n"/>
      <c r="B219" s="123">
        <f t="array" ref="B219">$B220-1</f>
        <v/>
      </c>
      <c r="C219" s="55">
        <f t="array" ref="C219">H219+I219</f>
        <v/>
      </c>
      <c r="D219" s="75" t="n"/>
      <c r="E219" s="75" t="n"/>
      <c r="F219" s="56">
        <f t="array" ref="F219">J219-D219</f>
        <v/>
      </c>
      <c r="G219" s="56">
        <f t="array" ref="G219">K219-E219</f>
        <v/>
      </c>
      <c r="H219" s="55">
        <f t="array" ref="H219">E219+D219</f>
        <v/>
      </c>
      <c r="I219" s="55">
        <f t="array" ref="I219">G219+F219</f>
        <v/>
      </c>
      <c r="J219" s="75" t="n"/>
      <c r="K219" s="75" t="n"/>
      <c r="L219" s="90" t="n">
        <v>0.0503127037</v>
      </c>
    </row>
    <row r="220" ht="20.1" customHeight="1" s="206">
      <c r="A220" s="1" t="n"/>
      <c r="B220" s="123">
        <f t="array" ref="B220">$B221-1</f>
        <v/>
      </c>
      <c r="C220" s="55">
        <f t="array" ref="C220">H220+I220</f>
        <v/>
      </c>
      <c r="D220" s="75" t="n"/>
      <c r="E220" s="75" t="n"/>
      <c r="F220" s="56">
        <f t="array" ref="F220">J220-D220</f>
        <v/>
      </c>
      <c r="G220" s="56">
        <f t="array" ref="G220">K220-E220</f>
        <v/>
      </c>
      <c r="H220" s="55">
        <f t="array" ref="H220">E220+D220</f>
        <v/>
      </c>
      <c r="I220" s="55">
        <f t="array" ref="I220">G220+F220</f>
        <v/>
      </c>
      <c r="J220" s="75" t="n"/>
      <c r="K220" s="75" t="n"/>
      <c r="L220" s="90" t="n">
        <v>0.0463687134</v>
      </c>
    </row>
    <row r="221" ht="20.1" customHeight="1" s="206">
      <c r="A221" s="1" t="n"/>
      <c r="B221" s="123">
        <f t="array" ref="B221">$B222-1</f>
        <v/>
      </c>
      <c r="C221" s="55">
        <f t="array" ref="C221">H221+I221</f>
        <v/>
      </c>
      <c r="D221" s="75" t="n"/>
      <c r="E221" s="75" t="n"/>
      <c r="F221" s="56">
        <f t="array" ref="F221">J221-D221</f>
        <v/>
      </c>
      <c r="G221" s="56">
        <f t="array" ref="G221">K221-E221</f>
        <v/>
      </c>
      <c r="H221" s="55">
        <f t="array" ref="H221">E221+D221</f>
        <v/>
      </c>
      <c r="I221" s="55">
        <f t="array" ref="I221">G221+F221</f>
        <v/>
      </c>
      <c r="J221" s="75" t="n"/>
      <c r="K221" s="75" t="n"/>
      <c r="L221" s="90" t="n">
        <v>0.0418706094</v>
      </c>
    </row>
    <row r="222" ht="20.1" customHeight="1" s="206">
      <c r="A222" s="1" t="n"/>
      <c r="B222" s="123">
        <f t="array" ref="B222">$B223-1</f>
        <v/>
      </c>
      <c r="C222" s="55">
        <f t="array" ref="C222">H222+I222</f>
        <v/>
      </c>
      <c r="D222" s="75" t="n"/>
      <c r="E222" s="75" t="n"/>
      <c r="F222" s="56">
        <f t="array" ref="F222">J222-D222</f>
        <v/>
      </c>
      <c r="G222" s="56">
        <f t="array" ref="G222">K222-E222</f>
        <v/>
      </c>
      <c r="H222" s="55">
        <f t="array" ref="H222">E222+D222</f>
        <v/>
      </c>
      <c r="I222" s="55">
        <f t="array" ref="I222">G222+F222</f>
        <v/>
      </c>
      <c r="J222" s="75" t="n"/>
      <c r="K222" s="75" t="n"/>
      <c r="L222" s="90" t="n">
        <v>0.0370450654</v>
      </c>
    </row>
    <row r="223" ht="20.1" customHeight="1" s="206">
      <c r="A223" s="1" t="n"/>
      <c r="B223" s="123">
        <f t="array" ref="B223">$B224-1</f>
        <v/>
      </c>
      <c r="C223" s="55">
        <f t="array" ref="C223">H223+I223</f>
        <v/>
      </c>
      <c r="D223" s="75" t="n"/>
      <c r="E223" s="75" t="n"/>
      <c r="F223" s="56">
        <f t="array" ref="F223">J223-D223</f>
        <v/>
      </c>
      <c r="G223" s="56">
        <f t="array" ref="G223">K223-E223</f>
        <v/>
      </c>
      <c r="H223" s="55">
        <f t="array" ref="H223">E223+D223</f>
        <v/>
      </c>
      <c r="I223" s="55">
        <f t="array" ref="I223">G223+F223</f>
        <v/>
      </c>
      <c r="J223" s="75" t="n"/>
      <c r="K223" s="75" t="n"/>
      <c r="L223" s="90" t="n">
        <v>0.0321135485</v>
      </c>
    </row>
    <row r="224" ht="20.1" customHeight="1" s="206">
      <c r="A224" s="1" t="n"/>
      <c r="B224" s="123">
        <f t="array" ref="B224">$B225-1</f>
        <v/>
      </c>
      <c r="C224" s="55">
        <f t="array" ref="C224">H224+I224</f>
        <v/>
      </c>
      <c r="D224" s="75" t="n"/>
      <c r="E224" s="75" t="n"/>
      <c r="F224" s="56">
        <f t="array" ref="F224">J224-D224</f>
        <v/>
      </c>
      <c r="G224" s="56">
        <f t="array" ref="G224">K224-E224</f>
        <v/>
      </c>
      <c r="H224" s="55">
        <f t="array" ref="H224">E224+D224</f>
        <v/>
      </c>
      <c r="I224" s="55">
        <f t="array" ref="I224">G224+F224</f>
        <v/>
      </c>
      <c r="J224" s="75" t="n"/>
      <c r="K224" s="75" t="n"/>
      <c r="L224" s="90" t="n">
        <v>0.0272761503</v>
      </c>
    </row>
    <row r="225" ht="20.1" customHeight="1" s="206">
      <c r="A225" s="1" t="n"/>
      <c r="B225" s="123">
        <f t="array" ref="B225">$B226-1</f>
        <v/>
      </c>
      <c r="C225" s="55">
        <f t="array" ref="C225">H225+I225</f>
        <v/>
      </c>
      <c r="D225" s="75" t="n"/>
      <c r="E225" s="75" t="n"/>
      <c r="F225" s="56">
        <f t="array" ref="F225">J225-D225</f>
        <v/>
      </c>
      <c r="G225" s="56">
        <f t="array" ref="G225">K225-E225</f>
        <v/>
      </c>
      <c r="H225" s="55">
        <f t="array" ref="H225">E225+D225</f>
        <v/>
      </c>
      <c r="I225" s="55">
        <f t="array" ref="I225">G225+F225</f>
        <v/>
      </c>
      <c r="J225" s="75" t="n"/>
      <c r="K225" s="75" t="n"/>
      <c r="L225" s="90" t="n">
        <v>0.0226994169</v>
      </c>
    </row>
    <row r="226" ht="20.1" customHeight="1" s="206">
      <c r="A226" s="1" t="n"/>
      <c r="B226" s="123">
        <f t="array" ref="B226">$B227-1</f>
        <v/>
      </c>
      <c r="C226" s="55">
        <f t="array" ref="C226">H226+I226</f>
        <v/>
      </c>
      <c r="D226" s="75" t="n"/>
      <c r="E226" s="75" t="n"/>
      <c r="F226" s="56">
        <f t="array" ref="F226">J226-D226</f>
        <v/>
      </c>
      <c r="G226" s="56">
        <f t="array" ref="G226">K226-E226</f>
        <v/>
      </c>
      <c r="H226" s="55">
        <f t="array" ref="H226">E226+D226</f>
        <v/>
      </c>
      <c r="I226" s="55">
        <f t="array" ref="I226">G226+F226</f>
        <v/>
      </c>
      <c r="J226" s="75" t="n"/>
      <c r="K226" s="75" t="n"/>
      <c r="L226" s="90" t="n">
        <v>0.0185090093</v>
      </c>
    </row>
    <row r="227" ht="20.1" customHeight="1" s="206">
      <c r="A227" s="1" t="n"/>
      <c r="B227" s="123">
        <f t="array" ref="B227">$B228-1</f>
        <v/>
      </c>
      <c r="C227" s="55">
        <f t="array" ref="C227">H227+I227</f>
        <v/>
      </c>
      <c r="D227" s="75" t="n"/>
      <c r="E227" s="75" t="n"/>
      <c r="F227" s="56">
        <f t="array" ref="F227">J227-D227</f>
        <v/>
      </c>
      <c r="G227" s="56">
        <f t="array" ref="G227">K227-E227</f>
        <v/>
      </c>
      <c r="H227" s="55">
        <f t="array" ref="H227">E227+D227</f>
        <v/>
      </c>
      <c r="I227" s="55">
        <f t="array" ref="I227">G227+F227</f>
        <v/>
      </c>
      <c r="J227" s="75" t="n"/>
      <c r="K227" s="75" t="n"/>
      <c r="L227" s="90" t="n">
        <v>0.0147872867</v>
      </c>
    </row>
    <row r="228" ht="20.1" customHeight="1" s="206">
      <c r="A228" s="1" t="n"/>
      <c r="B228" s="123">
        <f t="array" ref="B228">$B229-1</f>
        <v/>
      </c>
      <c r="C228" s="55">
        <f t="array" ref="C228">H228+I228</f>
        <v/>
      </c>
      <c r="D228" s="75" t="n"/>
      <c r="E228" s="75" t="n"/>
      <c r="F228" s="56">
        <f t="array" ref="F228">J228-D228</f>
        <v/>
      </c>
      <c r="G228" s="56">
        <f t="array" ref="G228">K228-E228</f>
        <v/>
      </c>
      <c r="H228" s="55">
        <f t="array" ref="H228">E228+D228</f>
        <v/>
      </c>
      <c r="I228" s="55">
        <f t="array" ref="I228">G228+F228</f>
        <v/>
      </c>
      <c r="J228" s="75" t="n"/>
      <c r="K228" s="75" t="n"/>
      <c r="L228" s="90" t="n">
        <v>0.0115752575</v>
      </c>
    </row>
    <row r="229" ht="20.1" customHeight="1" s="206">
      <c r="A229" s="1" t="n"/>
      <c r="B229" s="123">
        <f t="array" ref="B229">$B230-1</f>
        <v/>
      </c>
      <c r="C229" s="55">
        <f t="array" ref="C229">H229+I229</f>
        <v/>
      </c>
      <c r="D229" s="75" t="n"/>
      <c r="E229" s="75" t="n"/>
      <c r="F229" s="56">
        <f t="array" ref="F229">J229-D229</f>
        <v/>
      </c>
      <c r="G229" s="56">
        <f t="array" ref="G229">K229-E229</f>
        <v/>
      </c>
      <c r="H229" s="55">
        <f t="array" ref="H229">E229+D229</f>
        <v/>
      </c>
      <c r="I229" s="55">
        <f t="array" ref="I229">G229+F229</f>
        <v/>
      </c>
      <c r="J229" s="75" t="n"/>
      <c r="K229" s="75" t="n"/>
      <c r="L229" s="90" t="n">
        <v>0.008877888299999999</v>
      </c>
    </row>
    <row r="230" ht="20.1" customHeight="1" s="206">
      <c r="A230" s="1" t="n"/>
      <c r="B230" s="123">
        <f t="array" ref="B230">$B231-1</f>
        <v/>
      </c>
      <c r="C230" s="55">
        <f t="array" ref="C230">H230+I230</f>
        <v/>
      </c>
      <c r="D230" s="75" t="n"/>
      <c r="E230" s="75" t="n"/>
      <c r="F230" s="56">
        <f t="array" ref="F230">J230-D230</f>
        <v/>
      </c>
      <c r="G230" s="56">
        <f t="array" ref="G230">K230-E230</f>
        <v/>
      </c>
      <c r="H230" s="55">
        <f t="array" ref="H230">E230+D230</f>
        <v/>
      </c>
      <c r="I230" s="55">
        <f t="array" ref="I230">G230+F230</f>
        <v/>
      </c>
      <c r="J230" s="75" t="n"/>
      <c r="K230" s="75" t="n"/>
      <c r="L230" s="90" t="n">
        <v>0.0066715315</v>
      </c>
    </row>
    <row r="231" ht="20.1" customHeight="1" s="206">
      <c r="A231" s="1" t="n"/>
      <c r="B231" s="123">
        <f t="array" ref="B231">$B232-1</f>
        <v/>
      </c>
      <c r="C231" s="55">
        <f t="array" ref="C231">H231+I231</f>
        <v/>
      </c>
      <c r="D231" s="75" t="n"/>
      <c r="E231" s="75" t="n"/>
      <c r="F231" s="56">
        <f t="array" ref="F231">J231-D231</f>
        <v/>
      </c>
      <c r="G231" s="56">
        <f t="array" ref="G231">K231-E231</f>
        <v/>
      </c>
      <c r="H231" s="55">
        <f t="array" ref="H231">E231+D231</f>
        <v/>
      </c>
      <c r="I231" s="55">
        <f t="array" ref="I231">G231+F231</f>
        <v/>
      </c>
      <c r="J231" s="75" t="n"/>
      <c r="K231" s="75" t="n"/>
      <c r="L231" s="90" t="n">
        <v>0.004912225</v>
      </c>
    </row>
    <row r="232" ht="20.1" customHeight="1" s="206">
      <c r="A232" s="1" t="n"/>
      <c r="B232" s="123">
        <f t="array" ref="B232">$B233-1</f>
        <v/>
      </c>
      <c r="C232" s="55">
        <f t="array" ref="C232">H232+I232</f>
        <v/>
      </c>
      <c r="D232" s="75" t="n"/>
      <c r="E232" s="75" t="n"/>
      <c r="F232" s="56">
        <f t="array" ref="F232">J232-D232</f>
        <v/>
      </c>
      <c r="G232" s="56">
        <f t="array" ref="G232">K232-E232</f>
        <v/>
      </c>
      <c r="H232" s="55">
        <f t="array" ref="H232">E232+D232</f>
        <v/>
      </c>
      <c r="I232" s="55">
        <f t="array" ref="I232">G232+F232</f>
        <v/>
      </c>
      <c r="J232" s="75" t="n"/>
      <c r="K232" s="75" t="n"/>
      <c r="L232" s="90" t="n">
        <v>0.0035437886</v>
      </c>
    </row>
    <row r="233" ht="20.1" customHeight="1" s="206">
      <c r="A233" s="1" t="n"/>
      <c r="B233" s="123">
        <f t="array" ref="B233">$B234-1</f>
        <v/>
      </c>
      <c r="C233" s="55">
        <f t="array" ref="C233">H233+I233</f>
        <v/>
      </c>
      <c r="D233" s="75" t="n"/>
      <c r="E233" s="75" t="n"/>
      <c r="F233" s="56">
        <f t="array" ref="F233">J233-D233</f>
        <v/>
      </c>
      <c r="G233" s="56">
        <f t="array" ref="G233">K233-E233</f>
        <v/>
      </c>
      <c r="H233" s="55">
        <f t="array" ref="H233">E233+D233</f>
        <v/>
      </c>
      <c r="I233" s="55">
        <f t="array" ref="I233">G233+F233</f>
        <v/>
      </c>
      <c r="J233" s="75" t="n"/>
      <c r="K233" s="75" t="n"/>
      <c r="L233" s="90" t="n">
        <v>0.002504922</v>
      </c>
    </row>
    <row r="234" ht="20.1" customHeight="1" s="206">
      <c r="A234" s="1" t="n"/>
      <c r="B234" s="123">
        <f t="array" ref="B234">$B235-1</f>
        <v/>
      </c>
      <c r="C234" s="55">
        <f t="array" ref="C234">H234+I234</f>
        <v/>
      </c>
      <c r="D234" s="75" t="n"/>
      <c r="E234" s="75" t="n"/>
      <c r="F234" s="56">
        <f t="array" ref="F234">J234-D234</f>
        <v/>
      </c>
      <c r="G234" s="56">
        <f t="array" ref="G234">K234-E234</f>
        <v/>
      </c>
      <c r="H234" s="55">
        <f t="array" ref="H234">E234+D234</f>
        <v/>
      </c>
      <c r="I234" s="55">
        <f t="array" ref="I234">G234+F234</f>
        <v/>
      </c>
      <c r="J234" s="75" t="n"/>
      <c r="K234" s="75" t="n"/>
      <c r="L234" s="90" t="n">
        <v>0.0017348322</v>
      </c>
    </row>
    <row r="235" ht="20.1" customHeight="1" s="206">
      <c r="A235" s="1" t="n"/>
      <c r="B235" s="123">
        <f t="array" ref="B235">$B236-1</f>
        <v/>
      </c>
      <c r="C235" s="55">
        <f t="array" ref="C235">H235+I235</f>
        <v/>
      </c>
      <c r="D235" s="75" t="n"/>
      <c r="E235" s="75" t="n"/>
      <c r="F235" s="56">
        <f t="array" ref="F235">J235-D235</f>
        <v/>
      </c>
      <c r="G235" s="56">
        <f t="array" ref="G235">K235-E235</f>
        <v/>
      </c>
      <c r="H235" s="55">
        <f t="array" ref="H235">E235+D235</f>
        <v/>
      </c>
      <c r="I235" s="55">
        <f t="array" ref="I235">G235+F235</f>
        <v/>
      </c>
      <c r="J235" s="75" t="n"/>
      <c r="K235" s="75" t="n"/>
      <c r="L235" s="90" t="n">
        <v>0.0011772198</v>
      </c>
    </row>
    <row r="236" ht="20.1" customHeight="1" s="206">
      <c r="A236" s="1" t="n"/>
      <c r="B236" s="123">
        <f t="array" ref="B236">$B237-1</f>
        <v/>
      </c>
      <c r="C236" s="55">
        <f t="array" ref="C236">H236+I236</f>
        <v/>
      </c>
      <c r="D236" s="75" t="n"/>
      <c r="E236" s="75" t="n"/>
      <c r="F236" s="56">
        <f t="array" ref="F236">J236-D236</f>
        <v/>
      </c>
      <c r="G236" s="56">
        <f t="array" ref="G236">K236-E236</f>
        <v/>
      </c>
      <c r="H236" s="55">
        <f t="array" ref="H236">E236+D236</f>
        <v/>
      </c>
      <c r="I236" s="55">
        <f t="array" ref="I236">G236+F236</f>
        <v/>
      </c>
      <c r="J236" s="75" t="n"/>
      <c r="K236" s="75" t="n"/>
      <c r="L236" s="90" t="n">
        <v>0.0007826985</v>
      </c>
    </row>
    <row r="237" ht="20.1" customHeight="1" s="206">
      <c r="A237" s="1" t="n"/>
      <c r="B237" s="123">
        <f t="array" ref="B237">$B238-1</f>
        <v/>
      </c>
      <c r="C237" s="55">
        <f t="array" ref="C237">H237+I237</f>
        <v/>
      </c>
      <c r="D237" s="75" t="n"/>
      <c r="E237" s="75" t="n"/>
      <c r="F237" s="56">
        <f t="array" ref="F237">J237-D237</f>
        <v/>
      </c>
      <c r="G237" s="56">
        <f t="array" ref="G237">K237-E237</f>
        <v/>
      </c>
      <c r="H237" s="55">
        <f t="array" ref="H237">E237+D237</f>
        <v/>
      </c>
      <c r="I237" s="55">
        <f t="array" ref="I237">G237+F237</f>
        <v/>
      </c>
      <c r="J237" s="75" t="n"/>
      <c r="K237" s="75" t="n"/>
      <c r="L237" s="90" t="n">
        <v>0.0005098804</v>
      </c>
    </row>
    <row r="238" ht="20.1" customHeight="1" s="206">
      <c r="A238" s="1" t="n"/>
      <c r="B238" s="123">
        <f t="array" ref="B238">$B239-1</f>
        <v/>
      </c>
      <c r="C238" s="55">
        <f t="array" ref="C238">H238+I238</f>
        <v/>
      </c>
      <c r="D238" s="75" t="n"/>
      <c r="E238" s="75" t="n"/>
      <c r="F238" s="56">
        <f t="array" ref="F238">J238-D238</f>
        <v/>
      </c>
      <c r="G238" s="56">
        <f t="array" ref="G238">K238-E238</f>
        <v/>
      </c>
      <c r="H238" s="55">
        <f t="array" ref="H238">E238+D238</f>
        <v/>
      </c>
      <c r="I238" s="55">
        <f t="array" ref="I238">G238+F238</f>
        <v/>
      </c>
      <c r="J238" s="75" t="n"/>
      <c r="K238" s="75" t="n"/>
      <c r="L238" s="90" t="n">
        <v>0.000325446</v>
      </c>
    </row>
    <row r="239" ht="20.1" customHeight="1" s="206">
      <c r="A239" s="1" t="n"/>
      <c r="B239" s="123">
        <f t="array" ref="B239">$B240-1</f>
        <v/>
      </c>
      <c r="C239" s="55">
        <f t="array" ref="C239">H239+I239</f>
        <v/>
      </c>
      <c r="D239" s="75" t="n"/>
      <c r="E239" s="75" t="n"/>
      <c r="F239" s="56">
        <f t="array" ref="F239">J239-D239</f>
        <v/>
      </c>
      <c r="G239" s="56">
        <f t="array" ref="G239">K239-E239</f>
        <v/>
      </c>
      <c r="H239" s="55">
        <f t="array" ref="H239">E239+D239</f>
        <v/>
      </c>
      <c r="I239" s="55">
        <f t="array" ref="I239">G239+F239</f>
        <v/>
      </c>
      <c r="J239" s="75" t="n"/>
      <c r="K239" s="75" t="n"/>
      <c r="L239" s="90" t="n">
        <v>0.0002035291</v>
      </c>
    </row>
    <row r="240" ht="20.1" customHeight="1" s="206">
      <c r="A240" s="1" t="n"/>
      <c r="B240" s="123">
        <f t="array" ref="B240">$B241-1</f>
        <v/>
      </c>
      <c r="C240" s="55">
        <f t="array" ref="C240">H240+I240</f>
        <v/>
      </c>
      <c r="D240" s="75" t="n"/>
      <c r="E240" s="75" t="n"/>
      <c r="F240" s="56">
        <f t="array" ref="F240">J240-D240</f>
        <v/>
      </c>
      <c r="G240" s="56">
        <f t="array" ref="G240">K240-E240</f>
        <v/>
      </c>
      <c r="H240" s="55">
        <f t="array" ref="H240">E240+D240</f>
        <v/>
      </c>
      <c r="I240" s="55">
        <f t="array" ref="I240">G240+F240</f>
        <v/>
      </c>
      <c r="J240" s="75" t="n"/>
      <c r="K240" s="75" t="n"/>
      <c r="L240" s="90" t="n">
        <v>0.0001247127</v>
      </c>
    </row>
    <row r="241" ht="20.1" customHeight="1" s="206">
      <c r="A241" s="1" t="n"/>
      <c r="B241" s="123">
        <f t="array" ref="B241">$B242-1</f>
        <v/>
      </c>
      <c r="C241" s="55">
        <f t="array" ref="C241">H241+I241</f>
        <v/>
      </c>
      <c r="D241" s="75" t="n"/>
      <c r="E241" s="75" t="n"/>
      <c r="F241" s="56">
        <f t="array" ref="F241">J241-D241</f>
        <v/>
      </c>
      <c r="G241" s="56">
        <f t="array" ref="G241">K241-E241</f>
        <v/>
      </c>
      <c r="H241" s="55">
        <f t="array" ref="H241">E241+D241</f>
        <v/>
      </c>
      <c r="I241" s="55">
        <f t="array" ref="I241">G241+F241</f>
        <v/>
      </c>
      <c r="J241" s="75" t="n"/>
      <c r="K241" s="75" t="n"/>
      <c r="L241" s="90" t="n"/>
    </row>
    <row r="242" ht="20.1" customHeight="1" s="206">
      <c r="A242" s="1" t="n"/>
      <c r="B242" s="123">
        <f t="array" ref="B242">$B243-1</f>
        <v/>
      </c>
      <c r="C242" s="55">
        <f t="array" ref="C242">H242+I242</f>
        <v/>
      </c>
      <c r="D242" s="75" t="n"/>
      <c r="E242" s="75" t="n"/>
      <c r="F242" s="56">
        <f t="array" ref="F242">J242-D242</f>
        <v/>
      </c>
      <c r="G242" s="56">
        <f t="array" ref="G242">K242-E242</f>
        <v/>
      </c>
      <c r="H242" s="55">
        <f t="array" ref="H242">E242+D242</f>
        <v/>
      </c>
      <c r="I242" s="55">
        <f t="array" ref="I242">G242+F242</f>
        <v/>
      </c>
      <c r="J242" s="75" t="n"/>
      <c r="K242" s="75" t="n"/>
      <c r="L242" s="90" t="n"/>
    </row>
    <row r="243" ht="20.1" customHeight="1" s="206">
      <c r="A243" s="1" t="n"/>
      <c r="B243" s="123">
        <f t="array" ref="B243">$B244-1</f>
        <v/>
      </c>
      <c r="C243" s="55">
        <f t="array" ref="C243">H243+I243</f>
        <v/>
      </c>
      <c r="D243" s="75" t="n"/>
      <c r="E243" s="75" t="n"/>
      <c r="F243" s="56">
        <f t="array" ref="F243">J243-D243</f>
        <v/>
      </c>
      <c r="G243" s="56">
        <f t="array" ref="G243">K243-E243</f>
        <v/>
      </c>
      <c r="H243" s="55">
        <f t="array" ref="H243">E243+D243</f>
        <v/>
      </c>
      <c r="I243" s="55">
        <f t="array" ref="I243">G243+F243</f>
        <v/>
      </c>
      <c r="J243" s="75" t="n"/>
      <c r="K243" s="75" t="n"/>
      <c r="L243" s="90" t="n"/>
    </row>
    <row r="244" ht="20.1" customHeight="1" s="206">
      <c r="A244" s="1" t="n"/>
      <c r="B244" s="123">
        <f t="array" ref="B244">$B245-1</f>
        <v/>
      </c>
      <c r="C244" s="55">
        <f t="array" ref="C244">H244+I244</f>
        <v/>
      </c>
      <c r="D244" s="75" t="n"/>
      <c r="E244" s="75" t="n"/>
      <c r="F244" s="56">
        <f t="array" ref="F244">J244-D244</f>
        <v/>
      </c>
      <c r="G244" s="56">
        <f t="array" ref="G244">K244-E244</f>
        <v/>
      </c>
      <c r="H244" s="55">
        <f t="array" ref="H244">E244+D244</f>
        <v/>
      </c>
      <c r="I244" s="55">
        <f t="array" ref="I244">G244+F244</f>
        <v/>
      </c>
      <c r="J244" s="75" t="n"/>
      <c r="K244" s="75" t="n"/>
      <c r="L244" s="90" t="n"/>
    </row>
    <row r="245" ht="20.1" customHeight="1" s="206">
      <c r="A245" s="1" t="n"/>
      <c r="B245" s="123">
        <f t="array" ref="B245">$B246-1</f>
        <v/>
      </c>
      <c r="C245" s="55">
        <f t="array" ref="C245">H245+I245</f>
        <v/>
      </c>
      <c r="D245" s="75" t="n"/>
      <c r="E245" s="75" t="n"/>
      <c r="F245" s="56">
        <f t="array" ref="F245">J245-D245</f>
        <v/>
      </c>
      <c r="G245" s="56">
        <f t="array" ref="G245">K245-E245</f>
        <v/>
      </c>
      <c r="H245" s="55">
        <f t="array" ref="H245">E245+D245</f>
        <v/>
      </c>
      <c r="I245" s="55">
        <f t="array" ref="I245">G245+F245</f>
        <v/>
      </c>
      <c r="J245" s="75" t="n"/>
      <c r="K245" s="75" t="n"/>
      <c r="L245" s="90" t="n"/>
    </row>
    <row r="246" ht="20.1" customHeight="1" s="206">
      <c r="A246" s="1" t="n"/>
      <c r="B246" s="123">
        <f t="array" ref="B246">$B247-1</f>
        <v/>
      </c>
      <c r="C246" s="55">
        <f t="array" ref="C246">H246+I246</f>
        <v/>
      </c>
      <c r="D246" s="75" t="n"/>
      <c r="E246" s="75" t="n"/>
      <c r="F246" s="56">
        <f t="array" ref="F246">J246-D246</f>
        <v/>
      </c>
      <c r="G246" s="56">
        <f t="array" ref="G246">K246-E246</f>
        <v/>
      </c>
      <c r="H246" s="55">
        <f t="array" ref="H246">E246+D246</f>
        <v/>
      </c>
      <c r="I246" s="55">
        <f t="array" ref="I246">G246+F246</f>
        <v/>
      </c>
      <c r="J246" s="75" t="n"/>
      <c r="K246" s="75" t="n"/>
      <c r="L246" s="90" t="n"/>
    </row>
    <row r="247" ht="20.1" customHeight="1" s="206">
      <c r="A247" s="1" t="n"/>
      <c r="B247" s="123">
        <f t="array" ref="B247">$B248-1</f>
        <v/>
      </c>
      <c r="C247" s="55">
        <f t="array" ref="C247">H247+I247</f>
        <v/>
      </c>
      <c r="D247" s="75" t="n"/>
      <c r="E247" s="75" t="n"/>
      <c r="F247" s="56">
        <f t="array" ref="F247">J247-D247</f>
        <v/>
      </c>
      <c r="G247" s="56">
        <f t="array" ref="G247">K247-E247</f>
        <v/>
      </c>
      <c r="H247" s="55">
        <f t="array" ref="H247">E247+D247</f>
        <v/>
      </c>
      <c r="I247" s="55">
        <f t="array" ref="I247">G247+F247</f>
        <v/>
      </c>
      <c r="J247" s="75" t="n"/>
      <c r="K247" s="75" t="n"/>
      <c r="L247" s="90" t="n"/>
    </row>
    <row r="248" ht="20.1" customHeight="1" s="206">
      <c r="A248" s="1" t="n"/>
      <c r="B248" s="123">
        <f t="array" ref="B248">$B249-1</f>
        <v/>
      </c>
      <c r="C248" s="55">
        <f t="array" ref="C248">H248+I248</f>
        <v/>
      </c>
      <c r="D248" s="75" t="n"/>
      <c r="E248" s="75" t="n"/>
      <c r="F248" s="56">
        <f t="array" ref="F248">J248-D248</f>
        <v/>
      </c>
      <c r="G248" s="56">
        <f t="array" ref="G248">K248-E248</f>
        <v/>
      </c>
      <c r="H248" s="55">
        <f t="array" ref="H248">E248+D248</f>
        <v/>
      </c>
      <c r="I248" s="55">
        <f t="array" ref="I248">G248+F248</f>
        <v/>
      </c>
      <c r="J248" s="75" t="n"/>
      <c r="K248" s="75" t="n"/>
      <c r="L248" s="90" t="n"/>
    </row>
    <row r="249" ht="20.1" customHeight="1" s="206">
      <c r="A249" s="1" t="n"/>
      <c r="B249" s="123">
        <f t="array" ref="B249">$B250-1</f>
        <v/>
      </c>
      <c r="C249" s="55">
        <f t="array" ref="C249">H249+I249</f>
        <v/>
      </c>
      <c r="D249" s="75" t="n"/>
      <c r="E249" s="75" t="n"/>
      <c r="F249" s="56">
        <f t="array" ref="F249">J249-D249</f>
        <v/>
      </c>
      <c r="G249" s="56">
        <f t="array" ref="G249">K249-E249</f>
        <v/>
      </c>
      <c r="H249" s="55">
        <f t="array" ref="H249">E249+D249</f>
        <v/>
      </c>
      <c r="I249" s="55">
        <f t="array" ref="I249">G249+F249</f>
        <v/>
      </c>
      <c r="J249" s="75" t="n"/>
      <c r="K249" s="75" t="n"/>
      <c r="L249" s="90" t="n"/>
    </row>
    <row r="250" ht="20.1" customHeight="1" s="206">
      <c r="A250" s="1" t="n"/>
      <c r="B250" s="123">
        <f t="array" ref="B250">$B251-1</f>
        <v/>
      </c>
      <c r="C250" s="55">
        <f t="array" ref="C250">H250+I250</f>
        <v/>
      </c>
      <c r="D250" s="75" t="n"/>
      <c r="E250" s="75" t="n"/>
      <c r="F250" s="56">
        <f t="array" ref="F250">J250-D250</f>
        <v/>
      </c>
      <c r="G250" s="56">
        <f t="array" ref="G250">K250-E250</f>
        <v/>
      </c>
      <c r="H250" s="55">
        <f t="array" ref="H250">E250+D250</f>
        <v/>
      </c>
      <c r="I250" s="55">
        <f t="array" ref="I250">G250+F250</f>
        <v/>
      </c>
      <c r="J250" s="75" t="n"/>
      <c r="K250" s="75" t="n"/>
      <c r="L250" s="90" t="n"/>
    </row>
    <row r="251" ht="20.1" customHeight="1" s="206">
      <c r="A251" s="1" t="n"/>
      <c r="B251" s="123">
        <f t="array" ref="B251">$B252-1</f>
        <v/>
      </c>
      <c r="C251" s="55">
        <f t="array" ref="C251">H251+I251</f>
        <v/>
      </c>
      <c r="D251" s="75" t="n"/>
      <c r="E251" s="75" t="n"/>
      <c r="F251" s="56">
        <f t="array" ref="F251">J251-D251</f>
        <v/>
      </c>
      <c r="G251" s="56">
        <f t="array" ref="G251">K251-E251</f>
        <v/>
      </c>
      <c r="H251" s="55">
        <f t="array" ref="H251">E251+D251</f>
        <v/>
      </c>
      <c r="I251" s="55">
        <f t="array" ref="I251">G251+F251</f>
        <v/>
      </c>
      <c r="J251" s="75" t="n"/>
      <c r="K251" s="75" t="n"/>
      <c r="L251" s="90" t="n"/>
    </row>
    <row r="252" ht="20.1" customHeight="1" s="206">
      <c r="A252" s="1" t="n"/>
      <c r="B252" s="123">
        <f t="array" ref="B252">$B253-1</f>
        <v/>
      </c>
      <c r="C252" s="55">
        <f t="array" ref="C252">H252+I252</f>
        <v/>
      </c>
      <c r="D252" s="75" t="n"/>
      <c r="E252" s="75" t="n"/>
      <c r="F252" s="56">
        <f t="array" ref="F252">J252-D252</f>
        <v/>
      </c>
      <c r="G252" s="56">
        <f t="array" ref="G252">K252-E252</f>
        <v/>
      </c>
      <c r="H252" s="55">
        <f t="array" ref="H252">E252+D252</f>
        <v/>
      </c>
      <c r="I252" s="55">
        <f t="array" ref="I252">G252+F252</f>
        <v/>
      </c>
      <c r="J252" s="75" t="n"/>
      <c r="K252" s="75" t="n"/>
      <c r="L252" s="90" t="n"/>
    </row>
    <row r="253" ht="20.1" customHeight="1" s="206">
      <c r="A253" s="1" t="n"/>
      <c r="B253" s="123">
        <f t="array" ref="B253">$B254-1</f>
        <v/>
      </c>
      <c r="C253" s="55">
        <f t="array" ref="C253">H253+I253</f>
        <v/>
      </c>
      <c r="D253" s="75" t="n"/>
      <c r="E253" s="75" t="n"/>
      <c r="F253" s="56">
        <f t="array" ref="F253">J253-D253</f>
        <v/>
      </c>
      <c r="G253" s="56">
        <f t="array" ref="G253">K253-E253</f>
        <v/>
      </c>
      <c r="H253" s="55">
        <f t="array" ref="H253">E253+D253</f>
        <v/>
      </c>
      <c r="I253" s="55">
        <f t="array" ref="I253">G253+F253</f>
        <v/>
      </c>
      <c r="J253" s="75" t="n"/>
      <c r="K253" s="75" t="n"/>
      <c r="L253" s="90" t="n"/>
    </row>
    <row r="254" ht="20.1" customHeight="1" s="206">
      <c r="A254" s="1" t="n"/>
      <c r="B254" s="123">
        <f t="array" ref="B254">$B255-1</f>
        <v/>
      </c>
      <c r="C254" s="55">
        <f t="array" ref="C254">H254+I254</f>
        <v/>
      </c>
      <c r="D254" s="75" t="n"/>
      <c r="E254" s="75" t="n"/>
      <c r="F254" s="56">
        <f t="array" ref="F254">J254-D254</f>
        <v/>
      </c>
      <c r="G254" s="56">
        <f t="array" ref="G254">K254-E254</f>
        <v/>
      </c>
      <c r="H254" s="55">
        <f t="array" ref="H254">E254+D254</f>
        <v/>
      </c>
      <c r="I254" s="55">
        <f t="array" ref="I254">G254+F254</f>
        <v/>
      </c>
      <c r="J254" s="75" t="n"/>
      <c r="K254" s="75" t="n"/>
      <c r="L254" s="90" t="n"/>
    </row>
    <row r="255" ht="20.1" customHeight="1" s="206">
      <c r="A255" s="1" t="n"/>
      <c r="B255" s="123">
        <f t="array" ref="B255">$B256-1</f>
        <v/>
      </c>
      <c r="C255" s="55">
        <f t="array" ref="C255">H255+I255</f>
        <v/>
      </c>
      <c r="D255" s="75" t="n"/>
      <c r="E255" s="75" t="n"/>
      <c r="F255" s="56">
        <f t="array" ref="F255">J255-D255</f>
        <v/>
      </c>
      <c r="G255" s="56">
        <f t="array" ref="G255">K255-E255</f>
        <v/>
      </c>
      <c r="H255" s="55">
        <f t="array" ref="H255">E255+D255</f>
        <v/>
      </c>
      <c r="I255" s="55">
        <f t="array" ref="I255">G255+F255</f>
        <v/>
      </c>
      <c r="J255" s="75" t="n"/>
      <c r="K255" s="75" t="n"/>
      <c r="L255" s="90" t="n"/>
    </row>
    <row r="256" ht="20.1" customHeight="1" s="206">
      <c r="A256" s="1" t="n"/>
      <c r="B256" s="123">
        <f t="array" ref="B256">$B257-1</f>
        <v/>
      </c>
      <c r="C256" s="55">
        <f t="array" ref="C256">H256+I256</f>
        <v/>
      </c>
      <c r="D256" s="75" t="n"/>
      <c r="E256" s="75" t="n"/>
      <c r="F256" s="56">
        <f t="array" ref="F256">J256-D256</f>
        <v/>
      </c>
      <c r="G256" s="56">
        <f t="array" ref="G256">K256-E256</f>
        <v/>
      </c>
      <c r="H256" s="55">
        <f t="array" ref="H256">E256+D256</f>
        <v/>
      </c>
      <c r="I256" s="55">
        <f t="array" ref="I256">G256+F256</f>
        <v/>
      </c>
      <c r="J256" s="75" t="n"/>
      <c r="K256" s="75" t="n"/>
      <c r="L256" s="90" t="n"/>
    </row>
    <row r="257" ht="20.1" customHeight="1" s="206">
      <c r="A257" s="1" t="n"/>
      <c r="B257" s="123">
        <f t="array" ref="B257">$B258-1</f>
        <v/>
      </c>
      <c r="C257" s="55">
        <f t="array" ref="C257">H257+I257</f>
        <v/>
      </c>
      <c r="D257" s="75" t="n">
        <v>7424</v>
      </c>
      <c r="E257" s="75" t="n">
        <v>9712</v>
      </c>
      <c r="F257" s="56">
        <f t="array" ref="F257">J257-D257</f>
        <v/>
      </c>
      <c r="G257" s="56">
        <f t="array" ref="G257">K257-E257</f>
        <v/>
      </c>
      <c r="H257" s="55">
        <f t="array" ref="H257">E257+D257</f>
        <v/>
      </c>
      <c r="I257" s="55">
        <f t="array" ref="I257">G257+F257</f>
        <v/>
      </c>
      <c r="J257" s="75" t="n">
        <v>28634</v>
      </c>
      <c r="K257" s="75" t="n">
        <v>37416</v>
      </c>
      <c r="L257" s="90" t="n"/>
    </row>
    <row r="258" ht="20.1" customHeight="1" s="206">
      <c r="A258" s="1" t="n"/>
      <c r="B258" s="123">
        <f t="array" ref="B258">$B259-1</f>
        <v/>
      </c>
      <c r="C258" s="55">
        <f t="array" ref="C258">H258+I258</f>
        <v/>
      </c>
      <c r="D258" s="75" t="n">
        <v>8158</v>
      </c>
      <c r="E258" s="75" t="n">
        <v>10672</v>
      </c>
      <c r="F258" s="56">
        <f t="array" ref="F258">J258-D258</f>
        <v/>
      </c>
      <c r="G258" s="56">
        <f t="array" ref="G258">K258-E258</f>
        <v/>
      </c>
      <c r="H258" s="55">
        <f t="array" ref="H258">E258+D258</f>
        <v/>
      </c>
      <c r="I258" s="55">
        <f t="array" ref="I258">G258+F258</f>
        <v/>
      </c>
      <c r="J258" s="75" t="n">
        <v>29732</v>
      </c>
      <c r="K258" s="75" t="n">
        <v>38853</v>
      </c>
      <c r="L258" s="90" t="n"/>
    </row>
    <row r="259" ht="20.1" customHeight="1" s="206">
      <c r="A259" s="1" t="n"/>
      <c r="B259" s="123">
        <f t="array" ref="B259">$B260-1</f>
        <v/>
      </c>
      <c r="C259" s="55">
        <f t="array" ref="C259">H259+I259</f>
        <v/>
      </c>
      <c r="D259" s="75" t="n">
        <v>8408</v>
      </c>
      <c r="E259" s="75" t="n">
        <v>10999</v>
      </c>
      <c r="F259" s="56">
        <f t="array" ref="F259">J259-D259</f>
        <v/>
      </c>
      <c r="G259" s="56">
        <f t="array" ref="G259">K259-E259</f>
        <v/>
      </c>
      <c r="H259" s="55">
        <f t="array" ref="H259">E259+D259</f>
        <v/>
      </c>
      <c r="I259" s="55">
        <f t="array" ref="I259">G259+F259</f>
        <v/>
      </c>
      <c r="J259" s="75" t="n">
        <v>27862</v>
      </c>
      <c r="K259" s="75" t="n">
        <v>36410</v>
      </c>
      <c r="L259" s="90" t="n"/>
    </row>
    <row r="260" ht="20.1" customHeight="1" s="206">
      <c r="A260" s="1" t="n"/>
      <c r="B260" s="123">
        <f t="array" ref="B260">$B261-1</f>
        <v/>
      </c>
      <c r="C260" s="55">
        <f t="array" ref="C260">H260+I260</f>
        <v/>
      </c>
      <c r="D260" s="75" t="n">
        <v>8510</v>
      </c>
      <c r="E260" s="75" t="n">
        <v>11134</v>
      </c>
      <c r="F260" s="56">
        <f t="array" ref="F260">J260-D260</f>
        <v/>
      </c>
      <c r="G260" s="56">
        <f t="array" ref="G260">K260-E260</f>
        <v/>
      </c>
      <c r="H260" s="55">
        <f t="array" ref="H260">E260+D260</f>
        <v/>
      </c>
      <c r="I260" s="55">
        <f t="array" ref="I260">G260+F260</f>
        <v/>
      </c>
      <c r="J260" s="75" t="n">
        <v>29011</v>
      </c>
      <c r="K260" s="75" t="n">
        <v>37912</v>
      </c>
      <c r="L260" s="90" t="n"/>
    </row>
    <row r="261" ht="20.1" customHeight="1" s="206">
      <c r="A261" s="1" t="n"/>
      <c r="B261" s="123">
        <f t="array" ref="B261">$B262-1</f>
        <v/>
      </c>
      <c r="C261" s="55">
        <f t="array" ref="C261">H261+I261</f>
        <v/>
      </c>
      <c r="D261" s="75" t="n">
        <v>7642</v>
      </c>
      <c r="E261" s="75" t="n">
        <v>9997</v>
      </c>
      <c r="F261" s="56">
        <f t="array" ref="F261">J261-D261</f>
        <v/>
      </c>
      <c r="G261" s="56">
        <f t="array" ref="G261">K261-E261</f>
        <v/>
      </c>
      <c r="H261" s="55">
        <f t="array" ref="H261">E261+D261</f>
        <v/>
      </c>
      <c r="I261" s="55">
        <f t="array" ref="I261">G261+F261</f>
        <v/>
      </c>
      <c r="J261" s="75" t="n">
        <v>26880</v>
      </c>
      <c r="K261" s="75" t="n">
        <v>35126</v>
      </c>
      <c r="L261" s="90" t="n"/>
    </row>
    <row r="262" ht="20.1" customHeight="1" s="206">
      <c r="A262" s="1" t="n"/>
      <c r="B262" s="123">
        <f t="array" ref="B262">$B263-1</f>
        <v/>
      </c>
      <c r="C262" s="55">
        <f t="array" ref="C262">H262+I262</f>
        <v/>
      </c>
      <c r="D262" s="75" t="n"/>
      <c r="E262" s="75" t="n"/>
      <c r="F262" s="56">
        <f t="array" ref="F262">J262-D262</f>
        <v/>
      </c>
      <c r="G262" s="56">
        <f t="array" ref="G262">K262-E262</f>
        <v/>
      </c>
      <c r="H262" s="55">
        <f t="array" ref="H262">E262+D262</f>
        <v/>
      </c>
      <c r="I262" s="55">
        <f t="array" ref="I262">G262+F262</f>
        <v/>
      </c>
      <c r="J262" s="75" t="n"/>
      <c r="K262" s="75" t="n"/>
      <c r="L262" s="90" t="n"/>
    </row>
    <row r="263" ht="20.1" customHeight="1" s="206">
      <c r="A263" s="1" t="n"/>
      <c r="B263" s="123">
        <f t="array" ref="B263">$B264-1</f>
        <v/>
      </c>
      <c r="C263" s="55">
        <f t="array" ref="C263">H263+I263</f>
        <v/>
      </c>
      <c r="D263" s="75" t="n">
        <v>13150</v>
      </c>
      <c r="E263" s="75" t="n">
        <v>17203</v>
      </c>
      <c r="F263" s="56">
        <f t="array" ref="F263">J263-D263</f>
        <v/>
      </c>
      <c r="G263" s="56">
        <f t="array" ref="G263">K263-E263</f>
        <v/>
      </c>
      <c r="H263" s="55">
        <f t="array" ref="H263">E263+D263</f>
        <v/>
      </c>
      <c r="I263" s="55">
        <f t="array" ref="I263">G263+F263</f>
        <v/>
      </c>
      <c r="J263" s="75" t="n">
        <v>32436</v>
      </c>
      <c r="K263" s="75" t="n">
        <v>42395</v>
      </c>
      <c r="L263" s="90" t="n"/>
    </row>
    <row r="264" ht="20.1" customHeight="1" s="206">
      <c r="A264" s="1" t="n"/>
      <c r="B264" s="123">
        <f t="array" ref="B264">$B265-1</f>
        <v/>
      </c>
      <c r="C264" s="55">
        <f t="array" ref="C264">H264+I264</f>
        <v/>
      </c>
      <c r="D264" s="75" t="n">
        <v>9989</v>
      </c>
      <c r="E264" s="75" t="n">
        <v>13067</v>
      </c>
      <c r="F264" s="56">
        <f t="array" ref="F264">J264-D264</f>
        <v/>
      </c>
      <c r="G264" s="56">
        <f t="array" ref="G264">K264-E264</f>
        <v/>
      </c>
      <c r="H264" s="55">
        <f t="array" ref="H264">E264+D264</f>
        <v/>
      </c>
      <c r="I264" s="55">
        <f t="array" ref="I264">G264+F264</f>
        <v/>
      </c>
      <c r="J264" s="75" t="n">
        <v>31210</v>
      </c>
      <c r="K264" s="75" t="n">
        <v>40786</v>
      </c>
      <c r="L264" s="90" t="n"/>
    </row>
    <row r="265" ht="20.1" customHeight="1" s="206">
      <c r="A265" s="1" t="n"/>
      <c r="B265" s="123">
        <f t="array" ref="B265">$B266-1</f>
        <v/>
      </c>
      <c r="C265" s="55">
        <f t="array" ref="C265">H265+I265</f>
        <v/>
      </c>
      <c r="D265" s="75" t="n">
        <v>9402</v>
      </c>
      <c r="E265" s="75" t="n">
        <v>12301</v>
      </c>
      <c r="F265" s="56">
        <f t="array" ref="F265">J265-D265</f>
        <v/>
      </c>
      <c r="G265" s="56">
        <f t="array" ref="G265">K265-E265</f>
        <v/>
      </c>
      <c r="H265" s="55">
        <f t="array" ref="H265">E265+D265</f>
        <v/>
      </c>
      <c r="I265" s="55">
        <f t="array" ref="I265">G265+F265</f>
        <v/>
      </c>
      <c r="J265" s="75" t="n">
        <v>31090</v>
      </c>
      <c r="K265" s="75" t="n">
        <v>40631</v>
      </c>
      <c r="L265" s="90" t="n"/>
    </row>
    <row r="266" ht="20.1" customHeight="1" s="206">
      <c r="A266" s="1" t="n"/>
      <c r="B266" s="123">
        <f t="array" ref="B266">$B267-1</f>
        <v/>
      </c>
      <c r="C266" s="55">
        <f t="array" ref="C266">H266+I266</f>
        <v/>
      </c>
      <c r="D266" s="75" t="n">
        <v>8809</v>
      </c>
      <c r="E266" s="75" t="n">
        <v>11524</v>
      </c>
      <c r="F266" s="56">
        <f t="array" ref="F266">J266-D266</f>
        <v/>
      </c>
      <c r="G266" s="56">
        <f t="array" ref="G266">K266-E266</f>
        <v/>
      </c>
      <c r="H266" s="55">
        <f t="array" ref="H266">E266+D266</f>
        <v/>
      </c>
      <c r="I266" s="55">
        <f t="array" ref="I266">G266+F266</f>
        <v/>
      </c>
      <c r="J266" s="75" t="n">
        <v>30403</v>
      </c>
      <c r="K266" s="75" t="n">
        <v>39730</v>
      </c>
      <c r="L266" s="90" t="n"/>
    </row>
    <row r="267" ht="20.1" customHeight="1" s="206">
      <c r="A267" s="1" t="n"/>
      <c r="B267" s="123">
        <f t="array" ref="B267">$B268-1</f>
        <v/>
      </c>
      <c r="C267" s="55">
        <f t="array" ref="C267">H267+I267</f>
        <v/>
      </c>
      <c r="D267" s="75" t="n">
        <v>8399</v>
      </c>
      <c r="E267" s="75" t="n">
        <v>10988</v>
      </c>
      <c r="F267" s="56">
        <f t="array" ref="F267">J267-D267</f>
        <v/>
      </c>
      <c r="G267" s="56">
        <f t="array" ref="G267">K267-E267</f>
        <v/>
      </c>
      <c r="H267" s="55">
        <f t="array" ref="H267">E267+D267</f>
        <v/>
      </c>
      <c r="I267" s="55">
        <f t="array" ref="I267">G267+F267</f>
        <v/>
      </c>
      <c r="J267" s="75" t="n">
        <v>32267</v>
      </c>
      <c r="K267" s="75" t="n">
        <v>42165</v>
      </c>
      <c r="L267" s="90" t="n"/>
    </row>
    <row r="268" ht="20.1" customHeight="1" s="206">
      <c r="A268" s="1" t="n"/>
      <c r="B268" s="123">
        <f t="array" ref="B268">$B269-1</f>
        <v/>
      </c>
      <c r="C268" s="55">
        <f t="array" ref="C268">H268+I268</f>
        <v/>
      </c>
      <c r="D268" s="75" t="n">
        <v>10552</v>
      </c>
      <c r="E268" s="75" t="n">
        <v>13805</v>
      </c>
      <c r="F268" s="56">
        <f t="array" ref="F268">J268-D268</f>
        <v/>
      </c>
      <c r="G268" s="56">
        <f t="array" ref="G268">K268-E268</f>
        <v/>
      </c>
      <c r="H268" s="55">
        <f t="array" ref="H268">E268+D268</f>
        <v/>
      </c>
      <c r="I268" s="55">
        <f t="array" ref="I268">G268+F268</f>
        <v/>
      </c>
      <c r="J268" s="75" t="n">
        <v>35113</v>
      </c>
      <c r="K268" s="75" t="n">
        <v>45887</v>
      </c>
      <c r="L268" s="90" t="n"/>
    </row>
    <row r="269" ht="20.1" customHeight="1" s="206">
      <c r="A269" s="1" t="n"/>
      <c r="B269" s="123">
        <f t="array" ref="B269">$B270-1</f>
        <v/>
      </c>
      <c r="C269" s="55">
        <f t="array" ref="C269">H269+I269</f>
        <v/>
      </c>
      <c r="D269" s="75" t="n">
        <v>7127</v>
      </c>
      <c r="E269" s="75" t="n">
        <v>8741</v>
      </c>
      <c r="F269" s="56">
        <f t="array" ref="F269">J269-D269</f>
        <v/>
      </c>
      <c r="G269" s="56">
        <f t="array" ref="G269">K269-E269</f>
        <v/>
      </c>
      <c r="H269" s="55">
        <f t="array" ref="H269">E269+D269</f>
        <v/>
      </c>
      <c r="I269" s="55">
        <f t="array" ref="I269">G269+F269</f>
        <v/>
      </c>
      <c r="J269" s="75" t="n">
        <v>22194</v>
      </c>
      <c r="K269" s="75" t="n">
        <v>29369</v>
      </c>
      <c r="L269" s="90" t="n"/>
    </row>
    <row r="270" ht="20.1" customHeight="1" s="206">
      <c r="A270" s="1" t="n"/>
      <c r="B270" s="123">
        <f t="array" ref="B270">$B271-1</f>
        <v/>
      </c>
      <c r="C270" s="55">
        <f t="array" ref="C270">H270+I270</f>
        <v/>
      </c>
      <c r="D270" s="75" t="n">
        <v>6462</v>
      </c>
      <c r="E270" s="75" t="n">
        <v>8094</v>
      </c>
      <c r="F270" s="56">
        <f t="array" ref="F270">J270-D270</f>
        <v/>
      </c>
      <c r="G270" s="56">
        <f t="array" ref="G270">K270-E270</f>
        <v/>
      </c>
      <c r="H270" s="55">
        <f t="array" ref="H270">E270+D270</f>
        <v/>
      </c>
      <c r="I270" s="55">
        <f t="array" ref="I270">G270+F270</f>
        <v/>
      </c>
      <c r="J270" s="75" t="n">
        <v>22864</v>
      </c>
      <c r="K270" s="75" t="n">
        <v>30380</v>
      </c>
      <c r="L270" s="90" t="n"/>
    </row>
    <row r="271" ht="20.1" customHeight="1" s="206">
      <c r="A271" s="1" t="n"/>
      <c r="B271" s="123">
        <f t="array" ref="B271">$B272-1</f>
        <v/>
      </c>
      <c r="C271" s="55">
        <f t="array" ref="C271">H271+I271</f>
        <v/>
      </c>
      <c r="D271" s="75" t="n"/>
      <c r="E271" s="75" t="n"/>
      <c r="F271" s="56">
        <f t="array" ref="F271">J271-D271</f>
        <v/>
      </c>
      <c r="G271" s="56">
        <f t="array" ref="G271">K271-E271</f>
        <v/>
      </c>
      <c r="H271" s="55">
        <f t="array" ref="H271">E271+D271</f>
        <v/>
      </c>
      <c r="I271" s="55">
        <f t="array" ref="I271">G271+F271</f>
        <v/>
      </c>
      <c r="J271" s="75" t="n">
        <v>22170</v>
      </c>
      <c r="K271" s="75" t="n">
        <v>29481</v>
      </c>
      <c r="L271" s="90" t="n"/>
    </row>
    <row r="272" ht="20.1" customHeight="1" s="206">
      <c r="A272" s="1" t="n"/>
      <c r="B272" s="123">
        <f t="array" ref="B272">$B273-1</f>
        <v/>
      </c>
      <c r="C272" s="55">
        <f t="array" ref="C272">H272+I272</f>
        <v/>
      </c>
      <c r="D272" s="75" t="n">
        <v>5643</v>
      </c>
      <c r="E272" s="75" t="n">
        <v>7474</v>
      </c>
      <c r="F272" s="56">
        <f t="array" ref="F272">J272-D272</f>
        <v/>
      </c>
      <c r="G272" s="56">
        <f t="array" ref="G272">K272-E272</f>
        <v/>
      </c>
      <c r="H272" s="55">
        <f t="array" ref="H272">E272+D272</f>
        <v/>
      </c>
      <c r="I272" s="55">
        <f t="array" ref="I272">G272+F272</f>
        <v/>
      </c>
      <c r="J272" s="75" t="n">
        <v>22085</v>
      </c>
      <c r="K272" s="75" t="n">
        <v>29112</v>
      </c>
      <c r="L272" s="90" t="n"/>
    </row>
    <row r="273" ht="20.45" customHeight="1" s="206">
      <c r="A273" s="24" t="n"/>
      <c r="B273" s="124">
        <f t="array" ref="B273">$B274-1</f>
        <v/>
      </c>
      <c r="C273" s="79">
        <f t="array" ref="C273">H273+I273</f>
        <v/>
      </c>
      <c r="D273" s="125" t="n">
        <v>5859</v>
      </c>
      <c r="E273" s="125" t="n">
        <v>7975</v>
      </c>
      <c r="F273" s="126">
        <f t="array" ref="F273">J273-D273</f>
        <v/>
      </c>
      <c r="G273" s="126">
        <f t="array" ref="G273">K273-E273</f>
        <v/>
      </c>
      <c r="H273" s="79">
        <f t="array" ref="H273">E273+D273</f>
        <v/>
      </c>
      <c r="I273" s="79">
        <f t="array" ref="I273">G273+F273</f>
        <v/>
      </c>
      <c r="J273" s="125" t="n">
        <v>22287</v>
      </c>
      <c r="K273" s="125" t="n">
        <v>29525</v>
      </c>
      <c r="L273" s="90" t="n"/>
    </row>
    <row r="274" ht="20.65" customHeight="1" s="206">
      <c r="A274" s="10" t="n"/>
      <c r="B274" s="127">
        <f t="array" ref="B274">$B275-1</f>
        <v/>
      </c>
      <c r="C274" s="128">
        <f t="array" ref="C274">H274+I274</f>
        <v/>
      </c>
      <c r="D274" s="112" t="n"/>
      <c r="E274" s="112" t="n"/>
      <c r="F274" s="129">
        <f t="array" ref="F274">J274-D274</f>
        <v/>
      </c>
      <c r="G274" s="118">
        <f t="array" ref="G274">K274-E274</f>
        <v/>
      </c>
      <c r="H274" s="83">
        <f t="array" ref="H274">E274+D274</f>
        <v/>
      </c>
      <c r="I274" s="128">
        <f t="array" ref="I274">G274+F274</f>
        <v/>
      </c>
      <c r="J274" s="112" t="n"/>
      <c r="K274" s="112" t="n"/>
      <c r="L274" s="130" t="n"/>
    </row>
    <row r="275" ht="20.65" customHeight="1" s="206">
      <c r="A275" s="10" t="n"/>
      <c r="B275" s="127">
        <f t="array" ref="B275">$B276-1</f>
        <v/>
      </c>
      <c r="C275" s="128">
        <f t="array" ref="C275">H275+I275</f>
        <v/>
      </c>
      <c r="D275" s="112" t="n">
        <v>5881</v>
      </c>
      <c r="E275" s="112" t="n">
        <v>7943</v>
      </c>
      <c r="F275" s="129">
        <f t="array" ref="F275">J275-D275</f>
        <v/>
      </c>
      <c r="G275" s="118">
        <f t="array" ref="G275">K275-E275</f>
        <v/>
      </c>
      <c r="H275" s="83">
        <f t="array" ref="H275">E275+D275</f>
        <v/>
      </c>
      <c r="I275" s="128">
        <f t="array" ref="I275">G275+F275</f>
        <v/>
      </c>
      <c r="J275" s="112" t="n">
        <v>23360</v>
      </c>
      <c r="K275" s="112" t="n">
        <v>30131</v>
      </c>
      <c r="L275" s="131" t="n"/>
    </row>
    <row r="276" ht="20.65" customHeight="1" s="206">
      <c r="A276" s="10" t="n"/>
      <c r="B276" s="127">
        <f t="array" ref="B276">$B277-1</f>
        <v/>
      </c>
      <c r="C276" s="128" t="n">
        <v>299183</v>
      </c>
      <c r="D276" s="112" t="n">
        <v>53299</v>
      </c>
      <c r="E276" s="112" t="n">
        <v>70447</v>
      </c>
      <c r="F276" s="129" t="n">
        <v>82162</v>
      </c>
      <c r="G276" s="118" t="n">
        <v>93275</v>
      </c>
      <c r="H276" s="83">
        <f t="array" ref="H276">E276+D276</f>
        <v/>
      </c>
      <c r="I276" s="128">
        <f t="array" ref="I276">G276+F276</f>
        <v/>
      </c>
      <c r="J276" s="112" t="n">
        <v>24746</v>
      </c>
      <c r="K276" s="112" t="n">
        <v>31943</v>
      </c>
      <c r="L276" s="131" t="n"/>
    </row>
    <row r="277" ht="20.65" customHeight="1" s="206">
      <c r="A277" s="10" t="n"/>
      <c r="B277" s="127">
        <f t="array" ref="B277">$B278-1</f>
        <v/>
      </c>
      <c r="C277" s="128" t="n">
        <v>340440</v>
      </c>
      <c r="D277" s="112" t="n">
        <v>57952</v>
      </c>
      <c r="E277" s="112" t="n">
        <v>76057</v>
      </c>
      <c r="F277" s="129" t="n">
        <v>92481</v>
      </c>
      <c r="G277" s="118" t="n">
        <v>113950</v>
      </c>
      <c r="H277" s="83">
        <f t="array" ref="H277">E277+D277</f>
        <v/>
      </c>
      <c r="I277" s="128">
        <f t="array" ref="I277">G277+F277</f>
        <v/>
      </c>
      <c r="J277" s="112" t="n">
        <v>28284</v>
      </c>
      <c r="K277" s="112" t="n">
        <v>36144</v>
      </c>
      <c r="L277" s="131" t="n"/>
    </row>
    <row r="278" ht="20.65" customHeight="1" s="206">
      <c r="A278" s="10" t="n"/>
      <c r="B278" s="127">
        <f t="array" ref="B278">$B279-1</f>
        <v/>
      </c>
      <c r="C278" s="128" t="n">
        <v>359665</v>
      </c>
      <c r="D278" s="112" t="n">
        <v>57296</v>
      </c>
      <c r="E278" s="112" t="n">
        <v>71659</v>
      </c>
      <c r="F278" s="129" t="n">
        <v>102942</v>
      </c>
      <c r="G278" s="118" t="n">
        <v>127768</v>
      </c>
      <c r="H278" s="83">
        <f t="array" ref="H278">E278+D278</f>
        <v/>
      </c>
      <c r="I278" s="128">
        <f t="array" ref="I278">G278+F278</f>
        <v/>
      </c>
      <c r="J278" s="112" t="n">
        <v>28364</v>
      </c>
      <c r="K278" s="112" t="n">
        <v>37780</v>
      </c>
      <c r="L278" s="131" t="n"/>
    </row>
    <row r="279" ht="20.65" customHeight="1" s="206">
      <c r="A279" s="10" t="n"/>
      <c r="B279" s="127">
        <f t="array" ref="B279">$B280-1</f>
        <v/>
      </c>
      <c r="C279" s="128" t="n">
        <v>344347</v>
      </c>
      <c r="D279" s="112" t="n">
        <v>50248</v>
      </c>
      <c r="E279" s="112" t="n">
        <v>74680</v>
      </c>
      <c r="F279" s="129" t="n">
        <v>103622</v>
      </c>
      <c r="G279" s="118" t="n">
        <v>115797</v>
      </c>
      <c r="H279" s="83">
        <f t="array" ref="H279">E279+D279</f>
        <v/>
      </c>
      <c r="I279" s="128">
        <f t="array" ref="I279">G279+F279</f>
        <v/>
      </c>
      <c r="J279" s="112" t="n">
        <v>28381</v>
      </c>
      <c r="K279" s="112" t="n">
        <v>38831</v>
      </c>
      <c r="L279" s="131" t="n"/>
    </row>
    <row r="280" ht="20.65" customHeight="1" s="206">
      <c r="A280" s="10" t="n"/>
      <c r="B280" s="127">
        <f t="array" ref="B280">$B281-1</f>
        <v/>
      </c>
      <c r="C280" s="128" t="n">
        <v>368385</v>
      </c>
      <c r="D280" s="112" t="n">
        <v>60318</v>
      </c>
      <c r="E280" s="112" t="n">
        <v>78029</v>
      </c>
      <c r="F280" s="129" t="n">
        <v>106844</v>
      </c>
      <c r="G280" s="118" t="n">
        <v>123194</v>
      </c>
      <c r="H280" s="83">
        <f t="array" ref="H280">E280+D280</f>
        <v/>
      </c>
      <c r="I280" s="128">
        <f t="array" ref="I280">G280+F280</f>
        <v/>
      </c>
      <c r="J280" s="112" t="n">
        <v>28842</v>
      </c>
      <c r="K280" s="112" t="n">
        <v>39438</v>
      </c>
      <c r="L280" s="131" t="n"/>
    </row>
    <row r="281" ht="20.65" customHeight="1" s="206">
      <c r="A281" s="10" t="n"/>
      <c r="B281" s="127">
        <f t="array" ref="B281">$B282-1</f>
        <v/>
      </c>
      <c r="C281" s="128" t="n">
        <v>368385</v>
      </c>
      <c r="D281" s="112" t="n">
        <v>60318</v>
      </c>
      <c r="E281" s="112" t="n">
        <v>78029</v>
      </c>
      <c r="F281" s="129" t="n">
        <v>106844</v>
      </c>
      <c r="G281" s="118" t="n">
        <v>123194</v>
      </c>
      <c r="H281" s="83">
        <f t="array" ref="H281">E281+D281</f>
        <v/>
      </c>
      <c r="I281" s="128">
        <f t="array" ref="I281">G281+F281</f>
        <v/>
      </c>
      <c r="J281" s="112" t="n">
        <v>26795</v>
      </c>
      <c r="K281" s="112" t="n">
        <v>35786</v>
      </c>
      <c r="L281" s="131" t="n"/>
    </row>
    <row r="282" ht="20.65" customHeight="1" s="206">
      <c r="A282" s="10" t="n"/>
      <c r="B282" s="127">
        <f t="array" ref="B282">$B283-1</f>
        <v/>
      </c>
      <c r="C282" s="128" t="n">
        <v>368385</v>
      </c>
      <c r="D282" s="112" t="n">
        <v>60318</v>
      </c>
      <c r="E282" s="112" t="n">
        <v>78029</v>
      </c>
      <c r="F282" s="129" t="n">
        <v>106844</v>
      </c>
      <c r="G282" s="118" t="n">
        <v>123194</v>
      </c>
      <c r="H282" s="83">
        <f t="array" ref="H282">E282+D282</f>
        <v/>
      </c>
      <c r="I282" s="128">
        <f t="array" ref="I282">G282+F282</f>
        <v/>
      </c>
      <c r="J282" s="112" t="n">
        <v>28792</v>
      </c>
      <c r="K282" s="112" t="n">
        <v>38507</v>
      </c>
      <c r="L282" s="131" t="n"/>
    </row>
    <row r="283" ht="20.65" customHeight="1" s="206">
      <c r="A283" s="10" t="n"/>
      <c r="B283" s="127">
        <f t="array" ref="B283">$B284-1</f>
        <v/>
      </c>
      <c r="C283" s="128" t="n">
        <v>368385</v>
      </c>
      <c r="D283" s="112" t="n">
        <v>60318</v>
      </c>
      <c r="E283" s="112" t="n">
        <v>78029</v>
      </c>
      <c r="F283" s="129" t="n">
        <v>106844</v>
      </c>
      <c r="G283" s="118" t="n">
        <v>123194</v>
      </c>
      <c r="H283" s="83">
        <f t="array" ref="H283">E283+D283</f>
        <v/>
      </c>
      <c r="I283" s="128">
        <f t="array" ref="I283">G283+F283</f>
        <v/>
      </c>
      <c r="J283" s="112" t="n">
        <v>33347</v>
      </c>
      <c r="K283" s="112" t="n">
        <v>40924</v>
      </c>
      <c r="L283" s="131" t="n"/>
    </row>
    <row r="284" ht="20.65" customHeight="1" s="206">
      <c r="A284" s="10" t="n"/>
      <c r="B284" s="127">
        <f t="array" ref="B284">$B285-1</f>
        <v/>
      </c>
      <c r="C284" s="128" t="n">
        <v>368385</v>
      </c>
      <c r="D284" s="112" t="n">
        <v>60318</v>
      </c>
      <c r="E284" s="112" t="n">
        <v>78029</v>
      </c>
      <c r="F284" s="129" t="n">
        <v>106844</v>
      </c>
      <c r="G284" s="118" t="n">
        <v>123194</v>
      </c>
      <c r="H284" s="83">
        <f t="array" ref="H284">E284+D284</f>
        <v/>
      </c>
      <c r="I284" s="128">
        <f t="array" ref="I284">G284+F284</f>
        <v/>
      </c>
      <c r="J284" s="112" t="n">
        <v>33164</v>
      </c>
      <c r="K284" s="112" t="n">
        <v>40872</v>
      </c>
      <c r="L284" s="131" t="n"/>
    </row>
    <row r="285" ht="20.65" customHeight="1" s="206">
      <c r="A285" s="10" t="n"/>
      <c r="B285" s="127">
        <f t="array" ref="B285">$C$7</f>
        <v/>
      </c>
      <c r="C285" s="128" t="n">
        <v>368385</v>
      </c>
      <c r="D285" s="112" t="n">
        <v>60318</v>
      </c>
      <c r="E285" s="134" t="n">
        <v>78029</v>
      </c>
      <c r="F285" s="118" t="n">
        <v>106844</v>
      </c>
      <c r="G285" s="118" t="n">
        <v>123194</v>
      </c>
      <c r="H285" s="83">
        <f t="array" ref="H285">E285+D285</f>
        <v/>
      </c>
      <c r="I285" s="128">
        <f t="array" ref="I285">G285+F285</f>
        <v/>
      </c>
      <c r="J285" s="132" t="n">
        <v>36160</v>
      </c>
      <c r="K285" s="132" t="n">
        <v>45317</v>
      </c>
      <c r="L285" s="131" t="n"/>
    </row>
    <row r="286" ht="20.45" customHeight="1" s="206">
      <c r="A286" s="15" t="n"/>
      <c r="B286" s="30" t="inlineStr">
        <is>
          <t>10 year Ø of emigration</t>
        </is>
      </c>
      <c r="C286" s="120">
        <f t="array" ref="C286">AVERAGE(C276:C285)</f>
        <v/>
      </c>
      <c r="D286" s="135">
        <f t="array" ref="D286">AVERAGE(D276:D285)</f>
        <v/>
      </c>
      <c r="E286" s="135">
        <f t="array" ref="E286">AVERAGE(E276:E285)</f>
        <v/>
      </c>
      <c r="F286" s="120">
        <f t="array" ref="F286">AVERAGE(F276:F285)</f>
        <v/>
      </c>
      <c r="G286" s="120">
        <f t="array" ref="G286">AVERAGE(G276:G285)</f>
        <v/>
      </c>
      <c r="H286" s="120">
        <f t="array" ref="H286">AVERAGE(H276:H285)</f>
        <v/>
      </c>
      <c r="I286" s="120">
        <f t="array" ref="I286">AVERAGE(I276:I285)</f>
        <v/>
      </c>
      <c r="J286" s="120">
        <f t="array" ref="J286">AVERAGE(J276:J285)</f>
        <v/>
      </c>
      <c r="K286" s="120">
        <f t="array" ref="K286">AVERAGE(K276:K285)</f>
        <v/>
      </c>
      <c r="L286" s="57" t="n"/>
    </row>
    <row r="287" ht="20.1" customHeight="1" s="206">
      <c r="A287" s="1" t="n"/>
      <c r="B287" s="18" t="n"/>
      <c r="C287" s="13" t="n"/>
      <c r="D287" s="13" t="n"/>
      <c r="E287" s="13" t="n"/>
      <c r="F287" s="13" t="n"/>
      <c r="G287" s="13" t="n"/>
      <c r="H287" s="13" t="n"/>
      <c r="I287" s="13" t="n"/>
      <c r="J287" s="13" t="n"/>
      <c r="K287" s="13" t="n"/>
      <c r="L287" s="13" t="n"/>
    </row>
    <row r="288" ht="20.1" customHeight="1" s="206">
      <c r="A288" s="24" t="n"/>
      <c r="B288" s="23" t="inlineStr">
        <is>
          <t>Source of the data (verbal)</t>
        </is>
      </c>
      <c r="C288" s="184">
        <f t="array" ref="C288">IF(C289="","?",C289)&amp;IF(C290="","","; downloaded "&amp;C290)&amp;IF(C291="","","; "&amp;C291)</f>
        <v/>
      </c>
      <c r="D288" s="177" t="n"/>
      <c r="E288" s="177" t="n"/>
      <c r="F288" s="177" t="n"/>
      <c r="G288" s="177" t="n"/>
      <c r="H288" s="177" t="n"/>
      <c r="I288" s="177" t="n"/>
      <c r="J288" s="177" t="n"/>
      <c r="K288" s="177" t="n"/>
      <c r="L288" s="13" t="n"/>
    </row>
    <row r="289" ht="20.1" customHeight="1" s="206">
      <c r="A289" s="15" t="n"/>
      <c r="B289" s="23" t="inlineStr">
        <is>
          <t>URLs, where the data was found</t>
        </is>
      </c>
      <c r="C289" s="185" t="inlineStr">
        <is>
          <t>https://ec.europa.eu/eurostat/databrowser/view/migr_imm3ctb, https://ec.europa.eu/eurostat/databrowser/view/migr_emi4ctb, https://www.statistik.at/fileadmin/pages/432/Tabellensammlung_Aussenwanderungen_2024.ods</t>
        </is>
      </c>
      <c r="D289" s="177" t="n"/>
      <c r="E289" s="177" t="n"/>
      <c r="F289" s="177" t="n"/>
      <c r="G289" s="177" t="n"/>
      <c r="H289" s="177" t="n"/>
      <c r="I289" s="177" t="n"/>
      <c r="J289" s="177" t="n"/>
      <c r="K289" s="177" t="n"/>
      <c r="L289" s="13" t="n"/>
    </row>
    <row r="290" ht="20.1" customHeight="1" s="206">
      <c r="A290" s="24" t="n"/>
      <c r="B290" s="33" t="inlineStr">
        <is>
          <t>Date, when the data was downloaded</t>
        </is>
      </c>
      <c r="C290" s="185" t="inlineStr">
        <is>
          <t>2026-05-20</t>
        </is>
      </c>
      <c r="D290" s="177" t="n"/>
      <c r="E290" s="177" t="n"/>
      <c r="F290" s="177" t="n"/>
      <c r="G290" s="177" t="n"/>
      <c r="H290" s="177" t="n"/>
      <c r="I290" s="177" t="n"/>
      <c r="J290" s="177" t="n"/>
      <c r="K290" s="177" t="n"/>
      <c r="L290" s="13" t="n"/>
    </row>
    <row r="291" ht="20.1" customHeight="1" s="206">
      <c r="A291" s="10" t="n"/>
      <c r="B291" s="11" t="inlineStr">
        <is>
          <t>Manual remarks (not for AI!)</t>
        </is>
      </c>
      <c r="C291" s="201" t="n"/>
      <c r="D291" s="182" t="n"/>
      <c r="E291" s="182" t="n"/>
      <c r="F291" s="182" t="n"/>
      <c r="G291" s="182" t="n"/>
      <c r="H291" s="182" t="n"/>
      <c r="I291" s="182" t="n"/>
      <c r="J291" s="182" t="n"/>
      <c r="K291" s="182" t="n"/>
      <c r="L291" s="13" t="n"/>
    </row>
    <row r="292" ht="20.1" customHeight="1" s="206">
      <c r="A292" s="10" t="n"/>
      <c r="B292" s="11" t="inlineStr">
        <is>
          <t>Remarks of the AI (e.g. calculation)</t>
        </is>
      </c>
      <c r="C292"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292" s="188" t="n"/>
      <c r="E292" s="188" t="n"/>
      <c r="F292" s="188" t="n"/>
      <c r="G292" s="188" t="n"/>
      <c r="H292" s="188" t="n"/>
      <c r="I292" s="188" t="n"/>
      <c r="J292" s="188" t="n"/>
      <c r="K292" s="188" t="n"/>
      <c r="L292" s="13" t="n"/>
    </row>
    <row r="293" ht="20.1" customHeight="1" s="206">
      <c r="A293" s="10" t="n"/>
      <c r="B293" s="11" t="inlineStr">
        <is>
          <t>Internal remarks</t>
        </is>
      </c>
      <c r="C293" s="186" t="n"/>
      <c r="D293" s="177" t="n"/>
      <c r="E293" s="177" t="n"/>
      <c r="F293" s="177" t="n"/>
      <c r="G293" s="177" t="n"/>
      <c r="H293" s="177" t="n"/>
      <c r="I293" s="177" t="n"/>
      <c r="J293" s="177" t="n"/>
      <c r="K293" s="177" t="n"/>
      <c r="L293" s="13" t="n"/>
    </row>
    <row r="294" ht="20.1" customHeight="1" s="206">
      <c r="A294" s="41" t="n"/>
      <c r="B294" s="42" t="n"/>
      <c r="C294" s="43" t="n"/>
      <c r="D294" s="44" t="n"/>
      <c r="E294" s="44" t="n"/>
      <c r="F294" s="44" t="n"/>
      <c r="G294" s="44" t="n"/>
      <c r="H294" s="44" t="n"/>
      <c r="I294" s="44" t="n"/>
      <c r="J294" s="44" t="n"/>
      <c r="K294" s="44" t="n"/>
      <c r="L294" s="44" t="n"/>
    </row>
  </sheetData>
  <mergeCells count="24">
    <mergeCell ref="C205:K205"/>
    <mergeCell ref="C121:K121"/>
    <mergeCell ref="C117:K117"/>
    <mergeCell ref="C202:K202"/>
    <mergeCell ref="C118:K118"/>
    <mergeCell ref="C291:K291"/>
    <mergeCell ref="C114:K114"/>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8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origin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136" t="n"/>
      <c r="B5" s="51" t="inlineStr">
        <is>
          <t>Origin of Migrants</t>
        </is>
      </c>
      <c r="C5" s="192" t="inlineStr">
        <is>
          <t>This table contains the countries the current migrants come from.</t>
        </is>
      </c>
      <c r="D5" s="188" t="n"/>
      <c r="E5" s="188" t="n"/>
      <c r="F5" s="188" t="n"/>
      <c r="G5" s="188" t="n"/>
      <c r="H5" s="188" t="n"/>
      <c r="I5" s="188" t="n"/>
      <c r="J5" s="188" t="n"/>
      <c r="K5" s="188" t="n"/>
      <c r="L5" s="22" t="n"/>
    </row>
    <row r="6" ht="20.1" customHeight="1" s="206">
      <c r="A6" s="15" t="n"/>
      <c r="B6" s="18" t="n"/>
      <c r="C6" s="52" t="n"/>
      <c r="D6" s="57" t="n"/>
      <c r="E6" s="57" t="n"/>
      <c r="F6" s="57" t="n"/>
      <c r="G6" s="57" t="n"/>
      <c r="H6" s="57" t="n"/>
      <c r="I6" s="57" t="n"/>
      <c r="J6" s="57" t="n"/>
      <c r="K6" s="57" t="n"/>
      <c r="L6" s="57" t="n"/>
    </row>
    <row r="7" ht="20.1" customHeight="1" s="206">
      <c r="A7" s="1" t="n"/>
      <c r="B7" s="23" t="inlineStr">
        <is>
          <t>Year of the numbers</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1" t="n"/>
      <c r="B9" s="23" t="inlineStr">
        <is>
          <t>Europe</t>
        </is>
      </c>
      <c r="C9" s="52" t="n"/>
      <c r="D9" s="57" t="n"/>
      <c r="E9" s="57" t="n"/>
      <c r="F9" s="57" t="n"/>
      <c r="G9" s="57" t="n"/>
      <c r="H9" s="57" t="n"/>
      <c r="I9" s="57" t="n"/>
      <c r="J9" s="57" t="n"/>
      <c r="K9" s="57" t="n"/>
      <c r="L9" s="57" t="n"/>
    </row>
    <row r="10" ht="20.1" customHeight="1" s="206">
      <c r="A10" s="2" t="inlineStr">
        <is>
          <t>c1ad</t>
        </is>
      </c>
      <c r="B10" s="23" t="inlineStr">
        <is>
          <t>Andorra</t>
        </is>
      </c>
      <c r="C10" s="137" t="inlineStr">
        <is>
          <t>AD</t>
        </is>
      </c>
      <c r="D10" s="57" t="n"/>
      <c r="E10" s="57" t="n"/>
      <c r="F10" s="89" t="n">
        <v>1</v>
      </c>
      <c r="G10" s="89" t="n">
        <v>6</v>
      </c>
      <c r="H10" s="57" t="n"/>
      <c r="I10" s="55">
        <f t="array" ref="I10">G10+F10</f>
        <v/>
      </c>
      <c r="J10" s="57" t="n"/>
      <c r="K10" s="57" t="n"/>
      <c r="L10" s="57" t="n"/>
    </row>
    <row r="11" ht="20.1" customHeight="1" s="206">
      <c r="A11" s="2" t="inlineStr">
        <is>
          <t>c1al</t>
        </is>
      </c>
      <c r="B11" s="23" t="inlineStr">
        <is>
          <t>Albania</t>
        </is>
      </c>
      <c r="C11" s="19" t="inlineStr">
        <is>
          <t>AL</t>
        </is>
      </c>
      <c r="D11" s="57" t="n"/>
      <c r="E11" s="57" t="n"/>
      <c r="F11" s="89" t="n">
        <v>3235</v>
      </c>
      <c r="G11" s="89" t="n">
        <v>3112</v>
      </c>
      <c r="H11" s="57" t="n"/>
      <c r="I11" s="55">
        <f t="array" ref="I11">G11+F11</f>
        <v/>
      </c>
      <c r="J11" s="57" t="n"/>
      <c r="K11" s="57" t="n"/>
      <c r="L11" s="57" t="n"/>
    </row>
    <row r="12" ht="20.1" customHeight="1" s="206">
      <c r="A12" s="2" t="inlineStr">
        <is>
          <t>c1at</t>
        </is>
      </c>
      <c r="B12" s="23" t="inlineStr">
        <is>
          <t>Austria</t>
        </is>
      </c>
      <c r="C12" s="19" t="inlineStr">
        <is>
          <t>AT</t>
        </is>
      </c>
      <c r="D12" s="57" t="n"/>
      <c r="E12" s="57" t="n"/>
      <c r="F12" s="89" t="n"/>
      <c r="G12" s="89" t="n"/>
      <c r="H12" s="57" t="n"/>
      <c r="I12" s="55">
        <f t="array" ref="I12">G12+F12</f>
        <v/>
      </c>
      <c r="J12" s="57" t="n"/>
      <c r="K12" s="57" t="n"/>
      <c r="L12" s="57" t="n"/>
    </row>
    <row r="13" ht="20.1" customHeight="1" s="206">
      <c r="A13" s="2" t="inlineStr">
        <is>
          <t>c1ax</t>
        </is>
      </c>
      <c r="B13" s="23" t="inlineStr">
        <is>
          <t>Åland Islands</t>
        </is>
      </c>
      <c r="C13" s="19" t="inlineStr">
        <is>
          <t>AX</t>
        </is>
      </c>
      <c r="D13" s="57" t="n"/>
      <c r="E13" s="57" t="n"/>
      <c r="F13" s="89" t="n"/>
      <c r="G13" s="89" t="n"/>
      <c r="H13" s="57" t="n"/>
      <c r="I13" s="55">
        <f t="array" ref="I13">G13+F13</f>
        <v/>
      </c>
      <c r="J13" s="57" t="n"/>
      <c r="K13" s="57" t="n"/>
      <c r="L13" s="57" t="n"/>
    </row>
    <row r="14" ht="20.1" customHeight="1" s="206">
      <c r="A14" s="2" t="inlineStr">
        <is>
          <t>c1ba</t>
        </is>
      </c>
      <c r="B14" s="23" t="inlineStr">
        <is>
          <t>Bosnia and Herzegovina</t>
        </is>
      </c>
      <c r="C14" s="19" t="inlineStr">
        <is>
          <t>BA</t>
        </is>
      </c>
      <c r="D14" s="57" t="n"/>
      <c r="E14" s="57" t="n"/>
      <c r="F14" s="89" t="n">
        <v>91054</v>
      </c>
      <c r="G14" s="89" t="n">
        <v>88707</v>
      </c>
      <c r="H14" s="57" t="n"/>
      <c r="I14" s="55">
        <f t="array" ref="I14">G14+F14</f>
        <v/>
      </c>
      <c r="J14" s="57" t="n"/>
      <c r="K14" s="57" t="n"/>
      <c r="L14" s="57" t="n"/>
    </row>
    <row r="15" ht="20.1" customHeight="1" s="206">
      <c r="A15" s="2" t="inlineStr">
        <is>
          <t>c1be</t>
        </is>
      </c>
      <c r="B15" s="23" t="inlineStr">
        <is>
          <t>Belgium</t>
        </is>
      </c>
      <c r="C15" s="19" t="inlineStr">
        <is>
          <t>BE</t>
        </is>
      </c>
      <c r="D15" s="57" t="n"/>
      <c r="E15" s="57" t="n"/>
      <c r="F15" s="89" t="n">
        <v>1694</v>
      </c>
      <c r="G15" s="89" t="n">
        <v>1767</v>
      </c>
      <c r="H15" s="57" t="n"/>
      <c r="I15" s="55">
        <f t="array" ref="I15">G15+F15</f>
        <v/>
      </c>
      <c r="J15" s="57" t="n"/>
      <c r="K15" s="57" t="n"/>
      <c r="L15" s="57" t="n"/>
    </row>
    <row r="16" ht="20.1" customHeight="1" s="206">
      <c r="A16" s="2" t="inlineStr">
        <is>
          <t>c1bg</t>
        </is>
      </c>
      <c r="B16" s="23" t="inlineStr">
        <is>
          <t>Bulgaria</t>
        </is>
      </c>
      <c r="C16" s="19" t="inlineStr">
        <is>
          <t>BG</t>
        </is>
      </c>
      <c r="D16" s="57" t="n"/>
      <c r="E16" s="57" t="n"/>
      <c r="F16" s="89" t="n">
        <v>19104</v>
      </c>
      <c r="G16" s="89" t="n">
        <v>15914</v>
      </c>
      <c r="H16" s="57" t="n"/>
      <c r="I16" s="55">
        <f t="array" ref="I16">G16+F16</f>
        <v/>
      </c>
      <c r="J16" s="57" t="n"/>
      <c r="K16" s="57" t="n"/>
      <c r="L16" s="57" t="n"/>
    </row>
    <row r="17" ht="20.1" customHeight="1" s="206">
      <c r="A17" s="2" t="inlineStr">
        <is>
          <t>c1by</t>
        </is>
      </c>
      <c r="B17" s="23" t="inlineStr">
        <is>
          <t>Belarus</t>
        </is>
      </c>
      <c r="C17" s="19" t="inlineStr">
        <is>
          <t>BY</t>
        </is>
      </c>
      <c r="D17" s="57" t="n"/>
      <c r="E17" s="57" t="n"/>
      <c r="F17" s="89" t="n">
        <v>2231</v>
      </c>
      <c r="G17" s="89" t="n">
        <v>890</v>
      </c>
      <c r="H17" s="57" t="n"/>
      <c r="I17" s="55">
        <f t="array" ref="I17">G17+F17</f>
        <v/>
      </c>
      <c r="J17" s="57" t="n"/>
      <c r="K17" s="57" t="n"/>
      <c r="L17" s="57" t="n"/>
    </row>
    <row r="18" ht="20.1" customHeight="1" s="206">
      <c r="A18" s="2" t="inlineStr">
        <is>
          <t>c1ch</t>
        </is>
      </c>
      <c r="B18" s="23" t="inlineStr">
        <is>
          <t>Switzerland</t>
        </is>
      </c>
      <c r="C18" s="19" t="inlineStr">
        <is>
          <t>CH</t>
        </is>
      </c>
      <c r="D18" s="57" t="n"/>
      <c r="E18" s="57" t="n"/>
      <c r="F18" s="89" t="n">
        <v>8874</v>
      </c>
      <c r="G18" s="89" t="n">
        <v>7782</v>
      </c>
      <c r="H18" s="57" t="n"/>
      <c r="I18" s="55">
        <f t="array" ref="I18">G18+F18</f>
        <v/>
      </c>
      <c r="J18" s="57" t="n"/>
      <c r="K18" s="57" t="n"/>
      <c r="L18" s="57" t="n"/>
    </row>
    <row r="19" ht="20.1" customHeight="1" s="206">
      <c r="A19" s="2" t="inlineStr">
        <is>
          <t>c1cz</t>
        </is>
      </c>
      <c r="B19" s="23" t="inlineStr">
        <is>
          <t>Czechia[i]</t>
        </is>
      </c>
      <c r="C19" s="19" t="inlineStr">
        <is>
          <t>CZ</t>
        </is>
      </c>
      <c r="D19" s="57" t="n"/>
      <c r="E19" s="57" t="n"/>
      <c r="F19" s="89" t="n">
        <v>20464</v>
      </c>
      <c r="G19" s="89" t="n">
        <v>11916</v>
      </c>
      <c r="H19" s="57" t="n"/>
      <c r="I19" s="55">
        <f t="array" ref="I19">G19+F19</f>
        <v/>
      </c>
      <c r="J19" s="57" t="n"/>
      <c r="K19" s="57" t="n"/>
      <c r="L19" s="57" t="n"/>
    </row>
    <row r="20" ht="20.1" customHeight="1" s="206">
      <c r="A20" s="2" t="inlineStr">
        <is>
          <t>c1de</t>
        </is>
      </c>
      <c r="B20" s="23" t="inlineStr">
        <is>
          <t>Germany</t>
        </is>
      </c>
      <c r="C20" s="19" t="inlineStr">
        <is>
          <t>DE</t>
        </is>
      </c>
      <c r="D20" s="57" t="n"/>
      <c r="E20" s="57" t="n"/>
      <c r="F20" s="89" t="n">
        <v>140846</v>
      </c>
      <c r="G20" s="89" t="n">
        <v>129683</v>
      </c>
      <c r="H20" s="57" t="n"/>
      <c r="I20" s="55">
        <f t="array" ref="I20">G20+F20</f>
        <v/>
      </c>
      <c r="J20" s="57" t="n"/>
      <c r="K20" s="57" t="n"/>
      <c r="L20" s="57" t="n"/>
    </row>
    <row r="21" ht="20.1" customHeight="1" s="206">
      <c r="A21" s="2" t="inlineStr">
        <is>
          <t>c1dk</t>
        </is>
      </c>
      <c r="B21" s="23" t="inlineStr">
        <is>
          <t>Denmark</t>
        </is>
      </c>
      <c r="C21" s="19" t="inlineStr">
        <is>
          <t>DK</t>
        </is>
      </c>
      <c r="D21" s="57" t="n"/>
      <c r="E21" s="57" t="n"/>
      <c r="F21" s="89" t="n">
        <v>815</v>
      </c>
      <c r="G21" s="89" t="n">
        <v>724</v>
      </c>
      <c r="H21" s="57" t="n"/>
      <c r="I21" s="55">
        <f t="array" ref="I21">G21+F21</f>
        <v/>
      </c>
      <c r="J21" s="57" t="n"/>
      <c r="K21" s="57" t="n"/>
      <c r="L21" s="57" t="n"/>
    </row>
    <row r="22" ht="20.1" customHeight="1" s="206">
      <c r="A22" s="2" t="inlineStr">
        <is>
          <t>c1ee</t>
        </is>
      </c>
      <c r="B22" s="23" t="inlineStr">
        <is>
          <t>Estonia</t>
        </is>
      </c>
      <c r="C22" s="19" t="inlineStr">
        <is>
          <t>EE</t>
        </is>
      </c>
      <c r="D22" s="57" t="n"/>
      <c r="E22" s="57" t="n"/>
      <c r="F22" s="89" t="n">
        <v>482</v>
      </c>
      <c r="G22" s="89" t="n">
        <v>214</v>
      </c>
      <c r="H22" s="57" t="n"/>
      <c r="I22" s="55">
        <f t="array" ref="I22">G22+F22</f>
        <v/>
      </c>
      <c r="J22" s="57" t="n"/>
      <c r="K22" s="57" t="n"/>
      <c r="L22" s="57" t="n"/>
    </row>
    <row r="23" ht="20.1" customHeight="1" s="206">
      <c r="A23" s="2" t="inlineStr">
        <is>
          <t>c1es</t>
        </is>
      </c>
      <c r="B23" s="23" t="inlineStr">
        <is>
          <t>Spain</t>
        </is>
      </c>
      <c r="C23" s="19" t="inlineStr">
        <is>
          <t>ES</t>
        </is>
      </c>
      <c r="D23" s="57" t="n"/>
      <c r="E23" s="57" t="n"/>
      <c r="F23" s="89" t="n">
        <v>4896</v>
      </c>
      <c r="G23" s="89" t="n">
        <v>4905</v>
      </c>
      <c r="H23" s="57" t="n"/>
      <c r="I23" s="55">
        <f t="array" ref="I23">G23+F23</f>
        <v/>
      </c>
      <c r="J23" s="57" t="n"/>
      <c r="K23" s="57" t="n"/>
      <c r="L23" s="57" t="n"/>
    </row>
    <row r="24" ht="20.1" customHeight="1" s="206">
      <c r="A24" s="2" t="inlineStr">
        <is>
          <t>c1fi</t>
        </is>
      </c>
      <c r="B24" s="23" t="inlineStr">
        <is>
          <t>Finland</t>
        </is>
      </c>
      <c r="C24" s="19" t="inlineStr">
        <is>
          <t>FI</t>
        </is>
      </c>
      <c r="D24" s="57" t="n"/>
      <c r="E24" s="57" t="n"/>
      <c r="F24" s="89" t="n">
        <v>1291</v>
      </c>
      <c r="G24" s="89" t="n">
        <v>610</v>
      </c>
      <c r="H24" s="57" t="n"/>
      <c r="I24" s="55">
        <f t="array" ref="I24">G24+F24</f>
        <v/>
      </c>
      <c r="J24" s="57" t="n"/>
      <c r="K24" s="57" t="n"/>
      <c r="L24" s="57" t="n"/>
    </row>
    <row r="25" ht="20.1" customHeight="1" s="206">
      <c r="A25" s="2" t="inlineStr">
        <is>
          <t>c1fo</t>
        </is>
      </c>
      <c r="B25" s="23" t="inlineStr">
        <is>
          <t>Faroe Islands (the)</t>
        </is>
      </c>
      <c r="C25" s="19" t="inlineStr">
        <is>
          <t>FO</t>
        </is>
      </c>
      <c r="D25" s="57" t="n"/>
      <c r="E25" s="57" t="n"/>
      <c r="F25" s="89" t="n">
        <v>0</v>
      </c>
      <c r="G25" s="89" t="n">
        <v>1</v>
      </c>
      <c r="H25" s="57" t="n"/>
      <c r="I25" s="55">
        <f t="array" ref="I25">G25+F25</f>
        <v/>
      </c>
      <c r="J25" s="57" t="n"/>
      <c r="K25" s="57" t="n"/>
      <c r="L25" s="57" t="n"/>
    </row>
    <row r="26" ht="20.1" customHeight="1" s="206">
      <c r="A26" s="2" t="inlineStr">
        <is>
          <t>c1fr</t>
        </is>
      </c>
      <c r="B26" s="23" t="inlineStr">
        <is>
          <t>France</t>
        </is>
      </c>
      <c r="C26" s="19" t="inlineStr">
        <is>
          <t>FR</t>
        </is>
      </c>
      <c r="D26" s="57" t="n"/>
      <c r="E26" s="57" t="n"/>
      <c r="F26" s="89" t="n">
        <v>5411</v>
      </c>
      <c r="G26" s="89" t="n">
        <v>5034</v>
      </c>
      <c r="H26" s="57" t="n"/>
      <c r="I26" s="55">
        <f t="array" ref="I26">G26+F26</f>
        <v/>
      </c>
      <c r="J26" s="57" t="n"/>
      <c r="K26" s="57" t="n"/>
      <c r="L26" s="57" t="n"/>
    </row>
    <row r="27" ht="32.1" customHeight="1" s="206">
      <c r="A27" s="2" t="inlineStr">
        <is>
          <t>c1gb</t>
        </is>
      </c>
      <c r="B27" s="23" t="inlineStr">
        <is>
          <t>United Kingdom of Great Britain and Northern Ireland (the)</t>
        </is>
      </c>
      <c r="C27" s="19" t="inlineStr">
        <is>
          <t>GB</t>
        </is>
      </c>
      <c r="D27" s="57" t="n"/>
      <c r="E27" s="57" t="n"/>
      <c r="F27" s="89" t="n">
        <v>5852</v>
      </c>
      <c r="G27" s="89" t="n">
        <v>7454</v>
      </c>
      <c r="H27" s="57" t="n"/>
      <c r="I27" s="55">
        <f t="array" ref="I27">G27+F27</f>
        <v/>
      </c>
      <c r="J27" s="57" t="n"/>
      <c r="K27" s="57" t="n"/>
      <c r="L27" s="57" t="n"/>
    </row>
    <row r="28" ht="20.1" customHeight="1" s="206">
      <c r="A28" s="2" t="inlineStr">
        <is>
          <t>c1gg</t>
        </is>
      </c>
      <c r="B28" s="23" t="inlineStr">
        <is>
          <t>Guernsey</t>
        </is>
      </c>
      <c r="C28" s="19" t="inlineStr">
        <is>
          <t>GG</t>
        </is>
      </c>
      <c r="D28" s="57" t="n"/>
      <c r="E28" s="57" t="n"/>
      <c r="F28" s="89" t="n"/>
      <c r="G28" s="89" t="n"/>
      <c r="H28" s="57" t="n"/>
      <c r="I28" s="55">
        <f t="array" ref="I28">G28+F28</f>
        <v/>
      </c>
      <c r="J28" s="57" t="n"/>
      <c r="K28" s="57" t="n"/>
      <c r="L28" s="57" t="n"/>
    </row>
    <row r="29" ht="20.1" customHeight="1" s="206">
      <c r="A29" s="2" t="inlineStr">
        <is>
          <t>c1gi</t>
        </is>
      </c>
      <c r="B29" s="23" t="inlineStr">
        <is>
          <t>Gibraltar</t>
        </is>
      </c>
      <c r="C29" s="19" t="inlineStr">
        <is>
          <t>GI</t>
        </is>
      </c>
      <c r="D29" s="57" t="n"/>
      <c r="E29" s="57" t="n"/>
      <c r="F29" s="89" t="n">
        <v>4</v>
      </c>
      <c r="G29" s="89" t="n">
        <v>6</v>
      </c>
      <c r="H29" s="57" t="n"/>
      <c r="I29" s="55">
        <f t="array" ref="I29">G29+F29</f>
        <v/>
      </c>
      <c r="J29" s="57" t="n"/>
      <c r="K29" s="57" t="n"/>
      <c r="L29" s="57" t="n"/>
    </row>
    <row r="30" ht="20.1" customHeight="1" s="206">
      <c r="A30" s="2" t="inlineStr">
        <is>
          <t>c1gr</t>
        </is>
      </c>
      <c r="B30" s="23" t="inlineStr">
        <is>
          <t>Greece</t>
        </is>
      </c>
      <c r="C30" s="19" t="inlineStr">
        <is>
          <t>GR</t>
        </is>
      </c>
      <c r="D30" s="57" t="n"/>
      <c r="E30" s="57" t="n"/>
      <c r="F30" s="89" t="n">
        <v>3592</v>
      </c>
      <c r="G30" s="89" t="n">
        <v>4750</v>
      </c>
      <c r="H30" s="57" t="n"/>
      <c r="I30" s="55">
        <f t="array" ref="I30">G30+F30</f>
        <v/>
      </c>
      <c r="J30" s="57" t="n"/>
      <c r="K30" s="57" t="n"/>
      <c r="L30" s="57" t="n"/>
    </row>
    <row r="31" ht="20.1" customHeight="1" s="206">
      <c r="A31" s="2" t="inlineStr">
        <is>
          <t>c1hr</t>
        </is>
      </c>
      <c r="B31" s="23" t="inlineStr">
        <is>
          <t>Croatia</t>
        </is>
      </c>
      <c r="C31" s="19" t="inlineStr">
        <is>
          <t>HR</t>
        </is>
      </c>
      <c r="D31" s="57" t="n"/>
      <c r="E31" s="57" t="n"/>
      <c r="F31" s="89" t="n">
        <v>30093</v>
      </c>
      <c r="G31" s="89" t="n">
        <v>29152</v>
      </c>
      <c r="H31" s="57" t="n"/>
      <c r="I31" s="55">
        <f t="array" ref="I31">G31+F31</f>
        <v/>
      </c>
      <c r="J31" s="57" t="n"/>
      <c r="K31" s="57" t="n"/>
      <c r="L31" s="57" t="n"/>
    </row>
    <row r="32" ht="20.1" customHeight="1" s="206">
      <c r="A32" s="2" t="inlineStr">
        <is>
          <t>c1hu</t>
        </is>
      </c>
      <c r="B32" s="23" t="inlineStr">
        <is>
          <t>Hungary</t>
        </is>
      </c>
      <c r="C32" s="19" t="inlineStr">
        <is>
          <t>HU</t>
        </is>
      </c>
      <c r="D32" s="57" t="n"/>
      <c r="E32" s="57" t="n"/>
      <c r="F32" s="89" t="n">
        <v>53021</v>
      </c>
      <c r="G32" s="89" t="n">
        <v>45314</v>
      </c>
      <c r="H32" s="57" t="n"/>
      <c r="I32" s="55">
        <f t="array" ref="I32">G32+F32</f>
        <v/>
      </c>
      <c r="J32" s="57" t="n"/>
      <c r="K32" s="57" t="n"/>
      <c r="L32" s="57" t="n"/>
    </row>
    <row r="33" ht="20.1" customHeight="1" s="206">
      <c r="A33" s="2" t="inlineStr">
        <is>
          <t>c1ie</t>
        </is>
      </c>
      <c r="B33" s="23" t="inlineStr">
        <is>
          <t>Ireland</t>
        </is>
      </c>
      <c r="C33" s="19" t="inlineStr">
        <is>
          <t>IE</t>
        </is>
      </c>
      <c r="D33" s="57" t="n"/>
      <c r="E33" s="57" t="n"/>
      <c r="F33" s="89" t="n">
        <v>748</v>
      </c>
      <c r="G33" s="89" t="n">
        <v>1024</v>
      </c>
      <c r="H33" s="57" t="n"/>
      <c r="I33" s="55">
        <f t="array" ref="I33">G33+F33</f>
        <v/>
      </c>
      <c r="J33" s="57" t="n"/>
      <c r="K33" s="57" t="n"/>
      <c r="L33" s="57" t="n"/>
    </row>
    <row r="34" ht="20.1" customHeight="1" s="206">
      <c r="A34" s="2" t="inlineStr">
        <is>
          <t>c1im</t>
        </is>
      </c>
      <c r="B34" s="23" t="inlineStr">
        <is>
          <t>Isle of Man</t>
        </is>
      </c>
      <c r="C34" s="19" t="inlineStr">
        <is>
          <t>IM</t>
        </is>
      </c>
      <c r="D34" s="57" t="n"/>
      <c r="E34" s="57" t="n"/>
      <c r="F34" s="89" t="n"/>
      <c r="G34" s="89" t="n"/>
      <c r="H34" s="57" t="n"/>
      <c r="I34" s="55">
        <f t="array" ref="I34">G34+F34</f>
        <v/>
      </c>
      <c r="J34" s="57" t="n"/>
      <c r="K34" s="57" t="n"/>
      <c r="L34" s="57" t="n"/>
    </row>
    <row r="35" ht="20.1" customHeight="1" s="206">
      <c r="A35" s="2" t="inlineStr">
        <is>
          <t>c1is</t>
        </is>
      </c>
      <c r="B35" s="23" t="inlineStr">
        <is>
          <t>Iceland</t>
        </is>
      </c>
      <c r="C35" s="19" t="inlineStr">
        <is>
          <t>IS</t>
        </is>
      </c>
      <c r="D35" s="57" t="n"/>
      <c r="E35" s="57" t="n"/>
      <c r="F35" s="89" t="n">
        <v>97</v>
      </c>
      <c r="G35" s="89" t="n">
        <v>115</v>
      </c>
      <c r="H35" s="57" t="n"/>
      <c r="I35" s="55">
        <f t="array" ref="I35">G35+F35</f>
        <v/>
      </c>
      <c r="J35" s="57" t="n"/>
      <c r="K35" s="57" t="n"/>
      <c r="L35" s="57" t="n"/>
    </row>
    <row r="36" ht="20.1" customHeight="1" s="206">
      <c r="A36" s="2" t="inlineStr">
        <is>
          <t>c1it</t>
        </is>
      </c>
      <c r="B36" s="23" t="inlineStr">
        <is>
          <t>Italy</t>
        </is>
      </c>
      <c r="C36" s="19" t="inlineStr">
        <is>
          <t>IT</t>
        </is>
      </c>
      <c r="D36" s="57" t="n"/>
      <c r="E36" s="57" t="n"/>
      <c r="F36" s="89" t="n">
        <v>17547</v>
      </c>
      <c r="G36" s="89" t="n">
        <v>21330</v>
      </c>
      <c r="H36" s="57" t="n"/>
      <c r="I36" s="55">
        <f t="array" ref="I36">G36+F36</f>
        <v/>
      </c>
      <c r="J36" s="57" t="n"/>
      <c r="K36" s="57" t="n"/>
      <c r="L36" s="57" t="n"/>
    </row>
    <row r="37" ht="20.1" customHeight="1" s="206">
      <c r="A37" s="2" t="inlineStr">
        <is>
          <t>c1je</t>
        </is>
      </c>
      <c r="B37" s="23" t="inlineStr">
        <is>
          <t>Jersey</t>
        </is>
      </c>
      <c r="C37" s="19" t="inlineStr">
        <is>
          <t>JE</t>
        </is>
      </c>
      <c r="D37" s="57" t="n"/>
      <c r="E37" s="57" t="n"/>
      <c r="F37" s="89" t="n"/>
      <c r="G37" s="89" t="n"/>
      <c r="H37" s="57" t="n"/>
      <c r="I37" s="55">
        <f t="array" ref="I37">G37+F37</f>
        <v/>
      </c>
      <c r="J37" s="57" t="n"/>
      <c r="K37" s="57" t="n"/>
      <c r="L37" s="57" t="n"/>
    </row>
    <row r="38" ht="20.1" customHeight="1" s="206">
      <c r="A38" s="2" t="inlineStr">
        <is>
          <t>c1li</t>
        </is>
      </c>
      <c r="B38" s="23" t="inlineStr">
        <is>
          <t>Liechtenstein</t>
        </is>
      </c>
      <c r="C38" s="19" t="inlineStr">
        <is>
          <t>LI</t>
        </is>
      </c>
      <c r="D38" s="57" t="n"/>
      <c r="E38" s="57" t="n"/>
      <c r="F38" s="89" t="n">
        <v>186</v>
      </c>
      <c r="G38" s="89" t="n">
        <v>142</v>
      </c>
      <c r="H38" s="57" t="n"/>
      <c r="I38" s="55">
        <f t="array" ref="I38">G38+F38</f>
        <v/>
      </c>
      <c r="J38" s="57" t="n"/>
      <c r="K38" s="57" t="n"/>
      <c r="L38" s="57" t="n"/>
    </row>
    <row r="39" ht="20.1" customHeight="1" s="206">
      <c r="A39" s="2" t="inlineStr">
        <is>
          <t>c1lt</t>
        </is>
      </c>
      <c r="B39" s="23" t="inlineStr">
        <is>
          <t>Lithuania</t>
        </is>
      </c>
      <c r="C39" s="19" t="inlineStr">
        <is>
          <t>LT</t>
        </is>
      </c>
      <c r="D39" s="57" t="n"/>
      <c r="E39" s="57" t="n"/>
      <c r="F39" s="89" t="n">
        <v>1189</v>
      </c>
      <c r="G39" s="89" t="n">
        <v>567</v>
      </c>
      <c r="H39" s="57" t="n"/>
      <c r="I39" s="55">
        <f t="array" ref="I39">G39+F39</f>
        <v/>
      </c>
      <c r="J39" s="57" t="n"/>
      <c r="K39" s="57" t="n"/>
      <c r="L39" s="57" t="n"/>
    </row>
    <row r="40" ht="20.1" customHeight="1" s="206">
      <c r="A40" s="2" t="inlineStr">
        <is>
          <t>c1lu</t>
        </is>
      </c>
      <c r="B40" s="23" t="inlineStr">
        <is>
          <t>Luxembourg</t>
        </is>
      </c>
      <c r="C40" s="19" t="inlineStr">
        <is>
          <t>LU</t>
        </is>
      </c>
      <c r="D40" s="57" t="n"/>
      <c r="E40" s="57" t="n"/>
      <c r="F40" s="89" t="n">
        <v>671</v>
      </c>
      <c r="G40" s="89" t="n">
        <v>828</v>
      </c>
      <c r="H40" s="57" t="n"/>
      <c r="I40" s="55">
        <f t="array" ref="I40">G40+F40</f>
        <v/>
      </c>
      <c r="J40" s="57" t="n"/>
      <c r="K40" s="57" t="n"/>
      <c r="L40" s="57" t="n"/>
    </row>
    <row r="41" ht="20.1" customHeight="1" s="206">
      <c r="A41" s="2" t="inlineStr">
        <is>
          <t>c1lv</t>
        </is>
      </c>
      <c r="B41" s="23" t="inlineStr">
        <is>
          <t>Latvia</t>
        </is>
      </c>
      <c r="C41" s="19" t="inlineStr">
        <is>
          <t>LV</t>
        </is>
      </c>
      <c r="D41" s="57" t="n"/>
      <c r="E41" s="57" t="n"/>
      <c r="F41" s="89" t="n">
        <v>1404</v>
      </c>
      <c r="G41" s="89" t="n">
        <v>796</v>
      </c>
      <c r="H41" s="57" t="n"/>
      <c r="I41" s="55">
        <f t="array" ref="I41">G41+F41</f>
        <v/>
      </c>
      <c r="J41" s="57" t="n"/>
      <c r="K41" s="57" t="n"/>
      <c r="L41" s="57" t="n"/>
    </row>
    <row r="42" ht="20.1" customHeight="1" s="206">
      <c r="A42" s="2" t="inlineStr">
        <is>
          <t>c1mc</t>
        </is>
      </c>
      <c r="B42" s="23" t="inlineStr">
        <is>
          <t>Monaco</t>
        </is>
      </c>
      <c r="C42" s="19" t="inlineStr">
        <is>
          <t>MC</t>
        </is>
      </c>
      <c r="D42" s="57" t="n"/>
      <c r="E42" s="57" t="n"/>
      <c r="F42" s="89" t="n">
        <v>12</v>
      </c>
      <c r="G42" s="89" t="n">
        <v>17</v>
      </c>
      <c r="H42" s="57" t="n"/>
      <c r="I42" s="55">
        <f t="array" ref="I42">G42+F42</f>
        <v/>
      </c>
      <c r="J42" s="57" t="n"/>
      <c r="K42" s="57" t="n"/>
      <c r="L42" s="57" t="n"/>
    </row>
    <row r="43" ht="20.1" customHeight="1" s="206">
      <c r="A43" s="2" t="inlineStr">
        <is>
          <t>c1md</t>
        </is>
      </c>
      <c r="B43" s="23" t="inlineStr">
        <is>
          <t>Moldova (the Republic of)</t>
        </is>
      </c>
      <c r="C43" s="19" t="inlineStr">
        <is>
          <t>MD</t>
        </is>
      </c>
      <c r="D43" s="57" t="n"/>
      <c r="E43" s="57" t="n"/>
      <c r="F43" s="89" t="n">
        <v>3125</v>
      </c>
      <c r="G43" s="89" t="n">
        <v>2177</v>
      </c>
      <c r="H43" s="57" t="n"/>
      <c r="I43" s="55">
        <f t="array" ref="I43">G43+F43</f>
        <v/>
      </c>
      <c r="J43" s="57" t="n"/>
      <c r="K43" s="57" t="n"/>
      <c r="L43" s="57" t="n"/>
    </row>
    <row r="44" ht="20.1" customHeight="1" s="206">
      <c r="A44" s="2" t="inlineStr">
        <is>
          <t>c1me</t>
        </is>
      </c>
      <c r="B44" s="23" t="inlineStr">
        <is>
          <t>Montenegro</t>
        </is>
      </c>
      <c r="C44" s="19" t="inlineStr">
        <is>
          <t>ME</t>
        </is>
      </c>
      <c r="D44" s="57" t="n"/>
      <c r="E44" s="57" t="n"/>
      <c r="F44" s="89" t="n">
        <v>1092</v>
      </c>
      <c r="G44" s="89" t="n">
        <v>1027</v>
      </c>
      <c r="H44" s="57" t="n"/>
      <c r="I44" s="55">
        <f t="array" ref="I44">G44+F44</f>
        <v/>
      </c>
      <c r="J44" s="57" t="n"/>
      <c r="K44" s="57" t="n"/>
      <c r="L44" s="57" t="n"/>
    </row>
    <row r="45" ht="20.1" customHeight="1" s="206">
      <c r="A45" s="2" t="inlineStr">
        <is>
          <t>c1mk</t>
        </is>
      </c>
      <c r="B45" s="23" t="inlineStr">
        <is>
          <t>North Macedonia</t>
        </is>
      </c>
      <c r="C45" s="19" t="inlineStr">
        <is>
          <t>MK</t>
        </is>
      </c>
      <c r="D45" s="57" t="n"/>
      <c r="E45" s="57" t="n"/>
      <c r="F45" s="89" t="n">
        <v>15419</v>
      </c>
      <c r="G45" s="89" t="n">
        <v>16520</v>
      </c>
      <c r="H45" s="57" t="n"/>
      <c r="I45" s="55">
        <f t="array" ref="I45">G45+F45</f>
        <v/>
      </c>
      <c r="J45" s="57" t="n"/>
      <c r="K45" s="57" t="n"/>
      <c r="L45" s="57" t="n"/>
    </row>
    <row r="46" ht="20.1" customHeight="1" s="206">
      <c r="A46" s="2" t="inlineStr">
        <is>
          <t>c1mt</t>
        </is>
      </c>
      <c r="B46" s="23" t="inlineStr">
        <is>
          <t>Malta</t>
        </is>
      </c>
      <c r="C46" s="19" t="inlineStr">
        <is>
          <t>MT</t>
        </is>
      </c>
      <c r="D46" s="57" t="n"/>
      <c r="E46" s="57" t="n"/>
      <c r="F46" s="89" t="n">
        <v>98</v>
      </c>
      <c r="G46" s="89" t="n">
        <v>105</v>
      </c>
      <c r="H46" s="57" t="n"/>
      <c r="I46" s="55">
        <f t="array" ref="I46">G46+F46</f>
        <v/>
      </c>
      <c r="J46" s="57" t="n"/>
      <c r="K46" s="57" t="n"/>
      <c r="L46" s="57" t="n"/>
    </row>
    <row r="47" ht="20.1" customHeight="1" s="206">
      <c r="A47" s="2" t="inlineStr">
        <is>
          <t>c1nl</t>
        </is>
      </c>
      <c r="B47" s="23" t="inlineStr">
        <is>
          <t>Netherlands (Kingdom of the)</t>
        </is>
      </c>
      <c r="C47" s="19" t="inlineStr">
        <is>
          <t>NL</t>
        </is>
      </c>
      <c r="D47" s="57" t="n"/>
      <c r="E47" s="57" t="n"/>
      <c r="F47" s="89" t="n">
        <v>5300</v>
      </c>
      <c r="G47" s="89" t="n">
        <v>5528</v>
      </c>
      <c r="H47" s="57" t="n"/>
      <c r="I47" s="55">
        <f t="array" ref="I47">G47+F47</f>
        <v/>
      </c>
      <c r="J47" s="57" t="n"/>
      <c r="K47" s="57" t="n"/>
      <c r="L47" s="57" t="n"/>
    </row>
    <row r="48" ht="20.1" customHeight="1" s="206">
      <c r="A48" s="2" t="inlineStr">
        <is>
          <t>c1no</t>
        </is>
      </c>
      <c r="B48" s="23" t="inlineStr">
        <is>
          <t>Norway</t>
        </is>
      </c>
      <c r="C48" s="19" t="inlineStr">
        <is>
          <t>NO</t>
        </is>
      </c>
      <c r="D48" s="57" t="n"/>
      <c r="E48" s="57" t="n"/>
      <c r="F48" s="89" t="n">
        <v>557</v>
      </c>
      <c r="G48" s="89" t="n">
        <v>467</v>
      </c>
      <c r="H48" s="57" t="n"/>
      <c r="I48" s="55">
        <f t="array" ref="I48">G48+F48</f>
        <v/>
      </c>
      <c r="J48" s="57" t="n"/>
      <c r="K48" s="57" t="n"/>
      <c r="L48" s="57" t="n"/>
    </row>
    <row r="49" ht="20.1" customHeight="1" s="206">
      <c r="A49" s="2" t="inlineStr">
        <is>
          <t>c1pl</t>
        </is>
      </c>
      <c r="B49" s="23" t="inlineStr">
        <is>
          <t>Poland</t>
        </is>
      </c>
      <c r="C49" s="19" t="inlineStr">
        <is>
          <t>PL</t>
        </is>
      </c>
      <c r="D49" s="57" t="n"/>
      <c r="E49" s="57" t="n"/>
      <c r="F49" s="89" t="n">
        <v>39670</v>
      </c>
      <c r="G49" s="89" t="n">
        <v>36875</v>
      </c>
      <c r="H49" s="57" t="n"/>
      <c r="I49" s="55">
        <f t="array" ref="I49">G49+F49</f>
        <v/>
      </c>
      <c r="J49" s="57" t="n"/>
      <c r="K49" s="57" t="n"/>
      <c r="L49" s="57" t="n"/>
    </row>
    <row r="50" ht="20.1" customHeight="1" s="206">
      <c r="A50" s="2" t="inlineStr">
        <is>
          <t>c1pt</t>
        </is>
      </c>
      <c r="B50" s="23" t="inlineStr">
        <is>
          <t>Portugal</t>
        </is>
      </c>
      <c r="C50" s="19" t="inlineStr">
        <is>
          <t>PT</t>
        </is>
      </c>
      <c r="D50" s="57" t="n"/>
      <c r="E50" s="57" t="n"/>
      <c r="F50" s="89" t="n">
        <v>1608</v>
      </c>
      <c r="G50" s="89" t="n">
        <v>2127</v>
      </c>
      <c r="H50" s="57" t="n"/>
      <c r="I50" s="55">
        <f t="array" ref="I50">G50+F50</f>
        <v/>
      </c>
      <c r="J50" s="57" t="n"/>
      <c r="K50" s="57" t="n"/>
      <c r="L50" s="57" t="n"/>
    </row>
    <row r="51" ht="20.1" customHeight="1" s="206">
      <c r="A51" s="2" t="inlineStr">
        <is>
          <t>c1ro</t>
        </is>
      </c>
      <c r="B51" s="23" t="inlineStr">
        <is>
          <t>Romania</t>
        </is>
      </c>
      <c r="C51" s="19" t="inlineStr">
        <is>
          <t>RO</t>
        </is>
      </c>
      <c r="D51" s="57" t="n"/>
      <c r="E51" s="57" t="n"/>
      <c r="F51" s="89" t="n">
        <v>77063</v>
      </c>
      <c r="G51" s="89" t="n">
        <v>71539</v>
      </c>
      <c r="H51" s="57" t="n"/>
      <c r="I51" s="55">
        <f t="array" ref="I51">G51+F51</f>
        <v/>
      </c>
      <c r="J51" s="57" t="n"/>
      <c r="K51" s="57" t="n"/>
      <c r="L51" s="57" t="n"/>
    </row>
    <row r="52" ht="20.1" customHeight="1" s="206">
      <c r="A52" s="2" t="inlineStr">
        <is>
          <t>c1rs</t>
        </is>
      </c>
      <c r="B52" s="23" t="inlineStr">
        <is>
          <t>Serbia</t>
        </is>
      </c>
      <c r="C52" s="19" t="inlineStr">
        <is>
          <t>RS</t>
        </is>
      </c>
      <c r="D52" s="57" t="n"/>
      <c r="E52" s="57" t="n"/>
      <c r="F52" s="89" t="n">
        <v>75750</v>
      </c>
      <c r="G52" s="89" t="n">
        <v>68762</v>
      </c>
      <c r="H52" s="57" t="n"/>
      <c r="I52" s="55">
        <f t="array" ref="I52">G52+F52</f>
        <v/>
      </c>
      <c r="J52" s="57" t="n"/>
      <c r="K52" s="57" t="n"/>
      <c r="L52" s="57" t="n"/>
    </row>
    <row r="53" ht="20.1" customHeight="1" s="206">
      <c r="A53" s="2" t="inlineStr">
        <is>
          <t>c1ru</t>
        </is>
      </c>
      <c r="B53" s="23" t="inlineStr">
        <is>
          <t>Russian Federation (the)</t>
        </is>
      </c>
      <c r="C53" s="19" t="inlineStr">
        <is>
          <t>RU</t>
        </is>
      </c>
      <c r="D53" s="57" t="n"/>
      <c r="E53" s="57" t="n"/>
      <c r="F53" s="89" t="n">
        <v>26679</v>
      </c>
      <c r="G53" s="89" t="n">
        <v>17205</v>
      </c>
      <c r="H53" s="57" t="n"/>
      <c r="I53" s="55">
        <f t="array" ref="I53">G53+F53</f>
        <v/>
      </c>
      <c r="J53" s="57" t="n"/>
      <c r="K53" s="57" t="n"/>
      <c r="L53" s="57" t="n"/>
    </row>
    <row r="54" ht="20.1" customHeight="1" s="206">
      <c r="A54" s="2" t="inlineStr">
        <is>
          <t>c1se</t>
        </is>
      </c>
      <c r="B54" s="23" t="inlineStr">
        <is>
          <t>Sweden</t>
        </is>
      </c>
      <c r="C54" s="19" t="inlineStr">
        <is>
          <t>SE</t>
        </is>
      </c>
      <c r="D54" s="57" t="n"/>
      <c r="E54" s="57" t="n"/>
      <c r="F54" s="89" t="n">
        <v>1926</v>
      </c>
      <c r="G54" s="89" t="n">
        <v>1543</v>
      </c>
      <c r="H54" s="57" t="n"/>
      <c r="I54" s="55">
        <f t="array" ref="I54">G54+F54</f>
        <v/>
      </c>
      <c r="J54" s="57" t="n"/>
      <c r="K54" s="57" t="n"/>
      <c r="L54" s="57" t="n"/>
    </row>
    <row r="55" ht="20.1" customHeight="1" s="206">
      <c r="A55" s="2" t="inlineStr">
        <is>
          <t>c1si</t>
        </is>
      </c>
      <c r="B55" s="23" t="inlineStr">
        <is>
          <t>Slovenia</t>
        </is>
      </c>
      <c r="C55" s="19" t="inlineStr">
        <is>
          <t>SI</t>
        </is>
      </c>
      <c r="D55" s="57" t="n"/>
      <c r="E55" s="57" t="n"/>
      <c r="F55" s="89" t="n">
        <v>13072</v>
      </c>
      <c r="G55" s="89" t="n">
        <v>11267</v>
      </c>
      <c r="H55" s="57" t="n"/>
      <c r="I55" s="55">
        <f t="array" ref="I55">G55+F55</f>
        <v/>
      </c>
      <c r="J55" s="57" t="n"/>
      <c r="K55" s="57" t="n"/>
      <c r="L55" s="57" t="n"/>
    </row>
    <row r="56" ht="20.1" customHeight="1" s="206">
      <c r="A56" s="2" t="inlineStr">
        <is>
          <t>c1sj</t>
        </is>
      </c>
      <c r="B56" s="23" t="inlineStr">
        <is>
          <t>Norway</t>
        </is>
      </c>
      <c r="C56" s="19" t="inlineStr">
        <is>
          <t>SJ</t>
        </is>
      </c>
      <c r="D56" s="57" t="n"/>
      <c r="E56" s="57" t="n"/>
      <c r="F56" s="89" t="n"/>
      <c r="G56" s="89" t="n"/>
      <c r="H56" s="57" t="n"/>
      <c r="I56" s="55">
        <f t="array" ref="I56">G56+F56</f>
        <v/>
      </c>
      <c r="J56" s="57" t="n"/>
      <c r="K56" s="57" t="n"/>
      <c r="L56" s="57" t="n"/>
    </row>
    <row r="57" ht="20.1" customHeight="1" s="206">
      <c r="A57" s="2" t="inlineStr">
        <is>
          <t>c1sk</t>
        </is>
      </c>
      <c r="B57" s="23" t="inlineStr">
        <is>
          <t>Slovakia</t>
        </is>
      </c>
      <c r="C57" s="19" t="inlineStr">
        <is>
          <t>SK</t>
        </is>
      </c>
      <c r="D57" s="57" t="n"/>
      <c r="E57" s="57" t="n"/>
      <c r="F57" s="89" t="n">
        <v>29939</v>
      </c>
      <c r="G57" s="89" t="n">
        <v>18304</v>
      </c>
      <c r="H57" s="57" t="n"/>
      <c r="I57" s="55">
        <f t="array" ref="I57">G57+F57</f>
        <v/>
      </c>
      <c r="J57" s="57" t="n"/>
      <c r="K57" s="57" t="n"/>
      <c r="L57" s="57" t="n"/>
    </row>
    <row r="58" ht="20.1" customHeight="1" s="206">
      <c r="A58" s="2" t="inlineStr">
        <is>
          <t>c1sm</t>
        </is>
      </c>
      <c r="B58" s="23" t="inlineStr">
        <is>
          <t>San Marino</t>
        </is>
      </c>
      <c r="C58" s="19" t="inlineStr">
        <is>
          <t>SM</t>
        </is>
      </c>
      <c r="D58" s="57" t="n"/>
      <c r="E58" s="57" t="n"/>
      <c r="F58" s="89" t="n">
        <v>1</v>
      </c>
      <c r="G58" s="89" t="n">
        <v>2</v>
      </c>
      <c r="H58" s="57" t="n"/>
      <c r="I58" s="55">
        <f t="array" ref="I58">G58+F58</f>
        <v/>
      </c>
      <c r="J58" s="57" t="n"/>
      <c r="K58" s="57" t="n"/>
      <c r="L58" s="57" t="n"/>
    </row>
    <row r="59" ht="20.1" customHeight="1" s="206">
      <c r="A59" s="2" t="inlineStr">
        <is>
          <t>c1ua</t>
        </is>
      </c>
      <c r="B59" s="23" t="inlineStr">
        <is>
          <t>Ukraine[ad]</t>
        </is>
      </c>
      <c r="C59" s="19" t="inlineStr">
        <is>
          <t>UA</t>
        </is>
      </c>
      <c r="D59" s="57" t="n"/>
      <c r="E59" s="57" t="n"/>
      <c r="F59" s="89" t="n">
        <v>55985</v>
      </c>
      <c r="G59" s="89" t="n">
        <v>32697</v>
      </c>
      <c r="H59" s="57" t="n"/>
      <c r="I59" s="55">
        <f t="array" ref="I59">G59+F59</f>
        <v/>
      </c>
      <c r="J59" s="57" t="n"/>
      <c r="K59" s="57" t="n"/>
      <c r="L59" s="57" t="n"/>
    </row>
    <row r="60" ht="20.1" customHeight="1" s="206">
      <c r="A60" s="2" t="inlineStr">
        <is>
          <t>c1va</t>
        </is>
      </c>
      <c r="B60" s="23" t="inlineStr">
        <is>
          <t>Vatican</t>
        </is>
      </c>
      <c r="C60" s="19" t="inlineStr">
        <is>
          <t>VA</t>
        </is>
      </c>
      <c r="D60" s="57" t="n"/>
      <c r="E60" s="57" t="n"/>
      <c r="F60" s="89" t="n"/>
      <c r="G60" s="89" t="n"/>
      <c r="H60" s="57" t="n"/>
      <c r="I60" s="55">
        <f t="array" ref="I60">G60+F60</f>
        <v/>
      </c>
      <c r="J60" s="57" t="n"/>
      <c r="K60" s="57" t="n"/>
      <c r="L60" s="57" t="n"/>
    </row>
    <row r="61" ht="20.1" customHeight="1" s="206">
      <c r="A61" s="2" t="inlineStr">
        <is>
          <t>c1xk</t>
        </is>
      </c>
      <c r="B61" s="23" t="inlineStr">
        <is>
          <t>Kosovo</t>
        </is>
      </c>
      <c r="C61" s="19" t="inlineStr">
        <is>
          <t>XK</t>
        </is>
      </c>
      <c r="D61" s="57" t="n"/>
      <c r="E61" s="57" t="n"/>
      <c r="F61" s="89" t="n">
        <v>17211</v>
      </c>
      <c r="G61" s="89" t="n">
        <v>19042</v>
      </c>
      <c r="H61" s="57" t="n"/>
      <c r="I61" s="55">
        <f t="array" ref="I61">G61+F61</f>
        <v/>
      </c>
      <c r="J61" s="57" t="n"/>
      <c r="K61" s="57" t="n"/>
      <c r="L61" s="57" t="n"/>
    </row>
    <row r="62" ht="20.1" customHeight="1" s="206">
      <c r="A62" s="2" t="inlineStr">
        <is>
          <t>c1</t>
        </is>
      </c>
      <c r="B62" s="138" t="inlineStr">
        <is>
          <t>Europe</t>
        </is>
      </c>
      <c r="C62" s="52" t="n"/>
      <c r="D62" s="57" t="n"/>
      <c r="E62" s="57" t="n"/>
      <c r="F62" s="55" t="n">
        <v>2640000</v>
      </c>
      <c r="G62" s="55" t="n">
        <v>2640000</v>
      </c>
      <c r="H62" s="57" t="n"/>
      <c r="I62" s="55">
        <f t="array" ref="I62">SUM(I10:I61)</f>
        <v/>
      </c>
      <c r="J62" s="57" t="n"/>
      <c r="K62" s="57" t="n"/>
      <c r="L62" s="57" t="n"/>
    </row>
    <row r="63" ht="20.1" customHeight="1" s="206">
      <c r="A63" s="1" t="n"/>
      <c r="B63" s="18" t="n"/>
      <c r="C63" s="13" t="n"/>
      <c r="D63" s="57" t="n"/>
      <c r="E63" s="57" t="n"/>
      <c r="F63" s="57" t="n"/>
      <c r="G63" s="57" t="n"/>
      <c r="H63" s="57" t="n"/>
      <c r="I63" s="57" t="n"/>
      <c r="J63" s="57" t="n"/>
      <c r="K63" s="57" t="n"/>
      <c r="L63" s="57" t="n"/>
    </row>
    <row r="64" ht="20.1" customHeight="1" s="206">
      <c r="A64" s="1" t="n"/>
      <c r="B64" s="23" t="inlineStr">
        <is>
          <t>North America</t>
        </is>
      </c>
      <c r="C64" s="13" t="n"/>
      <c r="D64" s="57" t="n"/>
      <c r="E64" s="57" t="n"/>
      <c r="F64" s="57" t="n"/>
      <c r="G64" s="57" t="n"/>
      <c r="H64" s="57" t="n"/>
      <c r="I64" s="57" t="n"/>
      <c r="J64" s="57" t="n"/>
      <c r="K64" s="57" t="n"/>
      <c r="L64" s="57" t="n"/>
    </row>
    <row r="65" ht="20.1" customHeight="1" s="206">
      <c r="A65" s="2" t="inlineStr">
        <is>
          <t>c2ag</t>
        </is>
      </c>
      <c r="B65" s="23" t="inlineStr">
        <is>
          <t>Antigua and Barbuda</t>
        </is>
      </c>
      <c r="C65" s="19" t="inlineStr">
        <is>
          <t>AG</t>
        </is>
      </c>
      <c r="D65" s="57" t="n"/>
      <c r="E65" s="57" t="n"/>
      <c r="F65" s="89" t="n">
        <v>8</v>
      </c>
      <c r="G65" s="89" t="n">
        <v>1</v>
      </c>
      <c r="H65" s="57" t="n"/>
      <c r="I65" s="55">
        <f t="array" ref="I65">G65+F65</f>
        <v/>
      </c>
      <c r="J65" s="57" t="n"/>
      <c r="K65" s="57" t="n"/>
      <c r="L65" s="57" t="n"/>
    </row>
    <row r="66" ht="20.1" customHeight="1" s="206">
      <c r="A66" s="2" t="inlineStr">
        <is>
          <t>c2ai</t>
        </is>
      </c>
      <c r="B66" s="23" t="inlineStr">
        <is>
          <t>Anguilla</t>
        </is>
      </c>
      <c r="C66" s="19" t="inlineStr">
        <is>
          <t>AI</t>
        </is>
      </c>
      <c r="D66" s="57" t="n"/>
      <c r="E66" s="57" t="n"/>
      <c r="F66" s="89" t="n"/>
      <c r="G66" s="89" t="n"/>
      <c r="H66" s="57" t="n"/>
      <c r="I66" s="55">
        <f t="array" ref="I66">G66+F66</f>
        <v/>
      </c>
      <c r="J66" s="57" t="n"/>
      <c r="K66" s="57" t="n"/>
      <c r="L66" s="57" t="n"/>
    </row>
    <row r="67" ht="20.1" customHeight="1" s="206">
      <c r="A67" s="2" t="inlineStr">
        <is>
          <t>c2aw</t>
        </is>
      </c>
      <c r="B67" s="23" t="inlineStr">
        <is>
          <t>Aruba</t>
        </is>
      </c>
      <c r="C67" s="19" t="inlineStr">
        <is>
          <t>AW</t>
        </is>
      </c>
      <c r="D67" s="57" t="n"/>
      <c r="E67" s="57" t="n"/>
      <c r="F67" s="89" t="n">
        <v>0</v>
      </c>
      <c r="G67" s="89" t="n">
        <v>4</v>
      </c>
      <c r="H67" s="57" t="n"/>
      <c r="I67" s="55">
        <f t="array" ref="I67">G67+F67</f>
        <v/>
      </c>
      <c r="J67" s="57" t="n"/>
      <c r="K67" s="57" t="n"/>
      <c r="L67" s="57" t="n"/>
    </row>
    <row r="68" ht="20.1" customHeight="1" s="206">
      <c r="A68" s="2" t="inlineStr">
        <is>
          <t>c2bb</t>
        </is>
      </c>
      <c r="B68" s="23" t="inlineStr">
        <is>
          <t>Barbados</t>
        </is>
      </c>
      <c r="C68" s="19" t="inlineStr">
        <is>
          <t>BB</t>
        </is>
      </c>
      <c r="D68" s="57" t="n"/>
      <c r="E68" s="57" t="n"/>
      <c r="F68" s="89" t="n">
        <v>13</v>
      </c>
      <c r="G68" s="89" t="n">
        <v>20</v>
      </c>
      <c r="H68" s="57" t="n"/>
      <c r="I68" s="55">
        <f t="array" ref="I68">G68+F68</f>
        <v/>
      </c>
      <c r="J68" s="57" t="n"/>
      <c r="K68" s="57" t="n"/>
      <c r="L68" s="57" t="n"/>
    </row>
    <row r="69" ht="20.1" customHeight="1" s="206">
      <c r="A69" s="2" t="inlineStr">
        <is>
          <t>c2bl</t>
        </is>
      </c>
      <c r="B69" s="23" t="inlineStr">
        <is>
          <t>Saint Barthélemy</t>
        </is>
      </c>
      <c r="C69" s="19" t="inlineStr">
        <is>
          <t>BL</t>
        </is>
      </c>
      <c r="D69" s="57" t="n"/>
      <c r="E69" s="57" t="n"/>
      <c r="F69" s="89" t="n"/>
      <c r="G69" s="89" t="n"/>
      <c r="H69" s="57" t="n"/>
      <c r="I69" s="55">
        <f t="array" ref="I69">G69+F69</f>
        <v/>
      </c>
      <c r="J69" s="57" t="n"/>
      <c r="K69" s="57" t="n"/>
      <c r="L69" s="57" t="n"/>
    </row>
    <row r="70" ht="20.1" customHeight="1" s="206">
      <c r="A70" s="2" t="inlineStr">
        <is>
          <t>c2bm</t>
        </is>
      </c>
      <c r="B70" s="23" t="inlineStr">
        <is>
          <t>Bermuda</t>
        </is>
      </c>
      <c r="C70" s="19" t="inlineStr">
        <is>
          <t>BM</t>
        </is>
      </c>
      <c r="D70" s="57" t="n"/>
      <c r="E70" s="57" t="n"/>
      <c r="F70" s="89" t="n">
        <v>5</v>
      </c>
      <c r="G70" s="89" t="n">
        <v>6</v>
      </c>
      <c r="H70" s="57" t="n"/>
      <c r="I70" s="55">
        <f t="array" ref="I70">G70+F70</f>
        <v/>
      </c>
      <c r="J70" s="57" t="n"/>
      <c r="K70" s="57" t="n"/>
      <c r="L70" s="57" t="n"/>
    </row>
    <row r="71" ht="20.1" customHeight="1" s="206">
      <c r="A71" s="2" t="inlineStr">
        <is>
          <t>c2bq</t>
        </is>
      </c>
      <c r="B71" s="23" t="inlineStr">
        <is>
          <t>Bonaire, Sint Eustatius, Saba</t>
        </is>
      </c>
      <c r="C71" s="19" t="inlineStr">
        <is>
          <t>BQ</t>
        </is>
      </c>
      <c r="D71" s="57" t="n"/>
      <c r="E71" s="57" t="n"/>
      <c r="F71" s="89" t="n"/>
      <c r="G71" s="89" t="n"/>
      <c r="H71" s="57" t="n"/>
      <c r="I71" s="55">
        <f t="array" ref="I71">G71+F71</f>
        <v/>
      </c>
      <c r="J71" s="57" t="n"/>
      <c r="K71" s="57" t="n"/>
      <c r="L71" s="57" t="n"/>
    </row>
    <row r="72" ht="20.1" customHeight="1" s="206">
      <c r="A72" s="2" t="inlineStr">
        <is>
          <t>c2bs</t>
        </is>
      </c>
      <c r="B72" s="23" t="inlineStr">
        <is>
          <t>Bahamas (the)</t>
        </is>
      </c>
      <c r="C72" s="19" t="inlineStr">
        <is>
          <t>BS</t>
        </is>
      </c>
      <c r="D72" s="57" t="n"/>
      <c r="E72" s="57" t="n"/>
      <c r="F72" s="89" t="n">
        <v>8</v>
      </c>
      <c r="G72" s="89" t="n">
        <v>16</v>
      </c>
      <c r="H72" s="57" t="n"/>
      <c r="I72" s="55">
        <f t="array" ref="I72">G72+F72</f>
        <v/>
      </c>
      <c r="J72" s="57" t="n"/>
      <c r="K72" s="57" t="n"/>
      <c r="L72" s="57" t="n"/>
    </row>
    <row r="73" ht="20.1" customHeight="1" s="206">
      <c r="A73" s="2" t="inlineStr">
        <is>
          <t>c2bz</t>
        </is>
      </c>
      <c r="B73" s="23" t="inlineStr">
        <is>
          <t>Belize</t>
        </is>
      </c>
      <c r="C73" s="19" t="inlineStr">
        <is>
          <t>BZ</t>
        </is>
      </c>
      <c r="D73" s="57" t="n"/>
      <c r="E73" s="57" t="n"/>
      <c r="F73" s="89" t="n">
        <v>9</v>
      </c>
      <c r="G73" s="89" t="n">
        <v>4</v>
      </c>
      <c r="H73" s="57" t="n"/>
      <c r="I73" s="55">
        <f t="array" ref="I73">G73+F73</f>
        <v/>
      </c>
      <c r="J73" s="57" t="n"/>
      <c r="K73" s="57" t="n"/>
      <c r="L73" s="57" t="n"/>
    </row>
    <row r="74" ht="20.1" customHeight="1" s="206">
      <c r="A74" s="2" t="inlineStr">
        <is>
          <t>c2ca</t>
        </is>
      </c>
      <c r="B74" s="23" t="inlineStr">
        <is>
          <t>Canada</t>
        </is>
      </c>
      <c r="C74" s="19" t="inlineStr">
        <is>
          <t>CA</t>
        </is>
      </c>
      <c r="D74" s="57" t="n"/>
      <c r="E74" s="57" t="n"/>
      <c r="F74" s="89" t="n">
        <v>1483</v>
      </c>
      <c r="G74" s="89" t="n">
        <v>1496</v>
      </c>
      <c r="H74" s="57" t="n"/>
      <c r="I74" s="55">
        <f t="array" ref="I74">G74+F74</f>
        <v/>
      </c>
      <c r="J74" s="57" t="n"/>
      <c r="K74" s="57" t="n"/>
      <c r="L74" s="57" t="n"/>
    </row>
    <row r="75" ht="20.1" customHeight="1" s="206">
      <c r="A75" s="2" t="inlineStr">
        <is>
          <t>c2cr</t>
        </is>
      </c>
      <c r="B75" s="23" t="inlineStr">
        <is>
          <t>Costa Rica</t>
        </is>
      </c>
      <c r="C75" s="19" t="inlineStr">
        <is>
          <t>CR</t>
        </is>
      </c>
      <c r="D75" s="57" t="n"/>
      <c r="E75" s="57" t="n"/>
      <c r="F75" s="89" t="n">
        <v>189</v>
      </c>
      <c r="G75" s="89" t="n">
        <v>143</v>
      </c>
      <c r="H75" s="57" t="n"/>
      <c r="I75" s="55">
        <f t="array" ref="I75">G75+F75</f>
        <v/>
      </c>
      <c r="J75" s="57" t="n"/>
      <c r="K75" s="57" t="n"/>
      <c r="L75" s="57" t="n"/>
    </row>
    <row r="76" ht="20.1" customHeight="1" s="206">
      <c r="A76" s="2" t="inlineStr">
        <is>
          <t>c2cu</t>
        </is>
      </c>
      <c r="B76" s="23" t="inlineStr">
        <is>
          <t>Cuba</t>
        </is>
      </c>
      <c r="C76" s="19" t="inlineStr">
        <is>
          <t>CU</t>
        </is>
      </c>
      <c r="D76" s="57" t="n"/>
      <c r="E76" s="57" t="n"/>
      <c r="F76" s="89" t="n">
        <v>761</v>
      </c>
      <c r="G76" s="89" t="n">
        <v>488</v>
      </c>
      <c r="H76" s="57" t="n"/>
      <c r="I76" s="55">
        <f t="array" ref="I76">G76+F76</f>
        <v/>
      </c>
      <c r="J76" s="57" t="n"/>
      <c r="K76" s="57" t="n"/>
      <c r="L76" s="57" t="n"/>
    </row>
    <row r="77" ht="20.1" customHeight="1" s="206">
      <c r="A77" s="2" t="inlineStr">
        <is>
          <t>c2cw</t>
        </is>
      </c>
      <c r="B77" s="23" t="inlineStr">
        <is>
          <t>Curaçao</t>
        </is>
      </c>
      <c r="C77" s="19" t="inlineStr">
        <is>
          <t>CW</t>
        </is>
      </c>
      <c r="D77" s="57" t="n"/>
      <c r="E77" s="57" t="n"/>
      <c r="F77" s="89" t="n"/>
      <c r="G77" s="89" t="n"/>
      <c r="H77" s="57" t="n"/>
      <c r="I77" s="55">
        <f t="array" ref="I77">G77+F77</f>
        <v/>
      </c>
      <c r="J77" s="57" t="n"/>
      <c r="K77" s="57" t="n"/>
      <c r="L77" s="57" t="n"/>
    </row>
    <row r="78" ht="20.1" customHeight="1" s="206">
      <c r="A78" s="2" t="inlineStr">
        <is>
          <t>c2dm</t>
        </is>
      </c>
      <c r="B78" s="23" t="inlineStr">
        <is>
          <t>Dominica</t>
        </is>
      </c>
      <c r="C78" s="19" t="inlineStr">
        <is>
          <t>DM</t>
        </is>
      </c>
      <c r="D78" s="57" t="n"/>
      <c r="E78" s="57" t="n"/>
      <c r="F78" s="89" t="n">
        <v>26</v>
      </c>
      <c r="G78" s="89" t="n">
        <v>20</v>
      </c>
      <c r="H78" s="57" t="n"/>
      <c r="I78" s="55">
        <f t="array" ref="I78">G78+F78</f>
        <v/>
      </c>
      <c r="J78" s="57" t="n"/>
      <c r="K78" s="57" t="n"/>
      <c r="L78" s="57" t="n"/>
    </row>
    <row r="79" ht="20.1" customHeight="1" s="206">
      <c r="A79" s="2" t="inlineStr">
        <is>
          <t>c2do</t>
        </is>
      </c>
      <c r="B79" s="23" t="inlineStr">
        <is>
          <t>Dominican Republic (the)</t>
        </is>
      </c>
      <c r="C79" s="19" t="inlineStr">
        <is>
          <t>DO</t>
        </is>
      </c>
      <c r="D79" s="57" t="n"/>
      <c r="E79" s="57" t="n"/>
      <c r="F79" s="89" t="n">
        <v>2228</v>
      </c>
      <c r="G79" s="89" t="n">
        <v>1105</v>
      </c>
      <c r="H79" s="57" t="n"/>
      <c r="I79" s="55">
        <f t="array" ref="I79">G79+F79</f>
        <v/>
      </c>
      <c r="J79" s="57" t="n"/>
      <c r="K79" s="57" t="n"/>
      <c r="L79" s="57" t="n"/>
    </row>
    <row r="80" ht="20.1" customHeight="1" s="206">
      <c r="A80" s="2" t="inlineStr">
        <is>
          <t>c2gd</t>
        </is>
      </c>
      <c r="B80" s="23" t="inlineStr">
        <is>
          <t>Grenada</t>
        </is>
      </c>
      <c r="C80" s="19" t="inlineStr">
        <is>
          <t>GD</t>
        </is>
      </c>
      <c r="D80" s="57" t="n"/>
      <c r="E80" s="57" t="n"/>
      <c r="F80" s="89" t="n">
        <v>14</v>
      </c>
      <c r="G80" s="89" t="n">
        <v>7</v>
      </c>
      <c r="H80" s="57" t="n"/>
      <c r="I80" s="55">
        <f t="array" ref="I80">G80+F80</f>
        <v/>
      </c>
      <c r="J80" s="57" t="n"/>
      <c r="K80" s="57" t="n"/>
      <c r="L80" s="57" t="n"/>
    </row>
    <row r="81" ht="20.1" customHeight="1" s="206">
      <c r="A81" s="2" t="inlineStr">
        <is>
          <t>c2gl</t>
        </is>
      </c>
      <c r="B81" s="23" t="inlineStr">
        <is>
          <t>Greenland</t>
        </is>
      </c>
      <c r="C81" s="19" t="inlineStr">
        <is>
          <t>GL</t>
        </is>
      </c>
      <c r="D81" s="57" t="n"/>
      <c r="E81" s="57" t="n"/>
      <c r="F81" s="89" t="n">
        <v>3</v>
      </c>
      <c r="G81" s="89" t="n">
        <v>2</v>
      </c>
      <c r="H81" s="57" t="n"/>
      <c r="I81" s="55">
        <f t="array" ref="I81">G81+F81</f>
        <v/>
      </c>
      <c r="J81" s="57" t="n"/>
      <c r="K81" s="57" t="n"/>
      <c r="L81" s="57" t="n"/>
    </row>
    <row r="82" ht="20.1" customHeight="1" s="206">
      <c r="A82" s="2" t="inlineStr">
        <is>
          <t>c2gp</t>
        </is>
      </c>
      <c r="B82" s="23" t="inlineStr">
        <is>
          <t>Guadeloupe</t>
        </is>
      </c>
      <c r="C82" s="19" t="inlineStr">
        <is>
          <t>GP</t>
        </is>
      </c>
      <c r="D82" s="57" t="n"/>
      <c r="E82" s="57" t="n"/>
      <c r="F82" s="89" t="n"/>
      <c r="G82" s="89" t="n"/>
      <c r="H82" s="57" t="n"/>
      <c r="I82" s="55">
        <f t="array" ref="I82">G82+F82</f>
        <v/>
      </c>
      <c r="J82" s="57" t="n"/>
      <c r="K82" s="57" t="n"/>
      <c r="L82" s="57" t="n"/>
    </row>
    <row r="83" ht="20.1" customHeight="1" s="206">
      <c r="A83" s="2" t="inlineStr">
        <is>
          <t>c2gt</t>
        </is>
      </c>
      <c r="B83" s="23" t="inlineStr">
        <is>
          <t>Guatemala</t>
        </is>
      </c>
      <c r="C83" s="19" t="inlineStr">
        <is>
          <t>GT</t>
        </is>
      </c>
      <c r="D83" s="57" t="n"/>
      <c r="E83" s="57" t="n"/>
      <c r="F83" s="89" t="n">
        <v>266</v>
      </c>
      <c r="G83" s="89" t="n">
        <v>270</v>
      </c>
      <c r="H83" s="57" t="n"/>
      <c r="I83" s="55">
        <f t="array" ref="I83">G83+F83</f>
        <v/>
      </c>
      <c r="J83" s="57" t="n"/>
      <c r="K83" s="57" t="n"/>
      <c r="L83" s="57" t="n"/>
    </row>
    <row r="84" ht="20.1" customHeight="1" s="206">
      <c r="A84" s="2" t="inlineStr">
        <is>
          <t>c2hn</t>
        </is>
      </c>
      <c r="B84" s="23" t="inlineStr">
        <is>
          <t>Honduras</t>
        </is>
      </c>
      <c r="C84" s="19" t="inlineStr">
        <is>
          <t>HN</t>
        </is>
      </c>
      <c r="D84" s="57" t="n"/>
      <c r="E84" s="57" t="n"/>
      <c r="F84" s="89" t="n">
        <v>104</v>
      </c>
      <c r="G84" s="89" t="n">
        <v>66</v>
      </c>
      <c r="H84" s="57" t="n"/>
      <c r="I84" s="55">
        <f t="array" ref="I84">G84+F84</f>
        <v/>
      </c>
      <c r="J84" s="57" t="n"/>
      <c r="K84" s="57" t="n"/>
      <c r="L84" s="57" t="n"/>
    </row>
    <row r="85" ht="20.1" customHeight="1" s="206">
      <c r="A85" s="2" t="inlineStr">
        <is>
          <t>c2ht</t>
        </is>
      </c>
      <c r="B85" s="23" t="inlineStr">
        <is>
          <t>Haiti</t>
        </is>
      </c>
      <c r="C85" s="19" t="inlineStr">
        <is>
          <t>HT</t>
        </is>
      </c>
      <c r="D85" s="57" t="n"/>
      <c r="E85" s="57" t="n"/>
      <c r="F85" s="89" t="n">
        <v>75</v>
      </c>
      <c r="G85" s="89" t="n">
        <v>55</v>
      </c>
      <c r="H85" s="57" t="n"/>
      <c r="I85" s="55">
        <f t="array" ref="I85">G85+F85</f>
        <v/>
      </c>
      <c r="J85" s="57" t="n"/>
      <c r="K85" s="57" t="n"/>
      <c r="L85" s="57" t="n"/>
    </row>
    <row r="86" ht="20.1" customHeight="1" s="206">
      <c r="A86" s="2" t="inlineStr">
        <is>
          <t>c2jm</t>
        </is>
      </c>
      <c r="B86" s="23" t="inlineStr">
        <is>
          <t>Jamaica</t>
        </is>
      </c>
      <c r="C86" s="19" t="inlineStr">
        <is>
          <t>JM</t>
        </is>
      </c>
      <c r="D86" s="57" t="n"/>
      <c r="E86" s="57" t="n"/>
      <c r="F86" s="89" t="n">
        <v>129</v>
      </c>
      <c r="G86" s="89" t="n">
        <v>98</v>
      </c>
      <c r="H86" s="57" t="n"/>
      <c r="I86" s="55">
        <f t="array" ref="I86">G86+F86</f>
        <v/>
      </c>
      <c r="J86" s="57" t="n"/>
      <c r="K86" s="57" t="n"/>
      <c r="L86" s="57" t="n"/>
    </row>
    <row r="87" ht="20.1" customHeight="1" s="206">
      <c r="A87" s="2" t="inlineStr">
        <is>
          <t>c2kn</t>
        </is>
      </c>
      <c r="B87" s="23" t="inlineStr">
        <is>
          <t>Saint Kitts and Nevis</t>
        </is>
      </c>
      <c r="C87" s="19" t="inlineStr">
        <is>
          <t>KN</t>
        </is>
      </c>
      <c r="D87" s="57" t="n"/>
      <c r="E87" s="57" t="n"/>
      <c r="F87" s="89" t="n">
        <v>0</v>
      </c>
      <c r="G87" s="89" t="n">
        <v>1</v>
      </c>
      <c r="H87" s="57" t="n"/>
      <c r="I87" s="55">
        <f t="array" ref="I87">G87+F87</f>
        <v/>
      </c>
      <c r="J87" s="57" t="n"/>
      <c r="K87" s="57" t="n"/>
      <c r="L87" s="57" t="n"/>
    </row>
    <row r="88" ht="20.1" customHeight="1" s="206">
      <c r="A88" s="2" t="inlineStr">
        <is>
          <t>c2ky</t>
        </is>
      </c>
      <c r="B88" s="23" t="inlineStr">
        <is>
          <t>Cayman Islands (the)</t>
        </is>
      </c>
      <c r="C88" s="19" t="inlineStr">
        <is>
          <t>KY</t>
        </is>
      </c>
      <c r="D88" s="57" t="n"/>
      <c r="E88" s="57" t="n"/>
      <c r="F88" s="89" t="n">
        <v>5</v>
      </c>
      <c r="G88" s="89" t="n">
        <v>6</v>
      </c>
      <c r="H88" s="57" t="n"/>
      <c r="I88" s="55">
        <f t="array" ref="I88">G88+F88</f>
        <v/>
      </c>
      <c r="J88" s="57" t="n"/>
      <c r="K88" s="57" t="n"/>
      <c r="L88" s="57" t="n"/>
    </row>
    <row r="89" ht="20.1" customHeight="1" s="206">
      <c r="A89" s="2" t="inlineStr">
        <is>
          <t>c2lc</t>
        </is>
      </c>
      <c r="B89" s="23" t="inlineStr">
        <is>
          <t>Saint Lucia</t>
        </is>
      </c>
      <c r="C89" s="19" t="inlineStr">
        <is>
          <t>LC</t>
        </is>
      </c>
      <c r="D89" s="57" t="n"/>
      <c r="E89" s="57" t="n"/>
      <c r="F89" s="89" t="n">
        <v>9</v>
      </c>
      <c r="G89" s="89" t="n">
        <v>11</v>
      </c>
      <c r="H89" s="57" t="n"/>
      <c r="I89" s="55">
        <f t="array" ref="I89">G89+F89</f>
        <v/>
      </c>
      <c r="J89" s="57" t="n"/>
      <c r="K89" s="57" t="n"/>
      <c r="L89" s="57" t="n"/>
    </row>
    <row r="90" ht="20.1" customHeight="1" s="206">
      <c r="A90" s="2" t="inlineStr">
        <is>
          <t>c2mf</t>
        </is>
      </c>
      <c r="B90" s="23" t="inlineStr">
        <is>
          <t>Saint Martin (French part)</t>
        </is>
      </c>
      <c r="C90" s="19" t="inlineStr">
        <is>
          <t>MF</t>
        </is>
      </c>
      <c r="D90" s="57" t="n"/>
      <c r="E90" s="57" t="n"/>
      <c r="F90" s="89" t="n"/>
      <c r="G90" s="89" t="n"/>
      <c r="H90" s="57" t="n"/>
      <c r="I90" s="55">
        <f t="array" ref="I90">G90+F90</f>
        <v/>
      </c>
      <c r="J90" s="57" t="n"/>
      <c r="K90" s="57" t="n"/>
      <c r="L90" s="57" t="n"/>
    </row>
    <row r="91" ht="20.1" customHeight="1" s="206">
      <c r="A91" s="2" t="inlineStr">
        <is>
          <t>c2mq</t>
        </is>
      </c>
      <c r="B91" s="23" t="inlineStr">
        <is>
          <t>Martinique</t>
        </is>
      </c>
      <c r="C91" s="19" t="inlineStr">
        <is>
          <t>MQ</t>
        </is>
      </c>
      <c r="D91" s="57" t="n"/>
      <c r="E91" s="57" t="n"/>
      <c r="F91" s="89" t="n"/>
      <c r="G91" s="89" t="n"/>
      <c r="H91" s="57" t="n"/>
      <c r="I91" s="55">
        <f t="array" ref="I91">G91+F91</f>
        <v/>
      </c>
      <c r="J91" s="57" t="n"/>
      <c r="K91" s="57" t="n"/>
      <c r="L91" s="57" t="n"/>
    </row>
    <row r="92" ht="20.1" customHeight="1" s="206">
      <c r="A92" s="2" t="inlineStr">
        <is>
          <t>c2ms</t>
        </is>
      </c>
      <c r="B92" s="23" t="inlineStr">
        <is>
          <t>Montserrat</t>
        </is>
      </c>
      <c r="C92" s="19" t="inlineStr">
        <is>
          <t>MS</t>
        </is>
      </c>
      <c r="D92" s="57" t="n"/>
      <c r="E92" s="57" t="n"/>
      <c r="F92" s="89" t="n"/>
      <c r="G92" s="89" t="n"/>
      <c r="H92" s="57" t="n"/>
      <c r="I92" s="55">
        <f t="array" ref="I92">G92+F92</f>
        <v/>
      </c>
      <c r="J92" s="57" t="n"/>
      <c r="K92" s="57" t="n"/>
      <c r="L92" s="57" t="n"/>
    </row>
    <row r="93" ht="20.1" customHeight="1" s="206">
      <c r="A93" s="2" t="inlineStr">
        <is>
          <t>c2mx</t>
        </is>
      </c>
      <c r="B93" s="23" t="inlineStr">
        <is>
          <t>Mexico</t>
        </is>
      </c>
      <c r="C93" s="19" t="inlineStr">
        <is>
          <t>MX</t>
        </is>
      </c>
      <c r="D93" s="57" t="n"/>
      <c r="E93" s="57" t="n"/>
      <c r="F93" s="89" t="n">
        <v>1905</v>
      </c>
      <c r="G93" s="89" t="n">
        <v>1342</v>
      </c>
      <c r="H93" s="57" t="n"/>
      <c r="I93" s="55">
        <f t="array" ref="I93">G93+F93</f>
        <v/>
      </c>
      <c r="J93" s="57" t="n"/>
      <c r="K93" s="57" t="n"/>
      <c r="L93" s="57" t="n"/>
    </row>
    <row r="94" ht="20.1" customHeight="1" s="206">
      <c r="A94" s="2" t="inlineStr">
        <is>
          <t>c2ni</t>
        </is>
      </c>
      <c r="B94" s="23" t="inlineStr">
        <is>
          <t>Nicaragua</t>
        </is>
      </c>
      <c r="C94" s="19" t="inlineStr">
        <is>
          <t>NI</t>
        </is>
      </c>
      <c r="D94" s="57" t="n"/>
      <c r="E94" s="57" t="n"/>
      <c r="F94" s="89" t="n">
        <v>190</v>
      </c>
      <c r="G94" s="89" t="n">
        <v>122</v>
      </c>
      <c r="H94" s="57" t="n"/>
      <c r="I94" s="55">
        <f t="array" ref="I94">G94+F94</f>
        <v/>
      </c>
      <c r="J94" s="57" t="n"/>
      <c r="K94" s="57" t="n"/>
      <c r="L94" s="57" t="n"/>
    </row>
    <row r="95" ht="20.1" customHeight="1" s="206">
      <c r="A95" s="2" t="inlineStr">
        <is>
          <t>c2pa</t>
        </is>
      </c>
      <c r="B95" s="23" t="inlineStr">
        <is>
          <t>Panama</t>
        </is>
      </c>
      <c r="C95" s="19" t="inlineStr">
        <is>
          <t>PA</t>
        </is>
      </c>
      <c r="D95" s="57" t="n"/>
      <c r="E95" s="57" t="n"/>
      <c r="F95" s="89" t="n">
        <v>56</v>
      </c>
      <c r="G95" s="89" t="n">
        <v>39</v>
      </c>
      <c r="H95" s="57" t="n"/>
      <c r="I95" s="55">
        <f t="array" ref="I95">G95+F95</f>
        <v/>
      </c>
      <c r="J95" s="57" t="n"/>
      <c r="K95" s="57" t="n"/>
      <c r="L95" s="57" t="n"/>
    </row>
    <row r="96" ht="20.1" customHeight="1" s="206">
      <c r="A96" s="2" t="inlineStr">
        <is>
          <t>c2pm</t>
        </is>
      </c>
      <c r="B96" s="23" t="inlineStr">
        <is>
          <t>Saint Pierre and Miquelon</t>
        </is>
      </c>
      <c r="C96" s="19" t="inlineStr">
        <is>
          <t>PM</t>
        </is>
      </c>
      <c r="D96" s="57" t="n"/>
      <c r="E96" s="57" t="n"/>
      <c r="F96" s="89" t="n">
        <v>1</v>
      </c>
      <c r="G96" s="89" t="n">
        <v>0</v>
      </c>
      <c r="H96" s="57" t="n"/>
      <c r="I96" s="55">
        <f t="array" ref="I96">G96+F96</f>
        <v/>
      </c>
      <c r="J96" s="57" t="n"/>
      <c r="K96" s="57" t="n"/>
      <c r="L96" s="57" t="n"/>
    </row>
    <row r="97" ht="20.1" customHeight="1" s="206">
      <c r="A97" s="2" t="inlineStr">
        <is>
          <t>c2pr</t>
        </is>
      </c>
      <c r="B97" s="23" t="inlineStr">
        <is>
          <t>Puerto Rico</t>
        </is>
      </c>
      <c r="C97" s="19" t="inlineStr">
        <is>
          <t>PR</t>
        </is>
      </c>
      <c r="D97" s="57" t="n"/>
      <c r="E97" s="57" t="n"/>
      <c r="F97" s="89" t="n"/>
      <c r="G97" s="89" t="n"/>
      <c r="H97" s="57" t="n"/>
      <c r="I97" s="55">
        <f t="array" ref="I97">G97+F97</f>
        <v/>
      </c>
      <c r="J97" s="57" t="n"/>
      <c r="K97" s="57" t="n"/>
      <c r="L97" s="57" t="n"/>
    </row>
    <row r="98" ht="20.1" customHeight="1" s="206">
      <c r="A98" s="2" t="inlineStr">
        <is>
          <t>c2sv</t>
        </is>
      </c>
      <c r="B98" s="23" t="inlineStr">
        <is>
          <t>El Salvador</t>
        </is>
      </c>
      <c r="C98" s="19" t="inlineStr">
        <is>
          <t>SV</t>
        </is>
      </c>
      <c r="D98" s="57" t="n"/>
      <c r="E98" s="57" t="n"/>
      <c r="F98" s="89" t="n">
        <v>88</v>
      </c>
      <c r="G98" s="89" t="n">
        <v>63</v>
      </c>
      <c r="H98" s="57" t="n"/>
      <c r="I98" s="55">
        <f t="array" ref="I98">G98+F98</f>
        <v/>
      </c>
      <c r="J98" s="57" t="n"/>
      <c r="K98" s="57" t="n"/>
      <c r="L98" s="57" t="n"/>
    </row>
    <row r="99" ht="20.1" customHeight="1" s="206">
      <c r="A99" s="2" t="inlineStr">
        <is>
          <t>c2sx</t>
        </is>
      </c>
      <c r="B99" s="23" t="inlineStr">
        <is>
          <t>Sint Maarten (Dutch part)</t>
        </is>
      </c>
      <c r="C99" s="19" t="inlineStr">
        <is>
          <t>SX</t>
        </is>
      </c>
      <c r="D99" s="57" t="n"/>
      <c r="E99" s="57" t="n"/>
      <c r="F99" s="89" t="n"/>
      <c r="G99" s="89" t="n"/>
      <c r="H99" s="57" t="n"/>
      <c r="I99" s="55">
        <f t="array" ref="I99">G99+F99</f>
        <v/>
      </c>
      <c r="J99" s="57" t="n"/>
      <c r="K99" s="57" t="n"/>
      <c r="L99" s="57" t="n"/>
    </row>
    <row r="100" ht="20.1" customHeight="1" s="206">
      <c r="A100" s="2" t="inlineStr">
        <is>
          <t>c2tc</t>
        </is>
      </c>
      <c r="B100" s="23" t="inlineStr">
        <is>
          <t>Turks and Caicos Islands (the)</t>
        </is>
      </c>
      <c r="C100" s="19" t="inlineStr">
        <is>
          <t>TC</t>
        </is>
      </c>
      <c r="D100" s="57" t="n"/>
      <c r="E100" s="57" t="n"/>
      <c r="F100" s="89" t="n"/>
      <c r="G100" s="89" t="n"/>
      <c r="H100" s="57" t="n"/>
      <c r="I100" s="55">
        <f t="array" ref="I100">G100+F100</f>
        <v/>
      </c>
      <c r="J100" s="57" t="n"/>
      <c r="K100" s="57" t="n"/>
      <c r="L100" s="57" t="n"/>
    </row>
    <row r="101" ht="20.1" customHeight="1" s="206">
      <c r="A101" s="2" t="inlineStr">
        <is>
          <t>c2tt</t>
        </is>
      </c>
      <c r="B101" s="23" t="inlineStr">
        <is>
          <t>Trinidad and Tobago</t>
        </is>
      </c>
      <c r="C101" s="19" t="inlineStr">
        <is>
          <t>TT</t>
        </is>
      </c>
      <c r="D101" s="57" t="n"/>
      <c r="E101" s="57" t="n"/>
      <c r="F101" s="89" t="n">
        <v>63</v>
      </c>
      <c r="G101" s="89" t="n">
        <v>46</v>
      </c>
      <c r="H101" s="57" t="n"/>
      <c r="I101" s="55">
        <f t="array" ref="I101">G101+F101</f>
        <v/>
      </c>
      <c r="J101" s="57" t="n"/>
      <c r="K101" s="57" t="n"/>
      <c r="L101" s="57" t="n"/>
    </row>
    <row r="102" ht="20.1" customHeight="1" s="206">
      <c r="A102" s="2" t="inlineStr">
        <is>
          <t>c2us</t>
        </is>
      </c>
      <c r="B102" s="23" t="inlineStr">
        <is>
          <t>United States of America (the)</t>
        </is>
      </c>
      <c r="C102" s="19" t="inlineStr">
        <is>
          <t>US</t>
        </is>
      </c>
      <c r="D102" s="57" t="n"/>
      <c r="E102" s="57" t="n"/>
      <c r="F102" s="89" t="n">
        <v>6977</v>
      </c>
      <c r="G102" s="89" t="n">
        <v>7106</v>
      </c>
      <c r="H102" s="57" t="n"/>
      <c r="I102" s="55">
        <f t="array" ref="I102">G102+F102</f>
        <v/>
      </c>
      <c r="J102" s="57" t="n"/>
      <c r="K102" s="57" t="n"/>
      <c r="L102" s="57" t="n"/>
    </row>
    <row r="103" ht="20.1" customHeight="1" s="206">
      <c r="A103" s="2" t="inlineStr">
        <is>
          <t>c2vc</t>
        </is>
      </c>
      <c r="B103" s="23" t="inlineStr">
        <is>
          <t>Saint Vincent and the Grenadines</t>
        </is>
      </c>
      <c r="C103" s="19" t="inlineStr">
        <is>
          <t>VC</t>
        </is>
      </c>
      <c r="D103" s="57" t="n"/>
      <c r="E103" s="57" t="n"/>
      <c r="F103" s="89" t="n">
        <v>6</v>
      </c>
      <c r="G103" s="89" t="n">
        <v>7</v>
      </c>
      <c r="H103" s="57" t="n"/>
      <c r="I103" s="55">
        <f t="array" ref="I103">G103+F103</f>
        <v/>
      </c>
      <c r="J103" s="57" t="n"/>
      <c r="K103" s="57" t="n"/>
      <c r="L103" s="57" t="n"/>
    </row>
    <row r="104" ht="20.1" customHeight="1" s="206">
      <c r="A104" s="2" t="inlineStr">
        <is>
          <t>c2vg</t>
        </is>
      </c>
      <c r="B104" s="23" t="inlineStr">
        <is>
          <t>Virgin Islands (British)</t>
        </is>
      </c>
      <c r="C104" s="19" t="inlineStr">
        <is>
          <t>VG</t>
        </is>
      </c>
      <c r="D104" s="57" t="n"/>
      <c r="E104" s="57" t="n"/>
      <c r="F104" s="89" t="n">
        <v>1</v>
      </c>
      <c r="G104" s="89" t="n">
        <v>1</v>
      </c>
      <c r="H104" s="57" t="n"/>
      <c r="I104" s="55">
        <f t="array" ref="I104">G104+F104</f>
        <v/>
      </c>
      <c r="J104" s="57" t="n"/>
      <c r="K104" s="57" t="n"/>
      <c r="L104" s="57" t="n"/>
    </row>
    <row r="105" ht="20.1" customHeight="1" s="206">
      <c r="A105" s="2" t="inlineStr">
        <is>
          <t>c2vi</t>
        </is>
      </c>
      <c r="B105" s="23" t="inlineStr">
        <is>
          <t>Virgin Islands (U.S.)</t>
        </is>
      </c>
      <c r="C105" s="19" t="inlineStr">
        <is>
          <t>VI</t>
        </is>
      </c>
      <c r="D105" s="57" t="n"/>
      <c r="E105" s="57" t="n"/>
      <c r="F105" s="89" t="n"/>
      <c r="G105" s="89" t="n"/>
      <c r="H105" s="57" t="n"/>
      <c r="I105" s="55">
        <f t="array" ref="I105">G105+F105</f>
        <v/>
      </c>
      <c r="J105" s="57" t="n"/>
      <c r="K105" s="57" t="n"/>
      <c r="L105" s="57" t="n"/>
    </row>
    <row r="106" ht="20.1" customHeight="1" s="206">
      <c r="A106" s="2" t="inlineStr">
        <is>
          <t>c3ar</t>
        </is>
      </c>
      <c r="B106" s="23" t="inlineStr">
        <is>
          <t>Argentina</t>
        </is>
      </c>
      <c r="C106" s="19" t="inlineStr">
        <is>
          <t>AR</t>
        </is>
      </c>
      <c r="D106" s="57" t="n"/>
      <c r="E106" s="57" t="n"/>
      <c r="F106" s="89" t="n">
        <v>1300</v>
      </c>
      <c r="G106" s="89" t="n">
        <v>1343</v>
      </c>
      <c r="H106" s="57" t="n"/>
      <c r="I106" s="55">
        <f t="array" ref="I106">G106+F106</f>
        <v/>
      </c>
      <c r="J106" s="57" t="n"/>
      <c r="K106" s="57" t="n"/>
      <c r="L106" s="57" t="n"/>
    </row>
    <row r="107" ht="20.1" customHeight="1" s="206">
      <c r="A107" s="2" t="inlineStr">
        <is>
          <t>c2</t>
        </is>
      </c>
      <c r="B107" s="138" t="inlineStr">
        <is>
          <t>North America</t>
        </is>
      </c>
      <c r="C107" s="52" t="n"/>
      <c r="D107" s="57" t="n"/>
      <c r="E107" s="57" t="n"/>
      <c r="F107" s="55" t="n">
        <v>140000</v>
      </c>
      <c r="G107" s="55" t="n">
        <v>140000</v>
      </c>
      <c r="H107" s="57" t="n"/>
      <c r="I107" s="55">
        <f t="array" ref="I107">SUM(I65:I106)</f>
        <v/>
      </c>
      <c r="J107" s="57" t="n"/>
      <c r="K107" s="57" t="n"/>
      <c r="L107" s="57" t="n"/>
    </row>
    <row r="108" ht="20.1" customHeight="1" s="206">
      <c r="A108" s="1" t="n"/>
      <c r="B108" s="18" t="n"/>
      <c r="C108" s="13" t="n"/>
      <c r="D108" s="57" t="n"/>
      <c r="E108" s="57" t="n"/>
      <c r="F108" s="57" t="n"/>
      <c r="G108" s="57" t="n"/>
      <c r="H108" s="57" t="n"/>
      <c r="I108" s="57" t="n"/>
      <c r="J108" s="57" t="n"/>
      <c r="K108" s="57" t="n"/>
      <c r="L108" s="57" t="n"/>
    </row>
    <row r="109" ht="20.1" customHeight="1" s="206">
      <c r="A109" s="1" t="n"/>
      <c r="B109" s="23" t="inlineStr">
        <is>
          <t>South America</t>
        </is>
      </c>
      <c r="C109" s="13" t="n"/>
      <c r="D109" s="57" t="n"/>
      <c r="E109" s="57" t="n"/>
      <c r="F109" s="57" t="n"/>
      <c r="G109" s="57" t="n"/>
      <c r="H109" s="57" t="n"/>
      <c r="I109" s="57" t="n"/>
      <c r="J109" s="57" t="n"/>
      <c r="K109" s="57" t="n"/>
      <c r="L109" s="57" t="n"/>
    </row>
    <row r="110" ht="20.1" customHeight="1" s="206">
      <c r="A110" s="2" t="inlineStr">
        <is>
          <t>c3bo</t>
        </is>
      </c>
      <c r="B110" s="23" t="inlineStr">
        <is>
          <t>Bolivia (Plurinational State of)</t>
        </is>
      </c>
      <c r="C110" s="19" t="inlineStr">
        <is>
          <t>BO</t>
        </is>
      </c>
      <c r="D110" s="57" t="n"/>
      <c r="E110" s="57" t="n"/>
      <c r="F110" s="89" t="n">
        <v>368</v>
      </c>
      <c r="G110" s="89" t="n">
        <v>286</v>
      </c>
      <c r="H110" s="57" t="n"/>
      <c r="I110" s="55">
        <f t="array" ref="I110">G110+F110</f>
        <v/>
      </c>
      <c r="J110" s="57" t="n"/>
      <c r="K110" s="57" t="n"/>
      <c r="L110" s="57" t="n"/>
    </row>
    <row r="111" ht="20.1" customHeight="1" s="206">
      <c r="A111" s="2" t="inlineStr">
        <is>
          <t>c3br</t>
        </is>
      </c>
      <c r="B111" s="23" t="inlineStr">
        <is>
          <t>Brazil</t>
        </is>
      </c>
      <c r="C111" s="19" t="inlineStr">
        <is>
          <t>BR</t>
        </is>
      </c>
      <c r="D111" s="57" t="n"/>
      <c r="E111" s="57" t="n"/>
      <c r="F111" s="89" t="n">
        <v>5110</v>
      </c>
      <c r="G111" s="89" t="n">
        <v>3221</v>
      </c>
      <c r="H111" s="57" t="n"/>
      <c r="I111" s="55">
        <f t="array" ref="I111">G111+F111</f>
        <v/>
      </c>
      <c r="J111" s="57" t="n"/>
      <c r="K111" s="57" t="n"/>
      <c r="L111" s="57" t="n"/>
    </row>
    <row r="112" ht="20.1" customHeight="1" s="206">
      <c r="A112" s="2" t="inlineStr">
        <is>
          <t>c3cl</t>
        </is>
      </c>
      <c r="B112" s="23" t="inlineStr">
        <is>
          <t>Chile</t>
        </is>
      </c>
      <c r="C112" s="19" t="inlineStr">
        <is>
          <t>CL</t>
        </is>
      </c>
      <c r="D112" s="57" t="n"/>
      <c r="E112" s="57" t="n"/>
      <c r="F112" s="89" t="n">
        <v>1015</v>
      </c>
      <c r="G112" s="89" t="n">
        <v>931</v>
      </c>
      <c r="H112" s="57" t="n"/>
      <c r="I112" s="55">
        <f t="array" ref="I112">G112+F112</f>
        <v/>
      </c>
      <c r="J112" s="57" t="n"/>
      <c r="K112" s="57" t="n"/>
      <c r="L112" s="57" t="n"/>
    </row>
    <row r="113" ht="20.1" customHeight="1" s="206">
      <c r="A113" s="2" t="inlineStr">
        <is>
          <t>c3co</t>
        </is>
      </c>
      <c r="B113" s="23" t="inlineStr">
        <is>
          <t>Colombia</t>
        </is>
      </c>
      <c r="C113" s="19" t="inlineStr">
        <is>
          <t>CO</t>
        </is>
      </c>
      <c r="D113" s="57" t="n"/>
      <c r="E113" s="57" t="n"/>
      <c r="F113" s="89" t="n">
        <v>2244</v>
      </c>
      <c r="G113" s="89" t="n">
        <v>1395</v>
      </c>
      <c r="H113" s="57" t="n"/>
      <c r="I113" s="55">
        <f t="array" ref="I113">G113+F113</f>
        <v/>
      </c>
      <c r="J113" s="57" t="n"/>
      <c r="K113" s="57" t="n"/>
      <c r="L113" s="57" t="n"/>
    </row>
    <row r="114" ht="20.1" customHeight="1" s="206">
      <c r="A114" s="2" t="inlineStr">
        <is>
          <t>c3ec</t>
        </is>
      </c>
      <c r="B114" s="23" t="inlineStr">
        <is>
          <t>Ecuador</t>
        </is>
      </c>
      <c r="C114" s="19" t="inlineStr">
        <is>
          <t>EC</t>
        </is>
      </c>
      <c r="D114" s="57" t="n"/>
      <c r="E114" s="57" t="n"/>
      <c r="F114" s="89" t="n">
        <v>592</v>
      </c>
      <c r="G114" s="89" t="n">
        <v>476</v>
      </c>
      <c r="H114" s="57" t="n"/>
      <c r="I114" s="55">
        <f t="array" ref="I114">G114+F114</f>
        <v/>
      </c>
      <c r="J114" s="57" t="n"/>
      <c r="K114" s="57" t="n"/>
      <c r="L114" s="57" t="n"/>
    </row>
    <row r="115" ht="20.1" customHeight="1" s="206">
      <c r="A115" s="2" t="inlineStr">
        <is>
          <t>c3fk</t>
        </is>
      </c>
      <c r="B115" s="23" t="inlineStr">
        <is>
          <t>Falkland Islands (the) [Malvinas]</t>
        </is>
      </c>
      <c r="C115" s="19" t="inlineStr">
        <is>
          <t>FK</t>
        </is>
      </c>
      <c r="D115" s="57" t="n"/>
      <c r="E115" s="57" t="n"/>
      <c r="F115" s="89" t="n"/>
      <c r="G115" s="89" t="n"/>
      <c r="H115" s="57" t="n"/>
      <c r="I115" s="55">
        <f t="array" ref="I115">G115+F115</f>
        <v/>
      </c>
      <c r="J115" s="57" t="n"/>
      <c r="K115" s="57" t="n"/>
      <c r="L115" s="57" t="n"/>
    </row>
    <row r="116" ht="20.1" customHeight="1" s="206">
      <c r="A116" s="2" t="inlineStr">
        <is>
          <t>c3gf</t>
        </is>
      </c>
      <c r="B116" s="23" t="inlineStr">
        <is>
          <t>French Guiana</t>
        </is>
      </c>
      <c r="C116" s="19" t="inlineStr">
        <is>
          <t>GF</t>
        </is>
      </c>
      <c r="D116" s="57" t="n"/>
      <c r="E116" s="57" t="n"/>
      <c r="F116" s="89" t="n"/>
      <c r="G116" s="89" t="n"/>
      <c r="H116" s="57" t="n"/>
      <c r="I116" s="55">
        <f t="array" ref="I116">G116+F116</f>
        <v/>
      </c>
      <c r="J116" s="57" t="n"/>
      <c r="K116" s="57" t="n"/>
      <c r="L116" s="57" t="n"/>
    </row>
    <row r="117" ht="20.1" customHeight="1" s="206">
      <c r="A117" s="2" t="inlineStr">
        <is>
          <t>c3gy</t>
        </is>
      </c>
      <c r="B117" s="23" t="inlineStr">
        <is>
          <t>Guyana</t>
        </is>
      </c>
      <c r="C117" s="19" t="inlineStr">
        <is>
          <t>GY</t>
        </is>
      </c>
      <c r="D117" s="57" t="n"/>
      <c r="E117" s="57" t="n"/>
      <c r="F117" s="89" t="n">
        <v>18</v>
      </c>
      <c r="G117" s="89" t="n">
        <v>9</v>
      </c>
      <c r="H117" s="57" t="n"/>
      <c r="I117" s="55">
        <f t="array" ref="I117">G117+F117</f>
        <v/>
      </c>
      <c r="J117" s="57" t="n"/>
      <c r="K117" s="57" t="n"/>
      <c r="L117" s="57" t="n"/>
    </row>
    <row r="118" ht="20.1" customHeight="1" s="206">
      <c r="A118" s="2" t="inlineStr">
        <is>
          <t>c3pe</t>
        </is>
      </c>
      <c r="B118" s="23" t="inlineStr">
        <is>
          <t>Peru</t>
        </is>
      </c>
      <c r="C118" s="19" t="inlineStr">
        <is>
          <t>PE</t>
        </is>
      </c>
      <c r="D118" s="57" t="n"/>
      <c r="E118" s="57" t="n"/>
      <c r="F118" s="89" t="n">
        <v>1435</v>
      </c>
      <c r="G118" s="89" t="n">
        <v>827</v>
      </c>
      <c r="H118" s="57" t="n"/>
      <c r="I118" s="55">
        <f t="array" ref="I118">G118+F118</f>
        <v/>
      </c>
      <c r="J118" s="57" t="n"/>
      <c r="K118" s="57" t="n"/>
      <c r="L118" s="57" t="n"/>
    </row>
    <row r="119" ht="20.1" customHeight="1" s="206">
      <c r="A119" s="2" t="inlineStr">
        <is>
          <t>c3py</t>
        </is>
      </c>
      <c r="B119" s="23" t="inlineStr">
        <is>
          <t>Paraguay</t>
        </is>
      </c>
      <c r="C119" s="19" t="inlineStr">
        <is>
          <t>PY</t>
        </is>
      </c>
      <c r="D119" s="57" t="n"/>
      <c r="E119" s="57" t="n"/>
      <c r="F119" s="89" t="n">
        <v>149</v>
      </c>
      <c r="G119" s="89" t="n">
        <v>112</v>
      </c>
      <c r="H119" s="57" t="n"/>
      <c r="I119" s="55">
        <f t="array" ref="I119">G119+F119</f>
        <v/>
      </c>
      <c r="J119" s="57" t="n"/>
      <c r="K119" s="57" t="n"/>
      <c r="L119" s="57" t="n"/>
    </row>
    <row r="120" ht="20.1" customHeight="1" s="206">
      <c r="A120" s="2" t="inlineStr">
        <is>
          <t>c3sr</t>
        </is>
      </c>
      <c r="B120" s="23" t="inlineStr">
        <is>
          <t>Suriname</t>
        </is>
      </c>
      <c r="C120" s="19" t="inlineStr">
        <is>
          <t>SR</t>
        </is>
      </c>
      <c r="D120" s="57" t="n"/>
      <c r="E120" s="57" t="n"/>
      <c r="F120" s="89" t="n">
        <v>13</v>
      </c>
      <c r="G120" s="89" t="n">
        <v>12</v>
      </c>
      <c r="H120" s="57" t="n"/>
      <c r="I120" s="55">
        <f t="array" ref="I120">G120+F120</f>
        <v/>
      </c>
      <c r="J120" s="57" t="n"/>
      <c r="K120" s="57" t="n"/>
      <c r="L120" s="57" t="n"/>
    </row>
    <row r="121" ht="20.1" customHeight="1" s="206">
      <c r="A121" s="2" t="inlineStr">
        <is>
          <t>c3uy</t>
        </is>
      </c>
      <c r="B121" s="23" t="inlineStr">
        <is>
          <t>Uruguay</t>
        </is>
      </c>
      <c r="C121" s="19" t="inlineStr">
        <is>
          <t>UY</t>
        </is>
      </c>
      <c r="D121" s="57" t="n"/>
      <c r="E121" s="57" t="n"/>
      <c r="F121" s="89" t="n">
        <v>167</v>
      </c>
      <c r="G121" s="89" t="n">
        <v>148</v>
      </c>
      <c r="H121" s="57" t="n"/>
      <c r="I121" s="55">
        <f t="array" ref="I121">G121+F121</f>
        <v/>
      </c>
      <c r="J121" s="57" t="n"/>
      <c r="K121" s="57" t="n"/>
      <c r="L121" s="57" t="n"/>
    </row>
    <row r="122" ht="20.1" customHeight="1" s="206">
      <c r="A122" s="2" t="inlineStr">
        <is>
          <t>c3ve</t>
        </is>
      </c>
      <c r="B122" s="23" t="inlineStr">
        <is>
          <t>Venezuela (Bolivarian Republic of)</t>
        </is>
      </c>
      <c r="C122" s="19" t="inlineStr">
        <is>
          <t>VE</t>
        </is>
      </c>
      <c r="D122" s="57" t="n"/>
      <c r="E122" s="57" t="n"/>
      <c r="F122" s="89" t="n">
        <v>1058</v>
      </c>
      <c r="G122" s="89" t="n">
        <v>814</v>
      </c>
      <c r="H122" s="57" t="n"/>
      <c r="I122" s="55">
        <f t="array" ref="I122">G122+F122</f>
        <v/>
      </c>
      <c r="J122" s="57" t="n"/>
      <c r="K122" s="57" t="n"/>
      <c r="L122" s="57" t="n"/>
    </row>
    <row r="123" ht="20.1" customHeight="1" s="206">
      <c r="A123" s="2" t="inlineStr">
        <is>
          <t>c3</t>
        </is>
      </c>
      <c r="B123" s="138" t="inlineStr">
        <is>
          <t>South America</t>
        </is>
      </c>
      <c r="C123" s="52" t="n"/>
      <c r="D123" s="57" t="n"/>
      <c r="E123" s="57" t="n"/>
      <c r="F123" s="55" t="n">
        <v>80000</v>
      </c>
      <c r="G123" s="55" t="n">
        <v>80000</v>
      </c>
      <c r="H123" s="57" t="n"/>
      <c r="I123" s="55">
        <f t="array" ref="I123">SUM(I110:I122)</f>
        <v/>
      </c>
      <c r="J123" s="57" t="n"/>
      <c r="K123" s="57" t="n"/>
      <c r="L123" s="57" t="n"/>
    </row>
    <row r="124" ht="20.1" customHeight="1" s="206">
      <c r="A124" s="1" t="n"/>
      <c r="B124" s="18" t="n"/>
      <c r="C124" s="13" t="n"/>
      <c r="D124" s="57" t="n"/>
      <c r="E124" s="57" t="n"/>
      <c r="F124" s="57" t="n"/>
      <c r="G124" s="57" t="n"/>
      <c r="H124" s="57" t="n"/>
      <c r="I124" s="57" t="n"/>
      <c r="J124" s="57" t="n"/>
      <c r="K124" s="57" t="n"/>
      <c r="L124" s="57" t="n"/>
    </row>
    <row r="125" ht="20.1" customHeight="1" s="206">
      <c r="A125" s="1" t="n"/>
      <c r="B125" s="23" t="inlineStr">
        <is>
          <t>Africa</t>
        </is>
      </c>
      <c r="C125" s="13" t="n"/>
      <c r="D125" s="57" t="n"/>
      <c r="E125" s="57" t="n"/>
      <c r="F125" s="57" t="n"/>
      <c r="G125" s="57" t="n"/>
      <c r="H125" s="57" t="n"/>
      <c r="I125" s="57" t="n"/>
      <c r="J125" s="57" t="n"/>
      <c r="K125" s="57" t="n"/>
      <c r="L125" s="57" t="n"/>
    </row>
    <row r="126" ht="20.1" customHeight="1" s="206">
      <c r="A126" s="2" t="inlineStr">
        <is>
          <t>c4ao</t>
        </is>
      </c>
      <c r="B126" s="23" t="inlineStr">
        <is>
          <t>Angola</t>
        </is>
      </c>
      <c r="C126" s="19" t="inlineStr">
        <is>
          <t>AO</t>
        </is>
      </c>
      <c r="D126" s="57" t="n"/>
      <c r="E126" s="57" t="n"/>
      <c r="F126" s="89" t="n">
        <v>213</v>
      </c>
      <c r="G126" s="89" t="n">
        <v>245</v>
      </c>
      <c r="H126" s="57" t="n"/>
      <c r="I126" s="55">
        <f t="array" ref="I126">G126+F126</f>
        <v/>
      </c>
      <c r="J126" s="57" t="n"/>
      <c r="K126" s="57" t="n"/>
      <c r="L126" s="57" t="n"/>
    </row>
    <row r="127" ht="20.1" customHeight="1" s="206">
      <c r="A127" s="2" t="inlineStr">
        <is>
          <t>c4bf</t>
        </is>
      </c>
      <c r="B127" s="23" t="inlineStr">
        <is>
          <t>Burkina Faso</t>
        </is>
      </c>
      <c r="C127" s="19" t="inlineStr">
        <is>
          <t>BF</t>
        </is>
      </c>
      <c r="D127" s="57" t="n"/>
      <c r="E127" s="57" t="n"/>
      <c r="F127" s="89" t="n">
        <v>81</v>
      </c>
      <c r="G127" s="89" t="n">
        <v>93</v>
      </c>
      <c r="H127" s="57" t="n"/>
      <c r="I127" s="55">
        <f t="array" ref="I127">G127+F127</f>
        <v/>
      </c>
      <c r="J127" s="57" t="n"/>
      <c r="K127" s="57" t="n"/>
      <c r="L127" s="57" t="n"/>
    </row>
    <row r="128" ht="20.1" customHeight="1" s="206">
      <c r="A128" s="2" t="inlineStr">
        <is>
          <t>c4bi</t>
        </is>
      </c>
      <c r="B128" s="23" t="inlineStr">
        <is>
          <t>Burundi</t>
        </is>
      </c>
      <c r="C128" s="19" t="inlineStr">
        <is>
          <t>BI</t>
        </is>
      </c>
      <c r="D128" s="57" t="n"/>
      <c r="E128" s="57" t="n"/>
      <c r="F128" s="89" t="n">
        <v>59</v>
      </c>
      <c r="G128" s="89" t="n">
        <v>68</v>
      </c>
      <c r="H128" s="57" t="n"/>
      <c r="I128" s="55">
        <f t="array" ref="I128">G128+F128</f>
        <v/>
      </c>
      <c r="J128" s="57" t="n"/>
      <c r="K128" s="57" t="n"/>
      <c r="L128" s="57" t="n"/>
    </row>
    <row r="129" ht="20.1" customHeight="1" s="206">
      <c r="A129" s="2" t="inlineStr">
        <is>
          <t>c4bj</t>
        </is>
      </c>
      <c r="B129" s="23" t="inlineStr">
        <is>
          <t>Benin</t>
        </is>
      </c>
      <c r="C129" s="19" t="inlineStr">
        <is>
          <t>BJ</t>
        </is>
      </c>
      <c r="D129" s="57" t="n"/>
      <c r="E129" s="57" t="n"/>
      <c r="F129" s="89" t="n">
        <v>37</v>
      </c>
      <c r="G129" s="89" t="n">
        <v>84</v>
      </c>
      <c r="H129" s="57" t="n"/>
      <c r="I129" s="55">
        <f t="array" ref="I129">G129+F129</f>
        <v/>
      </c>
      <c r="J129" s="57" t="n"/>
      <c r="K129" s="57" t="n"/>
      <c r="L129" s="57" t="n"/>
    </row>
    <row r="130" ht="20.1" customHeight="1" s="206">
      <c r="A130" s="2" t="inlineStr">
        <is>
          <t>c4bw</t>
        </is>
      </c>
      <c r="B130" s="23" t="inlineStr">
        <is>
          <t>Botswana</t>
        </is>
      </c>
      <c r="C130" s="19" t="inlineStr">
        <is>
          <t>BW</t>
        </is>
      </c>
      <c r="D130" s="57" t="n"/>
      <c r="E130" s="57" t="n"/>
      <c r="F130" s="89" t="n">
        <v>25</v>
      </c>
      <c r="G130" s="89" t="n">
        <v>15</v>
      </c>
      <c r="H130" s="57" t="n"/>
      <c r="I130" s="55">
        <f t="array" ref="I130">G130+F130</f>
        <v/>
      </c>
      <c r="J130" s="57" t="n"/>
      <c r="K130" s="57" t="n"/>
      <c r="L130" s="57" t="n"/>
    </row>
    <row r="131" ht="20.1" customHeight="1" s="206">
      <c r="A131" s="2" t="inlineStr">
        <is>
          <t>c4cd</t>
        </is>
      </c>
      <c r="B131" s="23" t="inlineStr">
        <is>
          <t>Congo (the Democratic Republic of the)</t>
        </is>
      </c>
      <c r="C131" s="19" t="inlineStr">
        <is>
          <t>CD</t>
        </is>
      </c>
      <c r="D131" s="57" t="n"/>
      <c r="E131" s="57" t="n"/>
      <c r="F131" s="89" t="n">
        <v>498</v>
      </c>
      <c r="G131" s="89" t="n">
        <v>531</v>
      </c>
      <c r="H131" s="57" t="n"/>
      <c r="I131" s="55">
        <f t="array" ref="I131">G131+F131</f>
        <v/>
      </c>
      <c r="J131" s="57" t="n"/>
      <c r="K131" s="57" t="n"/>
      <c r="L131" s="57" t="n"/>
    </row>
    <row r="132" ht="20.1" customHeight="1" s="206">
      <c r="A132" s="2" t="inlineStr">
        <is>
          <t>c4cf</t>
        </is>
      </c>
      <c r="B132" s="23" t="inlineStr">
        <is>
          <t>Central African Republic (the)</t>
        </is>
      </c>
      <c r="C132" s="19" t="inlineStr">
        <is>
          <t>CF</t>
        </is>
      </c>
      <c r="D132" s="57" t="n"/>
      <c r="E132" s="57" t="n"/>
      <c r="F132" s="89" t="n">
        <v>16</v>
      </c>
      <c r="G132" s="89" t="n">
        <v>20</v>
      </c>
      <c r="H132" s="57" t="n"/>
      <c r="I132" s="55">
        <f t="array" ref="I132">G132+F132</f>
        <v/>
      </c>
      <c r="J132" s="57" t="n"/>
      <c r="K132" s="57" t="n"/>
      <c r="L132" s="57" t="n"/>
    </row>
    <row r="133" ht="20.1" customHeight="1" s="206">
      <c r="A133" s="2" t="inlineStr">
        <is>
          <t>c4cg</t>
        </is>
      </c>
      <c r="B133" s="23" t="inlineStr">
        <is>
          <t>Congo (the)</t>
        </is>
      </c>
      <c r="C133" s="19" t="inlineStr">
        <is>
          <t>CG</t>
        </is>
      </c>
      <c r="D133" s="57" t="n"/>
      <c r="E133" s="57" t="n"/>
      <c r="F133" s="89" t="n">
        <v>199</v>
      </c>
      <c r="G133" s="89" t="n">
        <v>215</v>
      </c>
      <c r="H133" s="57" t="n"/>
      <c r="I133" s="55">
        <f t="array" ref="I133">G133+F133</f>
        <v/>
      </c>
      <c r="J133" s="57" t="n"/>
      <c r="K133" s="57" t="n"/>
      <c r="L133" s="57" t="n"/>
    </row>
    <row r="134" ht="20.1" customHeight="1" s="206">
      <c r="A134" s="2" t="inlineStr">
        <is>
          <t>c4ci</t>
        </is>
      </c>
      <c r="B134" s="23" t="inlineStr">
        <is>
          <t>Côte d'Ivoire</t>
        </is>
      </c>
      <c r="C134" s="19" t="inlineStr">
        <is>
          <t>CI</t>
        </is>
      </c>
      <c r="D134" s="57" t="n"/>
      <c r="E134" s="57" t="n"/>
      <c r="F134" s="89" t="n">
        <v>118</v>
      </c>
      <c r="G134" s="89" t="n">
        <v>208</v>
      </c>
      <c r="H134" s="57" t="n"/>
      <c r="I134" s="55">
        <f t="array" ref="I134">G134+F134</f>
        <v/>
      </c>
      <c r="J134" s="57" t="n"/>
      <c r="K134" s="57" t="n"/>
      <c r="L134" s="57" t="n"/>
    </row>
    <row r="135" ht="20.1" customHeight="1" s="206">
      <c r="A135" s="2" t="inlineStr">
        <is>
          <t>c4cm</t>
        </is>
      </c>
      <c r="B135" s="23" t="inlineStr">
        <is>
          <t>Cameroon</t>
        </is>
      </c>
      <c r="C135" s="19" t="inlineStr">
        <is>
          <t>CM</t>
        </is>
      </c>
      <c r="D135" s="57" t="n"/>
      <c r="E135" s="57" t="n"/>
      <c r="F135" s="89" t="n">
        <v>413</v>
      </c>
      <c r="G135" s="89" t="n">
        <v>529</v>
      </c>
      <c r="H135" s="57" t="n"/>
      <c r="I135" s="55">
        <f t="array" ref="I135">G135+F135</f>
        <v/>
      </c>
      <c r="J135" s="57" t="n"/>
      <c r="K135" s="57" t="n"/>
      <c r="L135" s="57" t="n"/>
    </row>
    <row r="136" ht="20.1" customHeight="1" s="206">
      <c r="A136" s="2" t="inlineStr">
        <is>
          <t>c4cv</t>
        </is>
      </c>
      <c r="B136" s="23" t="inlineStr">
        <is>
          <t>Cabo Verde[f]</t>
        </is>
      </c>
      <c r="C136" s="19" t="inlineStr">
        <is>
          <t>CV</t>
        </is>
      </c>
      <c r="D136" s="57" t="n"/>
      <c r="E136" s="57" t="n"/>
      <c r="F136" s="89" t="n">
        <v>40</v>
      </c>
      <c r="G136" s="89" t="n">
        <v>29</v>
      </c>
      <c r="H136" s="57" t="n"/>
      <c r="I136" s="55">
        <f t="array" ref="I136">G136+F136</f>
        <v/>
      </c>
      <c r="J136" s="57" t="n"/>
      <c r="K136" s="57" t="n"/>
      <c r="L136" s="57" t="n"/>
    </row>
    <row r="137" ht="20.1" customHeight="1" s="206">
      <c r="A137" s="2" t="inlineStr">
        <is>
          <t>c4dj</t>
        </is>
      </c>
      <c r="B137" s="23" t="inlineStr">
        <is>
          <t>Djibouti</t>
        </is>
      </c>
      <c r="C137" s="19" t="inlineStr">
        <is>
          <t>DJ</t>
        </is>
      </c>
      <c r="D137" s="57" t="n"/>
      <c r="E137" s="57" t="n"/>
      <c r="F137" s="89" t="n">
        <v>9</v>
      </c>
      <c r="G137" s="89" t="n">
        <v>9</v>
      </c>
      <c r="H137" s="57" t="n"/>
      <c r="I137" s="55">
        <f t="array" ref="I137">G137+F137</f>
        <v/>
      </c>
      <c r="J137" s="57" t="n"/>
      <c r="K137" s="57" t="n"/>
      <c r="L137" s="57" t="n"/>
    </row>
    <row r="138" ht="20.1" customHeight="1" s="206">
      <c r="A138" s="2" t="inlineStr">
        <is>
          <t>c4dz</t>
        </is>
      </c>
      <c r="B138" s="23" t="inlineStr">
        <is>
          <t>Algeria</t>
        </is>
      </c>
      <c r="C138" s="19" t="inlineStr">
        <is>
          <t>DZ</t>
        </is>
      </c>
      <c r="D138" s="57" t="n"/>
      <c r="E138" s="57" t="n"/>
      <c r="F138" s="89" t="n">
        <v>556</v>
      </c>
      <c r="G138" s="89" t="n">
        <v>1331</v>
      </c>
      <c r="H138" s="57" t="n"/>
      <c r="I138" s="55">
        <f t="array" ref="I138">G138+F138</f>
        <v/>
      </c>
      <c r="J138" s="57" t="n"/>
      <c r="K138" s="57" t="n"/>
      <c r="L138" s="57" t="n"/>
    </row>
    <row r="139" ht="20.1" customHeight="1" s="206">
      <c r="A139" s="2" t="inlineStr">
        <is>
          <t>c4eg</t>
        </is>
      </c>
      <c r="B139" s="23" t="inlineStr">
        <is>
          <t>Egypt</t>
        </is>
      </c>
      <c r="C139" s="19" t="inlineStr">
        <is>
          <t>EG</t>
        </is>
      </c>
      <c r="D139" s="57" t="n"/>
      <c r="E139" s="57" t="n"/>
      <c r="F139" s="89" t="n">
        <v>6401</v>
      </c>
      <c r="G139" s="89" t="n">
        <v>10525</v>
      </c>
      <c r="H139" s="57" t="n"/>
      <c r="I139" s="55">
        <f t="array" ref="I139">G139+F139</f>
        <v/>
      </c>
      <c r="J139" s="57" t="n"/>
      <c r="K139" s="57" t="n"/>
      <c r="L139" s="57" t="n"/>
    </row>
    <row r="140" ht="20.1" customHeight="1" s="206">
      <c r="A140" s="2" t="inlineStr">
        <is>
          <t>c4eh</t>
        </is>
      </c>
      <c r="B140" s="23" t="inlineStr">
        <is>
          <t>Western Sahara</t>
        </is>
      </c>
      <c r="C140" s="19" t="inlineStr">
        <is>
          <t>EH</t>
        </is>
      </c>
      <c r="D140" s="57" t="n"/>
      <c r="E140" s="57" t="n"/>
      <c r="F140" s="89" t="n">
        <v>0</v>
      </c>
      <c r="G140" s="89" t="n">
        <v>3</v>
      </c>
      <c r="H140" s="57" t="n"/>
      <c r="I140" s="55">
        <f t="array" ref="I140">G140+F140</f>
        <v/>
      </c>
      <c r="J140" s="57" t="n"/>
      <c r="K140" s="57" t="n"/>
      <c r="L140" s="57" t="n"/>
    </row>
    <row r="141" ht="20.1" customHeight="1" s="206">
      <c r="A141" s="2" t="inlineStr">
        <is>
          <t>c4er</t>
        </is>
      </c>
      <c r="B141" s="23" t="inlineStr">
        <is>
          <t>Eritrea</t>
        </is>
      </c>
      <c r="C141" s="19" t="inlineStr">
        <is>
          <t>ER</t>
        </is>
      </c>
      <c r="D141" s="57" t="n"/>
      <c r="E141" s="57" t="n"/>
      <c r="F141" s="89" t="n">
        <v>213</v>
      </c>
      <c r="G141" s="89" t="n">
        <v>305</v>
      </c>
      <c r="H141" s="57" t="n"/>
      <c r="I141" s="55">
        <f t="array" ref="I141">G141+F141</f>
        <v/>
      </c>
      <c r="J141" s="57" t="n"/>
      <c r="K141" s="57" t="n"/>
      <c r="L141" s="57" t="n"/>
    </row>
    <row r="142" ht="20.1" customHeight="1" s="206">
      <c r="A142" s="2" t="inlineStr">
        <is>
          <t>c4et</t>
        </is>
      </c>
      <c r="B142" s="23" t="inlineStr">
        <is>
          <t>Ethiopia</t>
        </is>
      </c>
      <c r="C142" s="19" t="inlineStr">
        <is>
          <t>ET</t>
        </is>
      </c>
      <c r="D142" s="57" t="n"/>
      <c r="E142" s="57" t="n"/>
      <c r="F142" s="89" t="n">
        <v>897</v>
      </c>
      <c r="G142" s="89" t="n">
        <v>729</v>
      </c>
      <c r="H142" s="57" t="n"/>
      <c r="I142" s="55">
        <f t="array" ref="I142">G142+F142</f>
        <v/>
      </c>
      <c r="J142" s="57" t="n"/>
      <c r="K142" s="57" t="n"/>
      <c r="L142" s="57" t="n"/>
    </row>
    <row r="143" ht="20.1" customHeight="1" s="206">
      <c r="A143" s="2" t="inlineStr">
        <is>
          <t>c4ga</t>
        </is>
      </c>
      <c r="B143" s="23" t="inlineStr">
        <is>
          <t>Gabon</t>
        </is>
      </c>
      <c r="C143" s="19" t="inlineStr">
        <is>
          <t>GA</t>
        </is>
      </c>
      <c r="D143" s="57" t="n"/>
      <c r="E143" s="57" t="n"/>
      <c r="F143" s="89" t="n">
        <v>29</v>
      </c>
      <c r="G143" s="89" t="n">
        <v>24</v>
      </c>
      <c r="H143" s="57" t="n"/>
      <c r="I143" s="55">
        <f t="array" ref="I143">G143+F143</f>
        <v/>
      </c>
      <c r="J143" s="57" t="n"/>
      <c r="K143" s="57" t="n"/>
      <c r="L143" s="57" t="n"/>
    </row>
    <row r="144" ht="20.1" customHeight="1" s="206">
      <c r="A144" s="2" t="inlineStr">
        <is>
          <t>c4gh</t>
        </is>
      </c>
      <c r="B144" s="23" t="inlineStr">
        <is>
          <t>Ghana</t>
        </is>
      </c>
      <c r="C144" s="19" t="inlineStr">
        <is>
          <t>GH</t>
        </is>
      </c>
      <c r="D144" s="57" t="n"/>
      <c r="E144" s="57" t="n"/>
      <c r="F144" s="89" t="n">
        <v>1132</v>
      </c>
      <c r="G144" s="89" t="n">
        <v>1488</v>
      </c>
      <c r="H144" s="57" t="n"/>
      <c r="I144" s="55">
        <f t="array" ref="I144">G144+F144</f>
        <v/>
      </c>
      <c r="J144" s="57" t="n"/>
      <c r="K144" s="57" t="n"/>
      <c r="L144" s="57" t="n"/>
    </row>
    <row r="145" ht="20.1" customHeight="1" s="206">
      <c r="A145" s="2" t="inlineStr">
        <is>
          <t>c4gm</t>
        </is>
      </c>
      <c r="B145" s="23" t="inlineStr">
        <is>
          <t>Gambia (the)</t>
        </is>
      </c>
      <c r="C145" s="19" t="inlineStr">
        <is>
          <t>GM</t>
        </is>
      </c>
      <c r="D145" s="57" t="n"/>
      <c r="E145" s="57" t="n"/>
      <c r="F145" s="89" t="n">
        <v>190</v>
      </c>
      <c r="G145" s="89" t="n">
        <v>640</v>
      </c>
      <c r="H145" s="57" t="n"/>
      <c r="I145" s="55">
        <f t="array" ref="I145">G145+F145</f>
        <v/>
      </c>
      <c r="J145" s="57" t="n"/>
      <c r="K145" s="57" t="n"/>
      <c r="L145" s="57" t="n"/>
    </row>
    <row r="146" ht="20.1" customHeight="1" s="206">
      <c r="A146" s="2" t="inlineStr">
        <is>
          <t>c4gn</t>
        </is>
      </c>
      <c r="B146" s="23" t="inlineStr">
        <is>
          <t>Guinea</t>
        </is>
      </c>
      <c r="C146" s="19" t="inlineStr">
        <is>
          <t>GN</t>
        </is>
      </c>
      <c r="D146" s="57" t="n"/>
      <c r="E146" s="57" t="n"/>
      <c r="F146" s="89" t="n">
        <v>162</v>
      </c>
      <c r="G146" s="89" t="n">
        <v>307</v>
      </c>
      <c r="H146" s="57" t="n"/>
      <c r="I146" s="55">
        <f t="array" ref="I146">G146+F146</f>
        <v/>
      </c>
      <c r="J146" s="57" t="n"/>
      <c r="K146" s="57" t="n"/>
      <c r="L146" s="57" t="n"/>
    </row>
    <row r="147" ht="20.1" customHeight="1" s="206">
      <c r="A147" s="2" t="inlineStr">
        <is>
          <t>c4gq</t>
        </is>
      </c>
      <c r="B147" s="23" t="inlineStr">
        <is>
          <t>Equatorial Guinea</t>
        </is>
      </c>
      <c r="C147" s="19" t="inlineStr">
        <is>
          <t>GQ</t>
        </is>
      </c>
      <c r="D147" s="57" t="n"/>
      <c r="E147" s="57" t="n"/>
      <c r="F147" s="89" t="n">
        <v>7</v>
      </c>
      <c r="G147" s="89" t="n">
        <v>4</v>
      </c>
      <c r="H147" s="57" t="n"/>
      <c r="I147" s="55">
        <f t="array" ref="I147">G147+F147</f>
        <v/>
      </c>
      <c r="J147" s="57" t="n"/>
      <c r="K147" s="57" t="n"/>
      <c r="L147" s="57" t="n"/>
    </row>
    <row r="148" ht="20.1" customHeight="1" s="206">
      <c r="A148" s="2" t="inlineStr">
        <is>
          <t>c4gw</t>
        </is>
      </c>
      <c r="B148" s="23" t="inlineStr">
        <is>
          <t>Guinea-Bissau</t>
        </is>
      </c>
      <c r="C148" s="19" t="inlineStr">
        <is>
          <t>GW</t>
        </is>
      </c>
      <c r="D148" s="57" t="n"/>
      <c r="E148" s="57" t="n"/>
      <c r="F148" s="89" t="n">
        <v>33</v>
      </c>
      <c r="G148" s="89" t="n">
        <v>72</v>
      </c>
      <c r="H148" s="57" t="n"/>
      <c r="I148" s="55">
        <f t="array" ref="I148">G148+F148</f>
        <v/>
      </c>
      <c r="J148" s="57" t="n"/>
      <c r="K148" s="57" t="n"/>
      <c r="L148" s="57" t="n"/>
    </row>
    <row r="149" ht="20.1" customHeight="1" s="206">
      <c r="A149" s="2" t="inlineStr">
        <is>
          <t>c4io</t>
        </is>
      </c>
      <c r="B149" s="23" t="inlineStr">
        <is>
          <t>British Indian Ocean Territory (the)</t>
        </is>
      </c>
      <c r="C149" s="19" t="inlineStr">
        <is>
          <t>IO</t>
        </is>
      </c>
      <c r="D149" s="57" t="n"/>
      <c r="E149" s="57" t="n"/>
      <c r="F149" s="89" t="n"/>
      <c r="G149" s="89" t="n"/>
      <c r="H149" s="57" t="n"/>
      <c r="I149" s="55">
        <f t="array" ref="I149">G149+F149</f>
        <v/>
      </c>
      <c r="J149" s="57" t="n"/>
      <c r="K149" s="57" t="n"/>
      <c r="L149" s="57" t="n"/>
    </row>
    <row r="150" ht="20.1" customHeight="1" s="206">
      <c r="A150" s="2" t="inlineStr">
        <is>
          <t>c4ke</t>
        </is>
      </c>
      <c r="B150" s="23" t="inlineStr">
        <is>
          <t>Kenya</t>
        </is>
      </c>
      <c r="C150" s="19" t="inlineStr">
        <is>
          <t>KE</t>
        </is>
      </c>
      <c r="D150" s="57" t="n"/>
      <c r="E150" s="57" t="n"/>
      <c r="F150" s="89" t="n">
        <v>1193</v>
      </c>
      <c r="G150" s="89" t="n">
        <v>483</v>
      </c>
      <c r="H150" s="57" t="n"/>
      <c r="I150" s="55">
        <f t="array" ref="I150">G150+F150</f>
        <v/>
      </c>
      <c r="J150" s="57" t="n"/>
      <c r="K150" s="57" t="n"/>
      <c r="L150" s="57" t="n"/>
    </row>
    <row r="151" ht="20.1" customHeight="1" s="206">
      <c r="A151" s="2" t="inlineStr">
        <is>
          <t>c4km</t>
        </is>
      </c>
      <c r="B151" s="23" t="inlineStr">
        <is>
          <t>Comoros (the)</t>
        </is>
      </c>
      <c r="C151" s="19" t="inlineStr">
        <is>
          <t>KM</t>
        </is>
      </c>
      <c r="D151" s="57" t="n"/>
      <c r="E151" s="57" t="n"/>
      <c r="F151" s="89" t="n">
        <v>0</v>
      </c>
      <c r="G151" s="89" t="n">
        <v>1</v>
      </c>
      <c r="H151" s="57" t="n"/>
      <c r="I151" s="55">
        <f t="array" ref="I151">G151+F151</f>
        <v/>
      </c>
      <c r="J151" s="57" t="n"/>
      <c r="K151" s="57" t="n"/>
      <c r="L151" s="57" t="n"/>
    </row>
    <row r="152" ht="20.1" customHeight="1" s="206">
      <c r="A152" s="2" t="inlineStr">
        <is>
          <t>c4lr</t>
        </is>
      </c>
      <c r="B152" s="23" t="inlineStr">
        <is>
          <t>Liberia</t>
        </is>
      </c>
      <c r="C152" s="19" t="inlineStr">
        <is>
          <t>LR</t>
        </is>
      </c>
      <c r="D152" s="57" t="n"/>
      <c r="E152" s="57" t="n"/>
      <c r="F152" s="89" t="n">
        <v>49</v>
      </c>
      <c r="G152" s="89" t="n">
        <v>165</v>
      </c>
      <c r="H152" s="57" t="n"/>
      <c r="I152" s="55">
        <f t="array" ref="I152">G152+F152</f>
        <v/>
      </c>
      <c r="J152" s="57" t="n"/>
      <c r="K152" s="57" t="n"/>
      <c r="L152" s="57" t="n"/>
    </row>
    <row r="153" ht="20.1" customHeight="1" s="206">
      <c r="A153" s="2" t="inlineStr">
        <is>
          <t>c4ls</t>
        </is>
      </c>
      <c r="B153" s="23" t="inlineStr">
        <is>
          <t>Lesotho</t>
        </is>
      </c>
      <c r="C153" s="19" t="inlineStr">
        <is>
          <t>LS</t>
        </is>
      </c>
      <c r="D153" s="57" t="n"/>
      <c r="E153" s="57" t="n"/>
      <c r="F153" s="89" t="n">
        <v>14</v>
      </c>
      <c r="G153" s="89" t="n">
        <v>4</v>
      </c>
      <c r="H153" s="57" t="n"/>
      <c r="I153" s="55">
        <f t="array" ref="I153">G153+F153</f>
        <v/>
      </c>
      <c r="J153" s="57" t="n"/>
      <c r="K153" s="57" t="n"/>
      <c r="L153" s="57" t="n"/>
    </row>
    <row r="154" ht="20.1" customHeight="1" s="206">
      <c r="A154" s="2" t="inlineStr">
        <is>
          <t>c4ly</t>
        </is>
      </c>
      <c r="B154" s="23" t="inlineStr">
        <is>
          <t>Libya</t>
        </is>
      </c>
      <c r="C154" s="19" t="inlineStr">
        <is>
          <t>LY</t>
        </is>
      </c>
      <c r="D154" s="57" t="n"/>
      <c r="E154" s="57" t="n"/>
      <c r="F154" s="89" t="n">
        <v>428</v>
      </c>
      <c r="G154" s="89" t="n">
        <v>577</v>
      </c>
      <c r="H154" s="57" t="n"/>
      <c r="I154" s="55">
        <f t="array" ref="I154">G154+F154</f>
        <v/>
      </c>
      <c r="J154" s="57" t="n"/>
      <c r="K154" s="57" t="n"/>
      <c r="L154" s="57" t="n"/>
    </row>
    <row r="155" ht="20.1" customHeight="1" s="206">
      <c r="A155" s="2" t="inlineStr">
        <is>
          <t>c4ma</t>
        </is>
      </c>
      <c r="B155" s="23" t="inlineStr">
        <is>
          <t>Morocco</t>
        </is>
      </c>
      <c r="C155" s="19" t="inlineStr">
        <is>
          <t>MA</t>
        </is>
      </c>
      <c r="D155" s="57" t="n"/>
      <c r="E155" s="57" t="n"/>
      <c r="F155" s="89" t="n">
        <v>1550</v>
      </c>
      <c r="G155" s="89" t="n">
        <v>1771</v>
      </c>
      <c r="H155" s="57" t="n"/>
      <c r="I155" s="55">
        <f t="array" ref="I155">G155+F155</f>
        <v/>
      </c>
      <c r="J155" s="57" t="n"/>
      <c r="K155" s="57" t="n"/>
      <c r="L155" s="57" t="n"/>
    </row>
    <row r="156" ht="20.1" customHeight="1" s="206">
      <c r="A156" s="2" t="inlineStr">
        <is>
          <t>c4mg</t>
        </is>
      </c>
      <c r="B156" s="23" t="inlineStr">
        <is>
          <t>Madagascar</t>
        </is>
      </c>
      <c r="C156" s="19" t="inlineStr">
        <is>
          <t>MG</t>
        </is>
      </c>
      <c r="D156" s="57" t="n"/>
      <c r="E156" s="57" t="n"/>
      <c r="F156" s="89" t="n">
        <v>198</v>
      </c>
      <c r="G156" s="89" t="n">
        <v>58</v>
      </c>
      <c r="H156" s="57" t="n"/>
      <c r="I156" s="55">
        <f t="array" ref="I156">G156+F156</f>
        <v/>
      </c>
      <c r="J156" s="57" t="n"/>
      <c r="K156" s="57" t="n"/>
      <c r="L156" s="57" t="n"/>
    </row>
    <row r="157" ht="20.1" customHeight="1" s="206">
      <c r="A157" s="2" t="inlineStr">
        <is>
          <t>c4ml</t>
        </is>
      </c>
      <c r="B157" s="23" t="inlineStr">
        <is>
          <t>Mali</t>
        </is>
      </c>
      <c r="C157" s="19" t="inlineStr">
        <is>
          <t>ML</t>
        </is>
      </c>
      <c r="D157" s="57" t="n"/>
      <c r="E157" s="57" t="n"/>
      <c r="F157" s="89" t="n">
        <v>46</v>
      </c>
      <c r="G157" s="89" t="n">
        <v>101</v>
      </c>
      <c r="H157" s="57" t="n"/>
      <c r="I157" s="55">
        <f t="array" ref="I157">G157+F157</f>
        <v/>
      </c>
      <c r="J157" s="57" t="n"/>
      <c r="K157" s="57" t="n"/>
      <c r="L157" s="57" t="n"/>
    </row>
    <row r="158" ht="20.1" customHeight="1" s="206">
      <c r="A158" s="2" t="inlineStr">
        <is>
          <t>c4mr</t>
        </is>
      </c>
      <c r="B158" s="23" t="inlineStr">
        <is>
          <t>Mauritania</t>
        </is>
      </c>
      <c r="C158" s="19" t="inlineStr">
        <is>
          <t>MR</t>
        </is>
      </c>
      <c r="D158" s="57" t="n"/>
      <c r="E158" s="57" t="n"/>
      <c r="F158" s="89" t="n">
        <v>6</v>
      </c>
      <c r="G158" s="89" t="n">
        <v>25</v>
      </c>
      <c r="H158" s="57" t="n"/>
      <c r="I158" s="55">
        <f t="array" ref="I158">G158+F158</f>
        <v/>
      </c>
      <c r="J158" s="57" t="n"/>
      <c r="K158" s="57" t="n"/>
      <c r="L158" s="57" t="n"/>
    </row>
    <row r="159" ht="20.1" customHeight="1" s="206">
      <c r="A159" s="2" t="inlineStr">
        <is>
          <t>c4mu</t>
        </is>
      </c>
      <c r="B159" s="23" t="inlineStr">
        <is>
          <t>Mauritius</t>
        </is>
      </c>
      <c r="C159" s="19" t="inlineStr">
        <is>
          <t>MU</t>
        </is>
      </c>
      <c r="D159" s="57" t="n"/>
      <c r="E159" s="57" t="n"/>
      <c r="F159" s="89" t="n">
        <v>87</v>
      </c>
      <c r="G159" s="89" t="n">
        <v>66</v>
      </c>
      <c r="H159" s="57" t="n"/>
      <c r="I159" s="55">
        <f t="array" ref="I159">G159+F159</f>
        <v/>
      </c>
      <c r="J159" s="57" t="n"/>
      <c r="K159" s="57" t="n"/>
      <c r="L159" s="57" t="n"/>
    </row>
    <row r="160" ht="20.1" customHeight="1" s="206">
      <c r="A160" s="2" t="inlineStr">
        <is>
          <t>c4mw</t>
        </is>
      </c>
      <c r="B160" s="23" t="inlineStr">
        <is>
          <t>Malawi</t>
        </is>
      </c>
      <c r="C160" s="19" t="inlineStr">
        <is>
          <t>MW</t>
        </is>
      </c>
      <c r="D160" s="57" t="n"/>
      <c r="E160" s="57" t="n"/>
      <c r="F160" s="89" t="n">
        <v>36</v>
      </c>
      <c r="G160" s="89" t="n">
        <v>46</v>
      </c>
      <c r="H160" s="57" t="n"/>
      <c r="I160" s="55">
        <f t="array" ref="I160">G160+F160</f>
        <v/>
      </c>
      <c r="J160" s="57" t="n"/>
      <c r="K160" s="57" t="n"/>
      <c r="L160" s="57" t="n"/>
    </row>
    <row r="161" ht="20.1" customHeight="1" s="206">
      <c r="A161" s="2" t="inlineStr">
        <is>
          <t>c4mz</t>
        </is>
      </c>
      <c r="B161" s="23" t="inlineStr">
        <is>
          <t>Mozambique</t>
        </is>
      </c>
      <c r="C161" s="19" t="inlineStr">
        <is>
          <t>MZ</t>
        </is>
      </c>
      <c r="D161" s="57" t="n"/>
      <c r="E161" s="57" t="n"/>
      <c r="F161" s="89" t="n">
        <v>68</v>
      </c>
      <c r="G161" s="89" t="n">
        <v>52</v>
      </c>
      <c r="H161" s="57" t="n"/>
      <c r="I161" s="55">
        <f t="array" ref="I161">G161+F161</f>
        <v/>
      </c>
      <c r="J161" s="57" t="n"/>
      <c r="K161" s="57" t="n"/>
      <c r="L161" s="57" t="n"/>
    </row>
    <row r="162" ht="20.1" customHeight="1" s="206">
      <c r="A162" s="2" t="inlineStr">
        <is>
          <t>c4na</t>
        </is>
      </c>
      <c r="B162" s="23" t="inlineStr">
        <is>
          <t>Namibia</t>
        </is>
      </c>
      <c r="C162" s="19" t="inlineStr">
        <is>
          <t>NA</t>
        </is>
      </c>
      <c r="D162" s="57" t="n"/>
      <c r="E162" s="57" t="n"/>
      <c r="F162" s="89" t="n">
        <v>187</v>
      </c>
      <c r="G162" s="89" t="n">
        <v>136</v>
      </c>
      <c r="H162" s="57" t="n"/>
      <c r="I162" s="55">
        <f t="array" ref="I162">G162+F162</f>
        <v/>
      </c>
      <c r="J162" s="57" t="n"/>
      <c r="K162" s="57" t="n"/>
      <c r="L162" s="57" t="n"/>
    </row>
    <row r="163" ht="20.1" customHeight="1" s="206">
      <c r="A163" s="2" t="inlineStr">
        <is>
          <t>c4ne</t>
        </is>
      </c>
      <c r="B163" s="23" t="inlineStr">
        <is>
          <t>Niger (the)</t>
        </is>
      </c>
      <c r="C163" s="19" t="inlineStr">
        <is>
          <t>NE</t>
        </is>
      </c>
      <c r="D163" s="57" t="n"/>
      <c r="E163" s="57" t="n"/>
      <c r="F163" s="89" t="n">
        <v>23</v>
      </c>
      <c r="G163" s="89" t="n">
        <v>26</v>
      </c>
      <c r="H163" s="57" t="n"/>
      <c r="I163" s="55">
        <f t="array" ref="I163">G163+F163</f>
        <v/>
      </c>
      <c r="J163" s="57" t="n"/>
      <c r="K163" s="57" t="n"/>
      <c r="L163" s="57" t="n"/>
    </row>
    <row r="164" ht="20.1" customHeight="1" s="206">
      <c r="A164" s="2" t="inlineStr">
        <is>
          <t>c4ng</t>
        </is>
      </c>
      <c r="B164" s="23" t="inlineStr">
        <is>
          <t>Nigeria</t>
        </is>
      </c>
      <c r="C164" s="19" t="inlineStr">
        <is>
          <t>NG</t>
        </is>
      </c>
      <c r="D164" s="57" t="n"/>
      <c r="E164" s="57" t="n"/>
      <c r="F164" s="89" t="n">
        <v>3602</v>
      </c>
      <c r="G164" s="89" t="n">
        <v>5400</v>
      </c>
      <c r="H164" s="57" t="n"/>
      <c r="I164" s="55">
        <f t="array" ref="I164">G164+F164</f>
        <v/>
      </c>
      <c r="J164" s="57" t="n"/>
      <c r="K164" s="57" t="n"/>
      <c r="L164" s="57" t="n"/>
    </row>
    <row r="165" ht="20.1" customHeight="1" s="206">
      <c r="A165" s="2" t="inlineStr">
        <is>
          <t>c4re</t>
        </is>
      </c>
      <c r="B165" s="23" t="inlineStr">
        <is>
          <t>Réunion</t>
        </is>
      </c>
      <c r="C165" s="19" t="inlineStr">
        <is>
          <t>RE</t>
        </is>
      </c>
      <c r="D165" s="57" t="n"/>
      <c r="E165" s="57" t="n"/>
      <c r="F165" s="89" t="n"/>
      <c r="G165" s="89" t="n"/>
      <c r="H165" s="57" t="n"/>
      <c r="I165" s="55">
        <f t="array" ref="I165">G165+F165</f>
        <v/>
      </c>
      <c r="J165" s="57" t="n"/>
      <c r="K165" s="57" t="n"/>
      <c r="L165" s="57" t="n"/>
    </row>
    <row r="166" ht="20.1" customHeight="1" s="206">
      <c r="A166" s="2" t="inlineStr">
        <is>
          <t>c4rw</t>
        </is>
      </c>
      <c r="B166" s="23" t="inlineStr">
        <is>
          <t>Rwanda</t>
        </is>
      </c>
      <c r="C166" s="19" t="inlineStr">
        <is>
          <t>RW</t>
        </is>
      </c>
      <c r="D166" s="57" t="n"/>
      <c r="E166" s="57" t="n"/>
      <c r="F166" s="89" t="n">
        <v>145</v>
      </c>
      <c r="G166" s="89" t="n">
        <v>147</v>
      </c>
      <c r="H166" s="57" t="n"/>
      <c r="I166" s="55">
        <f t="array" ref="I166">G166+F166</f>
        <v/>
      </c>
      <c r="J166" s="57" t="n"/>
      <c r="K166" s="57" t="n"/>
      <c r="L166" s="57" t="n"/>
    </row>
    <row r="167" ht="20.1" customHeight="1" s="206">
      <c r="A167" s="2" t="inlineStr">
        <is>
          <t>c4sd</t>
        </is>
      </c>
      <c r="B167" s="23" t="inlineStr">
        <is>
          <t>Sudan (the)</t>
        </is>
      </c>
      <c r="C167" s="19" t="inlineStr">
        <is>
          <t>SD</t>
        </is>
      </c>
      <c r="D167" s="57" t="n"/>
      <c r="E167" s="57" t="n"/>
      <c r="F167" s="89" t="n">
        <v>351</v>
      </c>
      <c r="G167" s="89" t="n">
        <v>611</v>
      </c>
      <c r="H167" s="57" t="n"/>
      <c r="I167" s="55">
        <f t="array" ref="I167">G167+F167</f>
        <v/>
      </c>
      <c r="J167" s="57" t="n"/>
      <c r="K167" s="57" t="n"/>
      <c r="L167" s="57" t="n"/>
    </row>
    <row r="168" ht="32.1" customHeight="1" s="206">
      <c r="A168" s="2" t="inlineStr">
        <is>
          <t>c4sh</t>
        </is>
      </c>
      <c r="B168" s="23" t="inlineStr">
        <is>
          <t>Saint Helena, Ascension Island, Tristan da Cunha</t>
        </is>
      </c>
      <c r="C168" s="19" t="inlineStr">
        <is>
          <t>SH</t>
        </is>
      </c>
      <c r="D168" s="57" t="n"/>
      <c r="E168" s="57" t="n"/>
      <c r="F168" s="89" t="n">
        <v>0</v>
      </c>
      <c r="G168" s="89" t="n">
        <v>1</v>
      </c>
      <c r="H168" s="57" t="n"/>
      <c r="I168" s="55">
        <f t="array" ref="I168">G168+F168</f>
        <v/>
      </c>
      <c r="J168" s="57" t="n"/>
      <c r="K168" s="57" t="n"/>
      <c r="L168" s="57" t="n"/>
    </row>
    <row r="169" ht="20.1" customHeight="1" s="206">
      <c r="A169" s="2" t="inlineStr">
        <is>
          <t>c4sl</t>
        </is>
      </c>
      <c r="B169" s="23" t="inlineStr">
        <is>
          <t>Sierra Leone</t>
        </is>
      </c>
      <c r="C169" s="19" t="inlineStr">
        <is>
          <t>SL</t>
        </is>
      </c>
      <c r="D169" s="57" t="n"/>
      <c r="E169" s="57" t="n"/>
      <c r="F169" s="89" t="n">
        <v>73</v>
      </c>
      <c r="G169" s="89" t="n">
        <v>132</v>
      </c>
      <c r="H169" s="57" t="n"/>
      <c r="I169" s="55">
        <f t="array" ref="I169">G169+F169</f>
        <v/>
      </c>
      <c r="J169" s="57" t="n"/>
      <c r="K169" s="57" t="n"/>
      <c r="L169" s="57" t="n"/>
    </row>
    <row r="170" ht="20.1" customHeight="1" s="206">
      <c r="A170" s="2" t="inlineStr">
        <is>
          <t>c4sn</t>
        </is>
      </c>
      <c r="B170" s="23" t="inlineStr">
        <is>
          <t>Senegal</t>
        </is>
      </c>
      <c r="C170" s="19" t="inlineStr">
        <is>
          <t>SN</t>
        </is>
      </c>
      <c r="D170" s="57" t="n"/>
      <c r="E170" s="57" t="n"/>
      <c r="F170" s="89" t="n">
        <v>149</v>
      </c>
      <c r="G170" s="89" t="n">
        <v>287</v>
      </c>
      <c r="H170" s="57" t="n"/>
      <c r="I170" s="55">
        <f t="array" ref="I170">G170+F170</f>
        <v/>
      </c>
      <c r="J170" s="57" t="n"/>
      <c r="K170" s="57" t="n"/>
      <c r="L170" s="57" t="n"/>
    </row>
    <row r="171" ht="20.1" customHeight="1" s="206">
      <c r="A171" s="2" t="inlineStr">
        <is>
          <t>c4so</t>
        </is>
      </c>
      <c r="B171" s="23" t="inlineStr">
        <is>
          <t>Somalia</t>
        </is>
      </c>
      <c r="C171" s="19" t="inlineStr">
        <is>
          <t>SO</t>
        </is>
      </c>
      <c r="D171" s="57" t="n"/>
      <c r="E171" s="57" t="n"/>
      <c r="F171" s="89" t="n">
        <v>3427</v>
      </c>
      <c r="G171" s="89" t="n">
        <v>5512</v>
      </c>
      <c r="H171" s="57" t="n"/>
      <c r="I171" s="55">
        <f t="array" ref="I171">G171+F171</f>
        <v/>
      </c>
      <c r="J171" s="57" t="n"/>
      <c r="K171" s="57" t="n"/>
      <c r="L171" s="57" t="n"/>
    </row>
    <row r="172" ht="20.1" customHeight="1" s="206">
      <c r="A172" s="2" t="inlineStr">
        <is>
          <t>c4ss</t>
        </is>
      </c>
      <c r="B172" s="23" t="inlineStr">
        <is>
          <t>South Sudan</t>
        </is>
      </c>
      <c r="C172" s="19" t="inlineStr">
        <is>
          <t>SS</t>
        </is>
      </c>
      <c r="D172" s="57" t="n"/>
      <c r="E172" s="57" t="n"/>
      <c r="F172" s="89" t="n"/>
      <c r="G172" s="89" t="n"/>
      <c r="H172" s="57" t="n"/>
      <c r="I172" s="55">
        <f t="array" ref="I172">G172+F172</f>
        <v/>
      </c>
      <c r="J172" s="57" t="n"/>
      <c r="K172" s="57" t="n"/>
      <c r="L172" s="57" t="n"/>
    </row>
    <row r="173" ht="20.1" customHeight="1" s="206">
      <c r="A173" s="2" t="inlineStr">
        <is>
          <t>c4st</t>
        </is>
      </c>
      <c r="B173" s="23" t="inlineStr">
        <is>
          <t>Sao Tome and Principe</t>
        </is>
      </c>
      <c r="C173" s="19" t="inlineStr">
        <is>
          <t>ST</t>
        </is>
      </c>
      <c r="D173" s="57" t="n"/>
      <c r="E173" s="57" t="n"/>
      <c r="F173" s="89" t="n">
        <v>0</v>
      </c>
      <c r="G173" s="89" t="n">
        <v>1</v>
      </c>
      <c r="H173" s="57" t="n"/>
      <c r="I173" s="55">
        <f t="array" ref="I173">G173+F173</f>
        <v/>
      </c>
      <c r="J173" s="57" t="n"/>
      <c r="K173" s="57" t="n"/>
      <c r="L173" s="57" t="n"/>
    </row>
    <row r="174" ht="20.1" customHeight="1" s="206">
      <c r="A174" s="2" t="inlineStr">
        <is>
          <t>c4sz</t>
        </is>
      </c>
      <c r="B174" s="23" t="inlineStr">
        <is>
          <t>Eswatini</t>
        </is>
      </c>
      <c r="C174" s="19" t="inlineStr">
        <is>
          <t>SZ</t>
        </is>
      </c>
      <c r="D174" s="57" t="n"/>
      <c r="E174" s="57" t="n"/>
      <c r="F174" s="89" t="n">
        <v>20</v>
      </c>
      <c r="G174" s="89" t="n">
        <v>22</v>
      </c>
      <c r="H174" s="57" t="n"/>
      <c r="I174" s="55">
        <f t="array" ref="I174">G174+F174</f>
        <v/>
      </c>
      <c r="J174" s="57" t="n"/>
      <c r="K174" s="57" t="n"/>
      <c r="L174" s="57" t="n"/>
    </row>
    <row r="175" ht="20.1" customHeight="1" s="206">
      <c r="A175" s="2" t="inlineStr">
        <is>
          <t>c4td</t>
        </is>
      </c>
      <c r="B175" s="23" t="inlineStr">
        <is>
          <t>Chad</t>
        </is>
      </c>
      <c r="C175" s="19" t="inlineStr">
        <is>
          <t>TD</t>
        </is>
      </c>
      <c r="D175" s="57" t="n"/>
      <c r="E175" s="57" t="n"/>
      <c r="F175" s="89" t="n">
        <v>10</v>
      </c>
      <c r="G175" s="89" t="n">
        <v>13</v>
      </c>
      <c r="H175" s="57" t="n"/>
      <c r="I175" s="55">
        <f t="array" ref="I175">G175+F175</f>
        <v/>
      </c>
      <c r="J175" s="57" t="n"/>
      <c r="K175" s="57" t="n"/>
      <c r="L175" s="57" t="n"/>
    </row>
    <row r="176" ht="20.1" customHeight="1" s="206">
      <c r="A176" s="2" t="inlineStr">
        <is>
          <t>c4tg</t>
        </is>
      </c>
      <c r="B176" s="23" t="inlineStr">
        <is>
          <t>Togo</t>
        </is>
      </c>
      <c r="C176" s="19" t="inlineStr">
        <is>
          <t>TG</t>
        </is>
      </c>
      <c r="D176" s="57" t="n"/>
      <c r="E176" s="57" t="n"/>
      <c r="F176" s="89" t="n">
        <v>94</v>
      </c>
      <c r="G176" s="89" t="n">
        <v>133</v>
      </c>
      <c r="H176" s="57" t="n"/>
      <c r="I176" s="55">
        <f t="array" ref="I176">G176+F176</f>
        <v/>
      </c>
      <c r="J176" s="57" t="n"/>
      <c r="K176" s="57" t="n"/>
      <c r="L176" s="57" t="n"/>
    </row>
    <row r="177" ht="20.1" customHeight="1" s="206">
      <c r="A177" s="2" t="inlineStr">
        <is>
          <t>c4tn</t>
        </is>
      </c>
      <c r="B177" s="23" t="inlineStr">
        <is>
          <t>Tunisia</t>
        </is>
      </c>
      <c r="C177" s="19" t="inlineStr">
        <is>
          <t>TN</t>
        </is>
      </c>
      <c r="D177" s="57" t="n"/>
      <c r="E177" s="57" t="n"/>
      <c r="F177" s="89" t="n">
        <v>1943</v>
      </c>
      <c r="G177" s="89" t="n">
        <v>3244</v>
      </c>
      <c r="H177" s="57" t="n"/>
      <c r="I177" s="55">
        <f t="array" ref="I177">G177+F177</f>
        <v/>
      </c>
      <c r="J177" s="57" t="n"/>
      <c r="K177" s="57" t="n"/>
      <c r="L177" s="57" t="n"/>
    </row>
    <row r="178" ht="20.1" customHeight="1" s="206">
      <c r="A178" s="2" t="inlineStr">
        <is>
          <t>c4tz</t>
        </is>
      </c>
      <c r="B178" s="23" t="inlineStr">
        <is>
          <t>Tanzania</t>
        </is>
      </c>
      <c r="C178" s="19" t="inlineStr">
        <is>
          <t>TZ</t>
        </is>
      </c>
      <c r="D178" s="57" t="n"/>
      <c r="E178" s="57" t="n"/>
      <c r="F178" s="89" t="n">
        <v>166</v>
      </c>
      <c r="G178" s="89" t="n">
        <v>183</v>
      </c>
      <c r="H178" s="57" t="n"/>
      <c r="I178" s="55">
        <f t="array" ref="I178">G178+F178</f>
        <v/>
      </c>
      <c r="J178" s="57" t="n"/>
      <c r="K178" s="57" t="n"/>
      <c r="L178" s="57" t="n"/>
    </row>
    <row r="179" ht="20.1" customHeight="1" s="206">
      <c r="A179" s="2" t="inlineStr">
        <is>
          <t>c4ug</t>
        </is>
      </c>
      <c r="B179" s="23" t="inlineStr">
        <is>
          <t>Uganda</t>
        </is>
      </c>
      <c r="C179" s="19" t="inlineStr">
        <is>
          <t>UG</t>
        </is>
      </c>
      <c r="D179" s="57" t="n"/>
      <c r="E179" s="57" t="n"/>
      <c r="F179" s="89" t="n">
        <v>313</v>
      </c>
      <c r="G179" s="89" t="n">
        <v>253</v>
      </c>
      <c r="H179" s="57" t="n"/>
      <c r="I179" s="55">
        <f t="array" ref="I179">G179+F179</f>
        <v/>
      </c>
      <c r="J179" s="57" t="n"/>
      <c r="K179" s="57" t="n"/>
      <c r="L179" s="57" t="n"/>
    </row>
    <row r="180" ht="20.1" customHeight="1" s="206">
      <c r="A180" s="2" t="inlineStr">
        <is>
          <t>c4yt</t>
        </is>
      </c>
      <c r="B180" s="23" t="inlineStr">
        <is>
          <t>Mayotte</t>
        </is>
      </c>
      <c r="C180" s="19" t="inlineStr">
        <is>
          <t>YT</t>
        </is>
      </c>
      <c r="D180" s="57" t="n"/>
      <c r="E180" s="57" t="n"/>
      <c r="F180" s="89" t="n"/>
      <c r="G180" s="89" t="n"/>
      <c r="H180" s="57" t="n"/>
      <c r="I180" s="55">
        <f t="array" ref="I180">G180+F180</f>
        <v/>
      </c>
      <c r="J180" s="57" t="n"/>
      <c r="K180" s="57" t="n"/>
      <c r="L180" s="57" t="n"/>
    </row>
    <row r="181" ht="20.1" customHeight="1" s="206">
      <c r="A181" s="2" t="inlineStr">
        <is>
          <t>c4za</t>
        </is>
      </c>
      <c r="B181" s="23" t="inlineStr">
        <is>
          <t>South Africa</t>
        </is>
      </c>
      <c r="C181" s="19" t="inlineStr">
        <is>
          <t>ZA</t>
        </is>
      </c>
      <c r="D181" s="57" t="n"/>
      <c r="E181" s="57" t="n"/>
      <c r="F181" s="89" t="n">
        <v>1958</v>
      </c>
      <c r="G181" s="89" t="n">
        <v>1737</v>
      </c>
      <c r="H181" s="57" t="n"/>
      <c r="I181" s="55">
        <f t="array" ref="I181">G181+F181</f>
        <v/>
      </c>
      <c r="J181" s="57" t="n"/>
      <c r="K181" s="57" t="n"/>
      <c r="L181" s="57" t="n"/>
    </row>
    <row r="182" ht="20.1" customHeight="1" s="206">
      <c r="A182" s="2" t="inlineStr">
        <is>
          <t>c4zm</t>
        </is>
      </c>
      <c r="B182" s="23" t="inlineStr">
        <is>
          <t>Zambia</t>
        </is>
      </c>
      <c r="C182" s="19" t="inlineStr">
        <is>
          <t>ZM</t>
        </is>
      </c>
      <c r="D182" s="57" t="n"/>
      <c r="E182" s="57" t="n"/>
      <c r="F182" s="89" t="n">
        <v>90</v>
      </c>
      <c r="G182" s="89" t="n">
        <v>59</v>
      </c>
      <c r="H182" s="57" t="n"/>
      <c r="I182" s="55">
        <f t="array" ref="I182">G182+F182</f>
        <v/>
      </c>
      <c r="J182" s="57" t="n"/>
      <c r="K182" s="57" t="n"/>
      <c r="L182" s="57" t="n"/>
    </row>
    <row r="183" ht="20.1" customHeight="1" s="206">
      <c r="A183" s="2" t="inlineStr">
        <is>
          <t>c4zw</t>
        </is>
      </c>
      <c r="B183" s="23" t="inlineStr">
        <is>
          <t>Zimbabwe</t>
        </is>
      </c>
      <c r="C183" s="19" t="inlineStr">
        <is>
          <t>ZW</t>
        </is>
      </c>
      <c r="D183" s="57" t="n"/>
      <c r="E183" s="57" t="n"/>
      <c r="F183" s="89" t="n">
        <v>236</v>
      </c>
      <c r="G183" s="89" t="n">
        <v>204</v>
      </c>
      <c r="H183" s="57" t="n"/>
      <c r="I183" s="55">
        <f t="array" ref="I183">G183+F183</f>
        <v/>
      </c>
      <c r="J183" s="57" t="n"/>
      <c r="K183" s="57" t="n"/>
      <c r="L183" s="57" t="n"/>
    </row>
    <row r="184" ht="20.1" customHeight="1" s="206">
      <c r="A184" s="2" t="inlineStr">
        <is>
          <t>c4</t>
        </is>
      </c>
      <c r="B184" s="138" t="inlineStr">
        <is>
          <t>Africa</t>
        </is>
      </c>
      <c r="C184" s="52" t="n"/>
      <c r="D184" s="57" t="n"/>
      <c r="E184" s="57" t="n"/>
      <c r="F184" s="55" t="n">
        <v>720000</v>
      </c>
      <c r="G184" s="55" t="n">
        <v>730000</v>
      </c>
      <c r="H184" s="57" t="n"/>
      <c r="I184" s="55">
        <f t="array" ref="I184">SUM(I126:I183)</f>
        <v/>
      </c>
      <c r="J184" s="57" t="n"/>
      <c r="K184" s="57" t="n"/>
      <c r="L184" s="57" t="n"/>
    </row>
    <row r="185" ht="20.1" customHeight="1" s="206">
      <c r="A185" s="1" t="n"/>
      <c r="B185" s="18" t="n"/>
      <c r="C185" s="13" t="n"/>
      <c r="D185" s="57" t="n"/>
      <c r="E185" s="57" t="n"/>
      <c r="F185" s="57" t="n"/>
      <c r="G185" s="57" t="n"/>
      <c r="H185" s="57" t="n"/>
      <c r="I185" s="57" t="n"/>
      <c r="J185" s="57" t="n"/>
      <c r="K185" s="57" t="n"/>
      <c r="L185" s="57" t="n"/>
    </row>
    <row r="186" ht="20.1" customHeight="1" s="206">
      <c r="A186" s="1" t="n"/>
      <c r="B186" s="23" t="inlineStr">
        <is>
          <t>Middle East</t>
        </is>
      </c>
      <c r="C186" s="13" t="n"/>
      <c r="D186" s="57" t="n"/>
      <c r="E186" s="57" t="n"/>
      <c r="F186" s="57" t="n"/>
      <c r="G186" s="57" t="n"/>
      <c r="H186" s="57" t="n"/>
      <c r="I186" s="57" t="n"/>
      <c r="J186" s="57" t="n"/>
      <c r="K186" s="57" t="n"/>
      <c r="L186" s="57" t="n"/>
    </row>
    <row r="187" ht="20.1" customHeight="1" s="206">
      <c r="A187" s="2" t="inlineStr">
        <is>
          <t>c5ae</t>
        </is>
      </c>
      <c r="B187" s="23" t="inlineStr">
        <is>
          <t>United Arab Emirates (the)</t>
        </is>
      </c>
      <c r="C187" s="19" t="inlineStr">
        <is>
          <t>AE</t>
        </is>
      </c>
      <c r="D187" s="57" t="n"/>
      <c r="E187" s="57" t="n"/>
      <c r="F187" s="89" t="n">
        <v>431</v>
      </c>
      <c r="G187" s="89" t="n">
        <v>482</v>
      </c>
      <c r="H187" s="57" t="n"/>
      <c r="I187" s="55">
        <f t="array" ref="I187">G187+F187</f>
        <v/>
      </c>
      <c r="J187" s="57" t="n"/>
      <c r="K187" s="57" t="n"/>
      <c r="L187" s="57" t="n"/>
    </row>
    <row r="188" ht="20.1" customHeight="1" s="206">
      <c r="A188" s="2" t="inlineStr">
        <is>
          <t>c5af</t>
        </is>
      </c>
      <c r="B188" s="23" t="inlineStr">
        <is>
          <t>Afghanistan</t>
        </is>
      </c>
      <c r="C188" s="19" t="inlineStr">
        <is>
          <t>AF</t>
        </is>
      </c>
      <c r="D188" s="57" t="n"/>
      <c r="E188" s="57" t="n"/>
      <c r="F188" s="89" t="n">
        <v>17458</v>
      </c>
      <c r="G188" s="89" t="n">
        <v>30713</v>
      </c>
      <c r="H188" s="57" t="n"/>
      <c r="I188" s="55">
        <f t="array" ref="I188">G188+F188</f>
        <v/>
      </c>
      <c r="J188" s="57" t="n"/>
      <c r="K188" s="57" t="n"/>
      <c r="L188" s="57" t="n"/>
    </row>
    <row r="189" ht="20.1" customHeight="1" s="206">
      <c r="A189" s="2" t="inlineStr">
        <is>
          <t>c5am</t>
        </is>
      </c>
      <c r="B189" s="23" t="inlineStr">
        <is>
          <t>Armenia</t>
        </is>
      </c>
      <c r="C189" s="19" t="inlineStr">
        <is>
          <t>AM</t>
        </is>
      </c>
      <c r="D189" s="57" t="n"/>
      <c r="E189" s="57" t="n"/>
      <c r="F189" s="89" t="n">
        <v>1973</v>
      </c>
      <c r="G189" s="89" t="n">
        <v>1686</v>
      </c>
      <c r="H189" s="57" t="n"/>
      <c r="I189" s="55">
        <f t="array" ref="I189">G189+F189</f>
        <v/>
      </c>
      <c r="J189" s="57" t="n"/>
      <c r="K189" s="57" t="n"/>
      <c r="L189" s="57" t="n"/>
    </row>
    <row r="190" ht="20.1" customHeight="1" s="206">
      <c r="A190" s="2" t="inlineStr">
        <is>
          <t>c5bh</t>
        </is>
      </c>
      <c r="B190" s="23" t="inlineStr">
        <is>
          <t>Bahrain</t>
        </is>
      </c>
      <c r="C190" s="19" t="inlineStr">
        <is>
          <t>BH</t>
        </is>
      </c>
      <c r="D190" s="57" t="n"/>
      <c r="E190" s="57" t="n"/>
      <c r="F190" s="89" t="n">
        <v>23</v>
      </c>
      <c r="G190" s="89" t="n">
        <v>18</v>
      </c>
      <c r="H190" s="57" t="n"/>
      <c r="I190" s="55">
        <f t="array" ref="I190">G190+F190</f>
        <v/>
      </c>
      <c r="J190" s="57" t="n"/>
      <c r="K190" s="57" t="n"/>
      <c r="L190" s="57" t="n"/>
    </row>
    <row r="191" ht="20.1" customHeight="1" s="206">
      <c r="A191" s="2" t="inlineStr">
        <is>
          <t>c5cy</t>
        </is>
      </c>
      <c r="B191" s="23" t="inlineStr">
        <is>
          <t>Cyprus</t>
        </is>
      </c>
      <c r="C191" s="19" t="inlineStr">
        <is>
          <t>CY</t>
        </is>
      </c>
      <c r="D191" s="57" t="n"/>
      <c r="E191" s="57" t="n"/>
      <c r="F191" s="89" t="n">
        <v>224</v>
      </c>
      <c r="G191" s="89" t="n">
        <v>280</v>
      </c>
      <c r="H191" s="57" t="n"/>
      <c r="I191" s="55">
        <f t="array" ref="I191">G191+F191</f>
        <v/>
      </c>
      <c r="J191" s="57" t="n"/>
      <c r="K191" s="57" t="n"/>
      <c r="L191" s="57" t="n"/>
    </row>
    <row r="192" ht="20.1" customHeight="1" s="206">
      <c r="A192" s="2" t="inlineStr">
        <is>
          <t>c5ge</t>
        </is>
      </c>
      <c r="B192" s="23" t="inlineStr">
        <is>
          <t>Georgia</t>
        </is>
      </c>
      <c r="C192" s="19" t="inlineStr">
        <is>
          <t>GE</t>
        </is>
      </c>
      <c r="D192" s="57" t="n"/>
      <c r="E192" s="57" t="n"/>
      <c r="F192" s="89" t="n">
        <v>2410</v>
      </c>
      <c r="G192" s="89" t="n">
        <v>1756</v>
      </c>
      <c r="H192" s="57" t="n"/>
      <c r="I192" s="55">
        <f t="array" ref="I192">G192+F192</f>
        <v/>
      </c>
      <c r="J192" s="57" t="n"/>
      <c r="K192" s="57" t="n"/>
      <c r="L192" s="57" t="n"/>
    </row>
    <row r="193" ht="20.1" customHeight="1" s="206">
      <c r="A193" s="2" t="inlineStr">
        <is>
          <t>c5il</t>
        </is>
      </c>
      <c r="B193" s="23" t="inlineStr">
        <is>
          <t>Israel</t>
        </is>
      </c>
      <c r="C193" s="19" t="inlineStr">
        <is>
          <t>IL</t>
        </is>
      </c>
      <c r="D193" s="57" t="n"/>
      <c r="E193" s="57" t="n"/>
      <c r="F193" s="89" t="n">
        <v>1187</v>
      </c>
      <c r="G193" s="89" t="n">
        <v>1625</v>
      </c>
      <c r="H193" s="57" t="n"/>
      <c r="I193" s="55">
        <f t="array" ref="I193">G193+F193</f>
        <v/>
      </c>
      <c r="J193" s="57" t="n"/>
      <c r="K193" s="57" t="n"/>
      <c r="L193" s="57" t="n"/>
    </row>
    <row r="194" ht="20.1" customHeight="1" s="206">
      <c r="A194" s="2" t="inlineStr">
        <is>
          <t>c5iq</t>
        </is>
      </c>
      <c r="B194" s="23" t="inlineStr">
        <is>
          <t>Iraq</t>
        </is>
      </c>
      <c r="C194" s="19" t="inlineStr">
        <is>
          <t>IQ</t>
        </is>
      </c>
      <c r="D194" s="57" t="n"/>
      <c r="E194" s="57" t="n"/>
      <c r="F194" s="89" t="n">
        <v>5810</v>
      </c>
      <c r="G194" s="89" t="n">
        <v>9078</v>
      </c>
      <c r="H194" s="57" t="n"/>
      <c r="I194" s="55">
        <f t="array" ref="I194">G194+F194</f>
        <v/>
      </c>
      <c r="J194" s="57" t="n"/>
      <c r="K194" s="57" t="n"/>
      <c r="L194" s="57" t="n"/>
    </row>
    <row r="195" ht="20.1" customHeight="1" s="206">
      <c r="A195" s="2" t="inlineStr">
        <is>
          <t>c5ir</t>
        </is>
      </c>
      <c r="B195" s="23" t="inlineStr">
        <is>
          <t>Iran (Islamic Republic of)</t>
        </is>
      </c>
      <c r="C195" s="19" t="inlineStr">
        <is>
          <t>IR</t>
        </is>
      </c>
      <c r="D195" s="57" t="n"/>
      <c r="E195" s="57" t="n"/>
      <c r="F195" s="89" t="n">
        <v>14309</v>
      </c>
      <c r="G195" s="89" t="n">
        <v>16826</v>
      </c>
      <c r="H195" s="57" t="n"/>
      <c r="I195" s="55">
        <f t="array" ref="I195">G195+F195</f>
        <v/>
      </c>
      <c r="J195" s="57" t="n"/>
      <c r="K195" s="57" t="n"/>
      <c r="L195" s="57" t="n"/>
    </row>
    <row r="196" ht="20.1" customHeight="1" s="206">
      <c r="A196" s="2" t="inlineStr">
        <is>
          <t>c5jo</t>
        </is>
      </c>
      <c r="B196" s="23" t="inlineStr">
        <is>
          <t>Jordan</t>
        </is>
      </c>
      <c r="C196" s="19" t="inlineStr">
        <is>
          <t>JO</t>
        </is>
      </c>
      <c r="D196" s="57" t="n"/>
      <c r="E196" s="57" t="n"/>
      <c r="F196" s="89" t="n">
        <v>545</v>
      </c>
      <c r="G196" s="89" t="n">
        <v>818</v>
      </c>
      <c r="H196" s="57" t="n"/>
      <c r="I196" s="55">
        <f t="array" ref="I196">G196+F196</f>
        <v/>
      </c>
      <c r="J196" s="57" t="n"/>
      <c r="K196" s="57" t="n"/>
      <c r="L196" s="57" t="n"/>
    </row>
    <row r="197" ht="20.1" customHeight="1" s="206">
      <c r="A197" s="2" t="inlineStr">
        <is>
          <t>c5kw</t>
        </is>
      </c>
      <c r="B197" s="23" t="inlineStr">
        <is>
          <t>Kuwait</t>
        </is>
      </c>
      <c r="C197" s="19" t="inlineStr">
        <is>
          <t>KW</t>
        </is>
      </c>
      <c r="D197" s="57" t="n"/>
      <c r="E197" s="57" t="n"/>
      <c r="F197" s="89" t="n">
        <v>217</v>
      </c>
      <c r="G197" s="89" t="n">
        <v>393</v>
      </c>
      <c r="H197" s="57" t="n"/>
      <c r="I197" s="55">
        <f t="array" ref="I197">G197+F197</f>
        <v/>
      </c>
      <c r="J197" s="57" t="n"/>
      <c r="K197" s="57" t="n"/>
      <c r="L197" s="57" t="n"/>
    </row>
    <row r="198" ht="20.1" customHeight="1" s="206">
      <c r="A198" s="2" t="inlineStr">
        <is>
          <t>c5lb</t>
        </is>
      </c>
      <c r="B198" s="23" t="inlineStr">
        <is>
          <t>Lebanon</t>
        </is>
      </c>
      <c r="C198" s="19" t="inlineStr">
        <is>
          <t>LB</t>
        </is>
      </c>
      <c r="D198" s="57" t="n"/>
      <c r="E198" s="57" t="n"/>
      <c r="F198" s="89" t="n">
        <v>1131</v>
      </c>
      <c r="G198" s="89" t="n">
        <v>1492</v>
      </c>
      <c r="H198" s="57" t="n"/>
      <c r="I198" s="55">
        <f t="array" ref="I198">G198+F198</f>
        <v/>
      </c>
      <c r="J198" s="57" t="n"/>
      <c r="K198" s="57" t="n"/>
      <c r="L198" s="57" t="n"/>
    </row>
    <row r="199" ht="20.1" customHeight="1" s="206">
      <c r="A199" s="2" t="inlineStr">
        <is>
          <t>c5om</t>
        </is>
      </c>
      <c r="B199" s="23" t="inlineStr">
        <is>
          <t>Oman</t>
        </is>
      </c>
      <c r="C199" s="19" t="inlineStr">
        <is>
          <t>OM</t>
        </is>
      </c>
      <c r="D199" s="57" t="n"/>
      <c r="E199" s="57" t="n"/>
      <c r="F199" s="89" t="n">
        <v>24</v>
      </c>
      <c r="G199" s="89" t="n">
        <v>49</v>
      </c>
      <c r="H199" s="57" t="n"/>
      <c r="I199" s="55">
        <f t="array" ref="I199">G199+F199</f>
        <v/>
      </c>
      <c r="J199" s="57" t="n"/>
      <c r="K199" s="57" t="n"/>
      <c r="L199" s="57" t="n"/>
    </row>
    <row r="200" ht="20.1" customHeight="1" s="206">
      <c r="A200" s="2" t="inlineStr">
        <is>
          <t>c5pk</t>
        </is>
      </c>
      <c r="B200" s="23" t="inlineStr">
        <is>
          <t>Pakistan</t>
        </is>
      </c>
      <c r="C200" s="19" t="inlineStr">
        <is>
          <t>PK</t>
        </is>
      </c>
      <c r="D200" s="57" t="n"/>
      <c r="E200" s="57" t="n"/>
      <c r="F200" s="89" t="n">
        <v>2813</v>
      </c>
      <c r="G200" s="89" t="n">
        <v>5007</v>
      </c>
      <c r="H200" s="57" t="n"/>
      <c r="I200" s="55">
        <f t="array" ref="I200">G200+F200</f>
        <v/>
      </c>
      <c r="J200" s="57" t="n"/>
      <c r="K200" s="57" t="n"/>
      <c r="L200" s="57" t="n"/>
    </row>
    <row r="201" ht="20.1" customHeight="1" s="206">
      <c r="A201" s="2" t="inlineStr">
        <is>
          <t>c5ps</t>
        </is>
      </c>
      <c r="B201" s="23" t="inlineStr">
        <is>
          <t>Palestine</t>
        </is>
      </c>
      <c r="C201" s="19" t="inlineStr">
        <is>
          <t>PS</t>
        </is>
      </c>
      <c r="D201" s="57" t="n"/>
      <c r="E201" s="57" t="n"/>
      <c r="F201" s="89" t="n">
        <v>257</v>
      </c>
      <c r="G201" s="89" t="n">
        <v>488</v>
      </c>
      <c r="H201" s="57" t="n"/>
      <c r="I201" s="55">
        <f t="array" ref="I201">G201+F201</f>
        <v/>
      </c>
      <c r="J201" s="57" t="n"/>
      <c r="K201" s="57" t="n"/>
      <c r="L201" s="57" t="n"/>
    </row>
    <row r="202" ht="20.1" customHeight="1" s="206">
      <c r="A202" s="2" t="inlineStr">
        <is>
          <t>c5qa</t>
        </is>
      </c>
      <c r="B202" s="23" t="inlineStr">
        <is>
          <t>Qatar</t>
        </is>
      </c>
      <c r="C202" s="19" t="inlineStr">
        <is>
          <t>QA</t>
        </is>
      </c>
      <c r="D202" s="57" t="n"/>
      <c r="E202" s="57" t="n"/>
      <c r="F202" s="89" t="n">
        <v>33</v>
      </c>
      <c r="G202" s="89" t="n">
        <v>48</v>
      </c>
      <c r="H202" s="57" t="n"/>
      <c r="I202" s="55">
        <f t="array" ref="I202">G202+F202</f>
        <v/>
      </c>
      <c r="J202" s="57" t="n"/>
      <c r="K202" s="57" t="n"/>
      <c r="L202" s="57" t="n"/>
    </row>
    <row r="203" ht="20.1" customHeight="1" s="206">
      <c r="A203" s="2" t="inlineStr">
        <is>
          <t>c5sa</t>
        </is>
      </c>
      <c r="B203" s="23" t="inlineStr">
        <is>
          <t>Saudi Arabia</t>
        </is>
      </c>
      <c r="C203" s="19" t="inlineStr">
        <is>
          <t>SA</t>
        </is>
      </c>
      <c r="D203" s="57" t="n"/>
      <c r="E203" s="57" t="n"/>
      <c r="F203" s="89" t="n">
        <v>505</v>
      </c>
      <c r="G203" s="89" t="n">
        <v>645</v>
      </c>
      <c r="H203" s="57" t="n"/>
      <c r="I203" s="55">
        <f t="array" ref="I203">G203+F203</f>
        <v/>
      </c>
      <c r="J203" s="57" t="n"/>
      <c r="K203" s="57" t="n"/>
      <c r="L203" s="57" t="n"/>
    </row>
    <row r="204" ht="20.1" customHeight="1" s="206">
      <c r="A204" s="2" t="inlineStr">
        <is>
          <t>c5sy</t>
        </is>
      </c>
      <c r="B204" s="23" t="inlineStr">
        <is>
          <t>Syrian Arab Republic (the)</t>
        </is>
      </c>
      <c r="C204" s="19" t="inlineStr">
        <is>
          <t>SY</t>
        </is>
      </c>
      <c r="D204" s="57" t="n"/>
      <c r="E204" s="57" t="n"/>
      <c r="F204" s="89" t="n">
        <v>35465</v>
      </c>
      <c r="G204" s="89" t="n">
        <v>59338</v>
      </c>
      <c r="H204" s="57" t="n"/>
      <c r="I204" s="55">
        <f t="array" ref="I204">G204+F204</f>
        <v/>
      </c>
      <c r="J204" s="57" t="n"/>
      <c r="K204" s="57" t="n"/>
      <c r="L204" s="57" t="n"/>
    </row>
    <row r="205" ht="20.1" customHeight="1" s="206">
      <c r="A205" s="2" t="inlineStr">
        <is>
          <t>c5tl</t>
        </is>
      </c>
      <c r="B205" s="23" t="inlineStr">
        <is>
          <t>Timor-Leste</t>
        </is>
      </c>
      <c r="C205" s="19" t="inlineStr">
        <is>
          <t>TL</t>
        </is>
      </c>
      <c r="D205" s="57" t="n"/>
      <c r="E205" s="57" t="n"/>
      <c r="F205" s="89" t="n">
        <v>27</v>
      </c>
      <c r="G205" s="89" t="n">
        <v>13</v>
      </c>
      <c r="H205" s="57" t="n"/>
      <c r="I205" s="55">
        <f t="array" ref="I205">G205+F205</f>
        <v/>
      </c>
      <c r="J205" s="57" t="n"/>
      <c r="K205" s="57" t="n"/>
      <c r="L205" s="57" t="n"/>
    </row>
    <row r="206" ht="20.1" customHeight="1" s="206">
      <c r="A206" s="2" t="inlineStr">
        <is>
          <t>c5tr</t>
        </is>
      </c>
      <c r="B206" s="23" t="inlineStr">
        <is>
          <t>Türkiye</t>
        </is>
      </c>
      <c r="C206" s="19" t="inlineStr">
        <is>
          <t>TR</t>
        </is>
      </c>
      <c r="D206" s="57" t="n"/>
      <c r="E206" s="57" t="n"/>
      <c r="F206" s="89" t="n">
        <v>79064</v>
      </c>
      <c r="G206" s="89" t="n">
        <v>87714</v>
      </c>
      <c r="H206" s="57" t="n"/>
      <c r="I206" s="55">
        <f t="array" ref="I206">G206+F206</f>
        <v/>
      </c>
      <c r="J206" s="57" t="n"/>
      <c r="K206" s="57" t="n"/>
      <c r="L206" s="57" t="n"/>
    </row>
    <row r="207" ht="20.1" customHeight="1" s="206">
      <c r="A207" s="2" t="inlineStr">
        <is>
          <t>c5ye</t>
        </is>
      </c>
      <c r="B207" s="23" t="inlineStr">
        <is>
          <t>Yemen</t>
        </is>
      </c>
      <c r="C207" s="19" t="inlineStr">
        <is>
          <t>YE</t>
        </is>
      </c>
      <c r="D207" s="57" t="n"/>
      <c r="E207" s="57" t="n"/>
      <c r="F207" s="89" t="n">
        <v>292</v>
      </c>
      <c r="G207" s="89" t="n">
        <v>556</v>
      </c>
      <c r="H207" s="57" t="n"/>
      <c r="I207" s="55">
        <f t="array" ref="I207">G207+F207</f>
        <v/>
      </c>
      <c r="J207" s="57" t="n"/>
      <c r="K207" s="57" t="n"/>
      <c r="L207" s="57" t="n"/>
    </row>
    <row r="208" ht="20.1" customHeight="1" s="206">
      <c r="A208" s="2" t="inlineStr">
        <is>
          <t>c5</t>
        </is>
      </c>
      <c r="B208" s="138" t="inlineStr">
        <is>
          <t>Middle East</t>
        </is>
      </c>
      <c r="C208" s="52" t="n"/>
      <c r="D208" s="57" t="n"/>
      <c r="E208" s="57" t="n"/>
      <c r="F208" s="55" t="n">
        <v>460000</v>
      </c>
      <c r="G208" s="55" t="n">
        <v>490000</v>
      </c>
      <c r="H208" s="57" t="n"/>
      <c r="I208" s="55">
        <f t="array" ref="I208">SUM(I187:I207)</f>
        <v/>
      </c>
      <c r="J208" s="57" t="n"/>
      <c r="K208" s="57" t="n"/>
      <c r="L208" s="57" t="n"/>
    </row>
    <row r="209" ht="20.1" customHeight="1" s="206">
      <c r="A209" s="1" t="n"/>
      <c r="B209" s="18" t="n"/>
      <c r="C209" s="13" t="n"/>
      <c r="D209" s="57" t="n"/>
      <c r="E209" s="57" t="n"/>
      <c r="F209" s="57" t="n"/>
      <c r="G209" s="57" t="n"/>
      <c r="H209" s="57" t="n"/>
      <c r="I209" s="57" t="n"/>
      <c r="J209" s="57" t="n"/>
      <c r="K209" s="57" t="n"/>
      <c r="L209" s="57" t="n"/>
    </row>
    <row r="210" ht="20.1" customHeight="1" s="206">
      <c r="A210" s="1" t="n"/>
      <c r="B210" s="23" t="inlineStr">
        <is>
          <t>Far East</t>
        </is>
      </c>
      <c r="C210" s="13" t="n"/>
      <c r="D210" s="57" t="n"/>
      <c r="E210" s="57" t="n"/>
      <c r="F210" s="57" t="n"/>
      <c r="G210" s="57" t="n"/>
      <c r="H210" s="57" t="n"/>
      <c r="I210" s="57" t="n"/>
      <c r="J210" s="57" t="n"/>
      <c r="K210" s="57" t="n"/>
      <c r="L210" s="57" t="n"/>
    </row>
    <row r="211" ht="20.1" customHeight="1" s="206">
      <c r="A211" s="2" t="inlineStr">
        <is>
          <t>c6az</t>
        </is>
      </c>
      <c r="B211" s="23" t="inlineStr">
        <is>
          <t>Azerbaijan</t>
        </is>
      </c>
      <c r="C211" s="19" t="inlineStr">
        <is>
          <t>AZ</t>
        </is>
      </c>
      <c r="D211" s="57" t="n"/>
      <c r="E211" s="57" t="n"/>
      <c r="F211" s="89" t="n">
        <v>907</v>
      </c>
      <c r="G211" s="89" t="n">
        <v>851</v>
      </c>
      <c r="H211" s="57" t="n"/>
      <c r="I211" s="55">
        <f t="array" ref="I211">G211+F211</f>
        <v/>
      </c>
      <c r="J211" s="57" t="n"/>
      <c r="K211" s="57" t="n"/>
      <c r="L211" s="57" t="n"/>
    </row>
    <row r="212" ht="20.1" customHeight="1" s="206">
      <c r="A212" s="2" t="inlineStr">
        <is>
          <t>c6bd</t>
        </is>
      </c>
      <c r="B212" s="23" t="inlineStr">
        <is>
          <t>Bangladesh</t>
        </is>
      </c>
      <c r="C212" s="19" t="inlineStr">
        <is>
          <t>BD</t>
        </is>
      </c>
      <c r="D212" s="57" t="n"/>
      <c r="E212" s="57" t="n"/>
      <c r="F212" s="89" t="n">
        <v>1573</v>
      </c>
      <c r="G212" s="89" t="n">
        <v>2297</v>
      </c>
      <c r="H212" s="57" t="n"/>
      <c r="I212" s="55">
        <f t="array" ref="I212">G212+F212</f>
        <v/>
      </c>
      <c r="J212" s="57" t="n"/>
      <c r="K212" s="57" t="n"/>
      <c r="L212" s="57" t="n"/>
    </row>
    <row r="213" ht="20.1" customHeight="1" s="206">
      <c r="A213" s="2" t="inlineStr">
        <is>
          <t>c6bn</t>
        </is>
      </c>
      <c r="B213" s="23" t="inlineStr">
        <is>
          <t>Brunei Darussalam</t>
        </is>
      </c>
      <c r="C213" s="19" t="inlineStr">
        <is>
          <t>BN</t>
        </is>
      </c>
      <c r="D213" s="57" t="n"/>
      <c r="E213" s="57" t="n"/>
      <c r="F213" s="89" t="n">
        <v>6</v>
      </c>
      <c r="G213" s="89" t="n">
        <v>11</v>
      </c>
      <c r="H213" s="57" t="n"/>
      <c r="I213" s="55">
        <f t="array" ref="I213">G213+F213</f>
        <v/>
      </c>
      <c r="J213" s="57" t="n"/>
      <c r="K213" s="57" t="n"/>
      <c r="L213" s="57" t="n"/>
    </row>
    <row r="214" ht="20.1" customHeight="1" s="206">
      <c r="A214" s="2" t="inlineStr">
        <is>
          <t>c6bt</t>
        </is>
      </c>
      <c r="B214" s="23" t="inlineStr">
        <is>
          <t>Bhutan</t>
        </is>
      </c>
      <c r="C214" s="19" t="inlineStr">
        <is>
          <t>BT</t>
        </is>
      </c>
      <c r="D214" s="57" t="n"/>
      <c r="E214" s="57" t="n"/>
      <c r="F214" s="89" t="n">
        <v>17</v>
      </c>
      <c r="G214" s="89" t="n">
        <v>16</v>
      </c>
      <c r="H214" s="57" t="n"/>
      <c r="I214" s="55">
        <f t="array" ref="I214">G214+F214</f>
        <v/>
      </c>
      <c r="J214" s="57" t="n"/>
      <c r="K214" s="57" t="n"/>
      <c r="L214" s="57" t="n"/>
    </row>
    <row r="215" ht="20.1" customHeight="1" s="206">
      <c r="A215" s="2" t="inlineStr">
        <is>
          <t>c6cn</t>
        </is>
      </c>
      <c r="B215" s="23" t="inlineStr">
        <is>
          <t>China</t>
        </is>
      </c>
      <c r="C215" s="19" t="inlineStr">
        <is>
          <t>CN</t>
        </is>
      </c>
      <c r="D215" s="57" t="n"/>
      <c r="E215" s="57" t="n"/>
      <c r="F215" s="89" t="n">
        <v>12111</v>
      </c>
      <c r="G215" s="89" t="n">
        <v>9925</v>
      </c>
      <c r="H215" s="57" t="n"/>
      <c r="I215" s="55">
        <f t="array" ref="I215">G215+F215</f>
        <v/>
      </c>
      <c r="J215" s="57" t="n"/>
      <c r="K215" s="57" t="n"/>
      <c r="L215" s="57" t="n"/>
    </row>
    <row r="216" ht="20.1" customHeight="1" s="206">
      <c r="A216" s="2" t="inlineStr">
        <is>
          <t>c6cx</t>
        </is>
      </c>
      <c r="B216" s="23" t="inlineStr">
        <is>
          <t>Christmas Island</t>
        </is>
      </c>
      <c r="C216" s="19" t="inlineStr">
        <is>
          <t>CX</t>
        </is>
      </c>
      <c r="D216" s="57" t="n"/>
      <c r="E216" s="57" t="n"/>
      <c r="F216" s="89" t="n"/>
      <c r="G216" s="89" t="n"/>
      <c r="H216" s="57" t="n"/>
      <c r="I216" s="55">
        <f t="array" ref="I216">G216+F216</f>
        <v/>
      </c>
      <c r="J216" s="57" t="n"/>
      <c r="K216" s="57" t="n"/>
      <c r="L216" s="57" t="n"/>
    </row>
    <row r="217" ht="20.1" customHeight="1" s="206">
      <c r="A217" s="2" t="inlineStr">
        <is>
          <t>c6hk</t>
        </is>
      </c>
      <c r="B217" s="23" t="inlineStr">
        <is>
          <t>Hong Kong</t>
        </is>
      </c>
      <c r="C217" s="19" t="inlineStr">
        <is>
          <t>HK</t>
        </is>
      </c>
      <c r="D217" s="57" t="n"/>
      <c r="E217" s="57" t="n"/>
      <c r="F217" s="89" t="n"/>
      <c r="G217" s="89" t="n"/>
      <c r="H217" s="57" t="n"/>
      <c r="I217" s="55">
        <f t="array" ref="I217">G217+F217</f>
        <v/>
      </c>
      <c r="J217" s="57" t="n"/>
      <c r="K217" s="57" t="n"/>
      <c r="L217" s="57" t="n"/>
    </row>
    <row r="218" ht="20.1" customHeight="1" s="206">
      <c r="A218" s="2" t="inlineStr">
        <is>
          <t>c6id</t>
        </is>
      </c>
      <c r="B218" s="23" t="inlineStr">
        <is>
          <t>Indonesia</t>
        </is>
      </c>
      <c r="C218" s="19" t="inlineStr">
        <is>
          <t>ID</t>
        </is>
      </c>
      <c r="D218" s="57" t="n"/>
      <c r="E218" s="57" t="n"/>
      <c r="F218" s="89" t="n">
        <v>1243</v>
      </c>
      <c r="G218" s="89" t="n">
        <v>584</v>
      </c>
      <c r="H218" s="57" t="n"/>
      <c r="I218" s="55">
        <f t="array" ref="I218">G218+F218</f>
        <v/>
      </c>
      <c r="J218" s="57" t="n"/>
      <c r="K218" s="57" t="n"/>
      <c r="L218" s="57" t="n"/>
    </row>
    <row r="219" ht="20.1" customHeight="1" s="206">
      <c r="A219" s="2" t="inlineStr">
        <is>
          <t>c6in</t>
        </is>
      </c>
      <c r="B219" s="23" t="inlineStr">
        <is>
          <t>India</t>
        </is>
      </c>
      <c r="C219" s="19" t="inlineStr">
        <is>
          <t>IN</t>
        </is>
      </c>
      <c r="D219" s="57" t="n"/>
      <c r="E219" s="57" t="n"/>
      <c r="F219" s="89" t="n">
        <v>8868</v>
      </c>
      <c r="G219" s="89" t="n">
        <v>10984</v>
      </c>
      <c r="H219" s="57" t="n"/>
      <c r="I219" s="55">
        <f t="array" ref="I219">G219+F219</f>
        <v/>
      </c>
      <c r="J219" s="57" t="n"/>
      <c r="K219" s="57" t="n"/>
      <c r="L219" s="57" t="n"/>
    </row>
    <row r="220" ht="20.1" customHeight="1" s="206">
      <c r="A220" s="2" t="inlineStr">
        <is>
          <t>c6jp</t>
        </is>
      </c>
      <c r="B220" s="23" t="inlineStr">
        <is>
          <t>Japan</t>
        </is>
      </c>
      <c r="C220" s="19" t="inlineStr">
        <is>
          <t>JP</t>
        </is>
      </c>
      <c r="D220" s="57" t="n"/>
      <c r="E220" s="57" t="n"/>
      <c r="F220" s="89" t="n">
        <v>2139</v>
      </c>
      <c r="G220" s="89" t="n">
        <v>917</v>
      </c>
      <c r="H220" s="57" t="n"/>
      <c r="I220" s="55">
        <f t="array" ref="I220">G220+F220</f>
        <v/>
      </c>
      <c r="J220" s="57" t="n"/>
      <c r="K220" s="57" t="n"/>
      <c r="L220" s="57" t="n"/>
    </row>
    <row r="221" ht="20.1" customHeight="1" s="206">
      <c r="A221" s="2" t="inlineStr">
        <is>
          <t>c6kg</t>
        </is>
      </c>
      <c r="B221" s="23" t="inlineStr">
        <is>
          <t>Kyrgyzstan</t>
        </is>
      </c>
      <c r="C221" s="19" t="inlineStr">
        <is>
          <t>KG</t>
        </is>
      </c>
      <c r="D221" s="57" t="n"/>
      <c r="E221" s="57" t="n"/>
      <c r="F221" s="89" t="n">
        <v>848</v>
      </c>
      <c r="G221" s="89" t="n">
        <v>442</v>
      </c>
      <c r="H221" s="57" t="n"/>
      <c r="I221" s="55">
        <f t="array" ref="I221">G221+F221</f>
        <v/>
      </c>
      <c r="J221" s="57" t="n"/>
      <c r="K221" s="57" t="n"/>
      <c r="L221" s="57" t="n"/>
    </row>
    <row r="222" ht="20.1" customHeight="1" s="206">
      <c r="A222" s="2" t="inlineStr">
        <is>
          <t>c6kh</t>
        </is>
      </c>
      <c r="B222" s="23" t="inlineStr">
        <is>
          <t>Cambodia</t>
        </is>
      </c>
      <c r="C222" s="19" t="inlineStr">
        <is>
          <t>KH</t>
        </is>
      </c>
      <c r="D222" s="57" t="n"/>
      <c r="E222" s="57" t="n"/>
      <c r="F222" s="89" t="n">
        <v>537</v>
      </c>
      <c r="G222" s="89" t="n">
        <v>380</v>
      </c>
      <c r="H222" s="57" t="n"/>
      <c r="I222" s="55">
        <f t="array" ref="I222">G222+F222</f>
        <v/>
      </c>
      <c r="J222" s="57" t="n"/>
      <c r="K222" s="57" t="n"/>
      <c r="L222" s="57" t="n"/>
    </row>
    <row r="223" ht="32.1" customHeight="1" s="206">
      <c r="A223" s="2" t="inlineStr">
        <is>
          <t>c6kp</t>
        </is>
      </c>
      <c r="B223" s="23" t="inlineStr">
        <is>
          <t>Korea (the Democratic People's Republic of)</t>
        </is>
      </c>
      <c r="C223" s="19" t="inlineStr">
        <is>
          <t>KP</t>
        </is>
      </c>
      <c r="D223" s="57" t="n"/>
      <c r="E223" s="57" t="n"/>
      <c r="F223" s="89" t="n">
        <v>68</v>
      </c>
      <c r="G223" s="89" t="n">
        <v>50</v>
      </c>
      <c r="H223" s="57" t="n"/>
      <c r="I223" s="55">
        <f t="array" ref="I223">G223+F223</f>
        <v/>
      </c>
      <c r="J223" s="57" t="n"/>
      <c r="K223" s="57" t="n"/>
      <c r="L223" s="57" t="n"/>
    </row>
    <row r="224" ht="20.1" customHeight="1" s="206">
      <c r="A224" s="2" t="inlineStr">
        <is>
          <t>c6kr</t>
        </is>
      </c>
      <c r="B224" s="23" t="inlineStr">
        <is>
          <t>Korea (the Republic of)</t>
        </is>
      </c>
      <c r="C224" s="19" t="inlineStr">
        <is>
          <t>KR</t>
        </is>
      </c>
      <c r="D224" s="57" t="n"/>
      <c r="E224" s="57" t="n"/>
      <c r="F224" s="89" t="n">
        <v>1711</v>
      </c>
      <c r="G224" s="89" t="n">
        <v>947</v>
      </c>
      <c r="H224" s="57" t="n"/>
      <c r="I224" s="55">
        <f t="array" ref="I224">G224+F224</f>
        <v/>
      </c>
      <c r="J224" s="57" t="n"/>
      <c r="K224" s="57" t="n"/>
      <c r="L224" s="57" t="n"/>
    </row>
    <row r="225" ht="20.1" customHeight="1" s="206">
      <c r="A225" s="2" t="inlineStr">
        <is>
          <t>c6kz</t>
        </is>
      </c>
      <c r="B225" s="23" t="inlineStr">
        <is>
          <t>Kazakhstan</t>
        </is>
      </c>
      <c r="C225" s="19" t="inlineStr">
        <is>
          <t>KZ</t>
        </is>
      </c>
      <c r="D225" s="57" t="n"/>
      <c r="E225" s="57" t="n"/>
      <c r="F225" s="89" t="n">
        <v>2384</v>
      </c>
      <c r="G225" s="89" t="n">
        <v>1337</v>
      </c>
      <c r="H225" s="57" t="n"/>
      <c r="I225" s="55">
        <f t="array" ref="I225">G225+F225</f>
        <v/>
      </c>
      <c r="J225" s="57" t="n"/>
      <c r="K225" s="57" t="n"/>
      <c r="L225" s="57" t="n"/>
    </row>
    <row r="226" ht="20.1" customHeight="1" s="206">
      <c r="A226" s="2" t="inlineStr">
        <is>
          <t>c6la</t>
        </is>
      </c>
      <c r="B226" s="23" t="inlineStr">
        <is>
          <t>Lao People's Democratic Republic (the)</t>
        </is>
      </c>
      <c r="C226" s="19" t="inlineStr">
        <is>
          <t>LA</t>
        </is>
      </c>
      <c r="D226" s="57" t="n"/>
      <c r="E226" s="57" t="n"/>
      <c r="F226" s="89" t="n">
        <v>84</v>
      </c>
      <c r="G226" s="89" t="n">
        <v>50</v>
      </c>
      <c r="H226" s="57" t="n"/>
      <c r="I226" s="55">
        <f t="array" ref="I226">G226+F226</f>
        <v/>
      </c>
      <c r="J226" s="57" t="n"/>
      <c r="K226" s="57" t="n"/>
      <c r="L226" s="57" t="n"/>
    </row>
    <row r="227" ht="20.1" customHeight="1" s="206">
      <c r="A227" s="2" t="inlineStr">
        <is>
          <t>c6lk</t>
        </is>
      </c>
      <c r="B227" s="23" t="inlineStr">
        <is>
          <t>Sri Lanka</t>
        </is>
      </c>
      <c r="C227" s="19" t="inlineStr">
        <is>
          <t>LK</t>
        </is>
      </c>
      <c r="D227" s="57" t="n"/>
      <c r="E227" s="57" t="n"/>
      <c r="F227" s="89" t="n">
        <v>654</v>
      </c>
      <c r="G227" s="89" t="n">
        <v>777</v>
      </c>
      <c r="H227" s="57" t="n"/>
      <c r="I227" s="55">
        <f t="array" ref="I227">G227+F227</f>
        <v/>
      </c>
      <c r="J227" s="57" t="n"/>
      <c r="K227" s="57" t="n"/>
      <c r="L227" s="57" t="n"/>
    </row>
    <row r="228" ht="20.1" customHeight="1" s="206">
      <c r="A228" s="2" t="inlineStr">
        <is>
          <t>c6mm</t>
        </is>
      </c>
      <c r="B228" s="23" t="inlineStr">
        <is>
          <t>Myanmar</t>
        </is>
      </c>
      <c r="C228" s="19" t="inlineStr">
        <is>
          <t>MM</t>
        </is>
      </c>
      <c r="D228" s="57" t="n"/>
      <c r="E228" s="57" t="n"/>
      <c r="F228" s="89" t="n">
        <v>98</v>
      </c>
      <c r="G228" s="89" t="n">
        <v>96</v>
      </c>
      <c r="H228" s="57" t="n"/>
      <c r="I228" s="55">
        <f t="array" ref="I228">G228+F228</f>
        <v/>
      </c>
      <c r="J228" s="57" t="n"/>
      <c r="K228" s="57" t="n"/>
      <c r="L228" s="57" t="n"/>
    </row>
    <row r="229" ht="20.1" customHeight="1" s="206">
      <c r="A229" s="2" t="inlineStr">
        <is>
          <t>c6mn</t>
        </is>
      </c>
      <c r="B229" s="23" t="inlineStr">
        <is>
          <t>Mongolia</t>
        </is>
      </c>
      <c r="C229" s="19" t="inlineStr">
        <is>
          <t>MN</t>
        </is>
      </c>
      <c r="D229" s="57" t="n"/>
      <c r="E229" s="57" t="n"/>
      <c r="F229" s="89" t="n">
        <v>1583</v>
      </c>
      <c r="G229" s="89" t="n">
        <v>780</v>
      </c>
      <c r="H229" s="57" t="n"/>
      <c r="I229" s="55">
        <f t="array" ref="I229">G229+F229</f>
        <v/>
      </c>
      <c r="J229" s="57" t="n"/>
      <c r="K229" s="57" t="n"/>
      <c r="L229" s="57" t="n"/>
    </row>
    <row r="230" ht="20.1" customHeight="1" s="206">
      <c r="A230" s="2" t="inlineStr">
        <is>
          <t>c6mo</t>
        </is>
      </c>
      <c r="B230" s="23" t="inlineStr">
        <is>
          <t>Macao</t>
        </is>
      </c>
      <c r="C230" s="19" t="inlineStr">
        <is>
          <t>MO</t>
        </is>
      </c>
      <c r="D230" s="57" t="n"/>
      <c r="E230" s="57" t="n"/>
      <c r="F230" s="89" t="n"/>
      <c r="G230" s="89" t="n"/>
      <c r="H230" s="57" t="n"/>
      <c r="I230" s="55">
        <f t="array" ref="I230">G230+F230</f>
        <v/>
      </c>
      <c r="J230" s="57" t="n"/>
      <c r="K230" s="57" t="n"/>
      <c r="L230" s="57" t="n"/>
    </row>
    <row r="231" ht="20.1" customHeight="1" s="206">
      <c r="A231" s="2" t="inlineStr">
        <is>
          <t>c6mv</t>
        </is>
      </c>
      <c r="B231" s="23" t="inlineStr">
        <is>
          <t>Maldives</t>
        </is>
      </c>
      <c r="C231" s="19" t="inlineStr">
        <is>
          <t>MV</t>
        </is>
      </c>
      <c r="D231" s="57" t="n"/>
      <c r="E231" s="57" t="n"/>
      <c r="F231" s="89" t="n">
        <v>2</v>
      </c>
      <c r="G231" s="89" t="n">
        <v>17</v>
      </c>
      <c r="H231" s="57" t="n"/>
      <c r="I231" s="55">
        <f t="array" ref="I231">G231+F231</f>
        <v/>
      </c>
      <c r="J231" s="57" t="n"/>
      <c r="K231" s="57" t="n"/>
      <c r="L231" s="57" t="n"/>
    </row>
    <row r="232" ht="20.1" customHeight="1" s="206">
      <c r="A232" s="2" t="inlineStr">
        <is>
          <t>c6my</t>
        </is>
      </c>
      <c r="B232" s="23" t="inlineStr">
        <is>
          <t>Malaysia</t>
        </is>
      </c>
      <c r="C232" s="19" t="inlineStr">
        <is>
          <t>MY</t>
        </is>
      </c>
      <c r="D232" s="57" t="n"/>
      <c r="E232" s="57" t="n"/>
      <c r="F232" s="89" t="n">
        <v>427</v>
      </c>
      <c r="G232" s="89" t="n">
        <v>342</v>
      </c>
      <c r="H232" s="57" t="n"/>
      <c r="I232" s="55">
        <f t="array" ref="I232">G232+F232</f>
        <v/>
      </c>
      <c r="J232" s="57" t="n"/>
      <c r="K232" s="57" t="n"/>
      <c r="L232" s="57" t="n"/>
    </row>
    <row r="233" ht="20.1" customHeight="1" s="206">
      <c r="A233" s="2" t="inlineStr">
        <is>
          <t>c6np</t>
        </is>
      </c>
      <c r="B233" s="23" t="inlineStr">
        <is>
          <t>Nepal</t>
        </is>
      </c>
      <c r="C233" s="19" t="inlineStr">
        <is>
          <t>NP</t>
        </is>
      </c>
      <c r="D233" s="57" t="n"/>
      <c r="E233" s="57" t="n"/>
      <c r="F233" s="89" t="n">
        <v>575</v>
      </c>
      <c r="G233" s="89" t="n">
        <v>617</v>
      </c>
      <c r="H233" s="57" t="n"/>
      <c r="I233" s="55">
        <f t="array" ref="I233">G233+F233</f>
        <v/>
      </c>
      <c r="J233" s="57" t="n"/>
      <c r="K233" s="57" t="n"/>
      <c r="L233" s="57" t="n"/>
    </row>
    <row r="234" ht="20.1" customHeight="1" s="206">
      <c r="A234" s="2" t="inlineStr">
        <is>
          <t>c6ph</t>
        </is>
      </c>
      <c r="B234" s="23" t="inlineStr">
        <is>
          <t>Philippines (the)</t>
        </is>
      </c>
      <c r="C234" s="19" t="inlineStr">
        <is>
          <t>PH</t>
        </is>
      </c>
      <c r="D234" s="57" t="n"/>
      <c r="E234" s="57" t="n"/>
      <c r="F234" s="89" t="n">
        <v>10139</v>
      </c>
      <c r="G234" s="89" t="n">
        <v>4765</v>
      </c>
      <c r="H234" s="57" t="n"/>
      <c r="I234" s="55">
        <f t="array" ref="I234">G234+F234</f>
        <v/>
      </c>
      <c r="J234" s="57" t="n"/>
      <c r="K234" s="57" t="n"/>
      <c r="L234" s="57" t="n"/>
    </row>
    <row r="235" ht="20.1" customHeight="1" s="206">
      <c r="A235" s="2" t="inlineStr">
        <is>
          <t>c6sc</t>
        </is>
      </c>
      <c r="B235" s="23" t="inlineStr">
        <is>
          <t>Seychelles</t>
        </is>
      </c>
      <c r="C235" s="19" t="inlineStr">
        <is>
          <t>SC</t>
        </is>
      </c>
      <c r="D235" s="57" t="n"/>
      <c r="E235" s="57" t="n"/>
      <c r="F235" s="89" t="n">
        <v>22</v>
      </c>
      <c r="G235" s="89" t="n">
        <v>16</v>
      </c>
      <c r="H235" s="57" t="n"/>
      <c r="I235" s="55">
        <f t="array" ref="I235">G235+F235</f>
        <v/>
      </c>
      <c r="J235" s="57" t="n"/>
      <c r="K235" s="57" t="n"/>
      <c r="L235" s="57" t="n"/>
    </row>
    <row r="236" ht="20.1" customHeight="1" s="206">
      <c r="A236" s="2" t="inlineStr">
        <is>
          <t>c6sg</t>
        </is>
      </c>
      <c r="B236" s="23" t="inlineStr">
        <is>
          <t>Singapore</t>
        </is>
      </c>
      <c r="C236" s="19" t="inlineStr">
        <is>
          <t>SG</t>
        </is>
      </c>
      <c r="D236" s="57" t="n"/>
      <c r="E236" s="57" t="n"/>
      <c r="F236" s="89" t="n">
        <v>293</v>
      </c>
      <c r="G236" s="89" t="n">
        <v>208</v>
      </c>
      <c r="H236" s="57" t="n"/>
      <c r="I236" s="55">
        <f t="array" ref="I236">G236+F236</f>
        <v/>
      </c>
      <c r="J236" s="57" t="n"/>
      <c r="K236" s="57" t="n"/>
      <c r="L236" s="57" t="n"/>
    </row>
    <row r="237" ht="20.1" customHeight="1" s="206">
      <c r="A237" s="2" t="inlineStr">
        <is>
          <t>c6th</t>
        </is>
      </c>
      <c r="B237" s="23" t="inlineStr">
        <is>
          <t>Thailand</t>
        </is>
      </c>
      <c r="C237" s="19" t="inlineStr">
        <is>
          <t>TH</t>
        </is>
      </c>
      <c r="D237" s="57" t="n"/>
      <c r="E237" s="57" t="n"/>
      <c r="F237" s="89" t="n">
        <v>6079</v>
      </c>
      <c r="G237" s="89" t="n">
        <v>1069</v>
      </c>
      <c r="H237" s="57" t="n"/>
      <c r="I237" s="55">
        <f t="array" ref="I237">G237+F237</f>
        <v/>
      </c>
      <c r="J237" s="57" t="n"/>
      <c r="K237" s="57" t="n"/>
      <c r="L237" s="57" t="n"/>
    </row>
    <row r="238" ht="20.1" customHeight="1" s="206">
      <c r="A238" s="2" t="inlineStr">
        <is>
          <t>c6tj</t>
        </is>
      </c>
      <c r="B238" s="23" t="inlineStr">
        <is>
          <t>Tajikistan</t>
        </is>
      </c>
      <c r="C238" s="19" t="inlineStr">
        <is>
          <t>TJ</t>
        </is>
      </c>
      <c r="D238" s="57" t="n"/>
      <c r="E238" s="57" t="n"/>
      <c r="F238" s="89" t="n">
        <v>450</v>
      </c>
      <c r="G238" s="89" t="n">
        <v>397</v>
      </c>
      <c r="H238" s="57" t="n"/>
      <c r="I238" s="55">
        <f t="array" ref="I238">G238+F238</f>
        <v/>
      </c>
      <c r="J238" s="57" t="n"/>
      <c r="K238" s="57" t="n"/>
      <c r="L238" s="57" t="n"/>
    </row>
    <row r="239" ht="20.1" customHeight="1" s="206">
      <c r="A239" s="2" t="inlineStr">
        <is>
          <t>c6tm</t>
        </is>
      </c>
      <c r="B239" s="23" t="inlineStr">
        <is>
          <t>Turkmenistan</t>
        </is>
      </c>
      <c r="C239" s="19" t="inlineStr">
        <is>
          <t>TM</t>
        </is>
      </c>
      <c r="D239" s="57" t="n"/>
      <c r="E239" s="57" t="n"/>
      <c r="F239" s="89" t="n">
        <v>225</v>
      </c>
      <c r="G239" s="89" t="n">
        <v>130</v>
      </c>
      <c r="H239" s="57" t="n"/>
      <c r="I239" s="55">
        <f t="array" ref="I239">G239+F239</f>
        <v/>
      </c>
      <c r="J239" s="57" t="n"/>
      <c r="K239" s="57" t="n"/>
      <c r="L239" s="57" t="n"/>
    </row>
    <row r="240" ht="20.1" customHeight="1" s="206">
      <c r="A240" s="2" t="inlineStr">
        <is>
          <t>c6tw</t>
        </is>
      </c>
      <c r="B240" s="23" t="inlineStr">
        <is>
          <t>Taiwan (Province of China)</t>
        </is>
      </c>
      <c r="C240" s="19" t="inlineStr">
        <is>
          <t>TW</t>
        </is>
      </c>
      <c r="D240" s="57" t="n"/>
      <c r="E240" s="57" t="n"/>
      <c r="F240" s="89" t="n">
        <v>1081</v>
      </c>
      <c r="G240" s="89" t="n">
        <v>584</v>
      </c>
      <c r="H240" s="57" t="n"/>
      <c r="I240" s="55">
        <f t="array" ref="I240">G240+F240</f>
        <v/>
      </c>
      <c r="J240" s="57" t="n"/>
      <c r="K240" s="57" t="n"/>
      <c r="L240" s="57" t="n"/>
    </row>
    <row r="241" ht="20.1" customHeight="1" s="206">
      <c r="A241" s="2" t="inlineStr">
        <is>
          <t>c6uz</t>
        </is>
      </c>
      <c r="B241" s="23" t="inlineStr">
        <is>
          <t>Uzbekistan</t>
        </is>
      </c>
      <c r="C241" s="19" t="inlineStr">
        <is>
          <t>UZ</t>
        </is>
      </c>
      <c r="D241" s="57" t="n"/>
      <c r="E241" s="57" t="n"/>
      <c r="F241" s="89" t="n">
        <v>895</v>
      </c>
      <c r="G241" s="89" t="n">
        <v>689</v>
      </c>
      <c r="H241" s="57" t="n"/>
      <c r="I241" s="55">
        <f t="array" ref="I241">G241+F241</f>
        <v/>
      </c>
      <c r="J241" s="57" t="n"/>
      <c r="K241" s="57" t="n"/>
      <c r="L241" s="57" t="n"/>
    </row>
    <row r="242" ht="20.1" customHeight="1" s="206">
      <c r="A242" s="2" t="inlineStr">
        <is>
          <t>c6vn</t>
        </is>
      </c>
      <c r="B242" s="23" t="inlineStr">
        <is>
          <t>Viet Nam[ah]</t>
        </is>
      </c>
      <c r="C242" s="19" t="inlineStr">
        <is>
          <t>VN</t>
        </is>
      </c>
      <c r="D242" s="57" t="n"/>
      <c r="E242" s="57" t="n"/>
      <c r="F242" s="89" t="n">
        <v>2275</v>
      </c>
      <c r="G242" s="89" t="n">
        <v>1648</v>
      </c>
      <c r="H242" s="57" t="n"/>
      <c r="I242" s="55">
        <f t="array" ref="I242">G242+F242</f>
        <v/>
      </c>
      <c r="J242" s="57" t="n"/>
      <c r="K242" s="57" t="n"/>
      <c r="L242" s="57" t="n"/>
    </row>
    <row r="243" ht="20.1" customHeight="1" s="206">
      <c r="A243" s="2" t="inlineStr">
        <is>
          <t>c6</t>
        </is>
      </c>
      <c r="B243" s="138" t="inlineStr">
        <is>
          <t>Far East</t>
        </is>
      </c>
      <c r="C243" s="52" t="n"/>
      <c r="D243" s="57" t="n"/>
      <c r="E243" s="57" t="n"/>
      <c r="F243" s="55" t="n">
        <v>2020000</v>
      </c>
      <c r="G243" s="55" t="n">
        <v>2100000</v>
      </c>
      <c r="H243" s="57" t="n"/>
      <c r="I243" s="55">
        <f t="array" ref="I243">SUM(I211:I242)</f>
        <v/>
      </c>
      <c r="J243" s="57" t="n"/>
      <c r="K243" s="57" t="n"/>
      <c r="L243" s="57" t="n"/>
    </row>
    <row r="244" ht="20.1" customHeight="1" s="206">
      <c r="A244" s="1" t="n"/>
      <c r="B244" s="18" t="n"/>
      <c r="C244" s="13" t="n"/>
      <c r="D244" s="57" t="n"/>
      <c r="E244" s="57" t="n"/>
      <c r="F244" s="57" t="n"/>
      <c r="G244" s="57" t="n"/>
      <c r="H244" s="57" t="n"/>
      <c r="I244" s="57" t="n"/>
      <c r="J244" s="57" t="n"/>
      <c r="K244" s="57" t="n"/>
      <c r="L244" s="57" t="n"/>
    </row>
    <row r="245" ht="20.1" customHeight="1" s="206">
      <c r="A245" s="1" t="n"/>
      <c r="B245" s="139" t="inlineStr">
        <is>
          <t>Oceania</t>
        </is>
      </c>
      <c r="C245" s="13" t="n"/>
      <c r="D245" s="57" t="n"/>
      <c r="E245" s="57" t="n"/>
      <c r="F245" s="57" t="n"/>
      <c r="G245" s="57" t="n"/>
      <c r="H245" s="57" t="n"/>
      <c r="I245" s="57" t="n"/>
      <c r="J245" s="57" t="n"/>
      <c r="K245" s="57" t="n"/>
      <c r="L245" s="57" t="n"/>
    </row>
    <row r="246" ht="20.1" customHeight="1" s="206">
      <c r="A246" s="2" t="inlineStr">
        <is>
          <t>c7as</t>
        </is>
      </c>
      <c r="B246" s="23" t="inlineStr">
        <is>
          <t>American Samoa</t>
        </is>
      </c>
      <c r="C246" s="19" t="inlineStr">
        <is>
          <t>AS</t>
        </is>
      </c>
      <c r="D246" s="57" t="n"/>
      <c r="E246" s="57" t="n"/>
      <c r="F246" s="89" t="n"/>
      <c r="G246" s="89" t="n"/>
      <c r="H246" s="57" t="n"/>
      <c r="I246" s="55">
        <f t="array" ref="I246">G246+F246</f>
        <v/>
      </c>
      <c r="J246" s="57" t="n"/>
      <c r="K246" s="57" t="n"/>
      <c r="L246" s="57" t="n"/>
    </row>
    <row r="247" ht="20.1" customHeight="1" s="206">
      <c r="A247" s="2" t="inlineStr">
        <is>
          <t>c7au</t>
        </is>
      </c>
      <c r="B247" s="23" t="inlineStr">
        <is>
          <t>Australia[b]</t>
        </is>
      </c>
      <c r="C247" s="19" t="inlineStr">
        <is>
          <t>AU</t>
        </is>
      </c>
      <c r="D247" s="57" t="n"/>
      <c r="E247" s="57" t="n"/>
      <c r="F247" s="89" t="n">
        <v>1356</v>
      </c>
      <c r="G247" s="89" t="n">
        <v>1540</v>
      </c>
      <c r="H247" s="57" t="n"/>
      <c r="I247" s="55">
        <f t="array" ref="I247">G247+F247</f>
        <v/>
      </c>
      <c r="J247" s="57" t="n"/>
      <c r="K247" s="57" t="n"/>
      <c r="L247" s="57" t="n"/>
    </row>
    <row r="248" ht="20.1" customHeight="1" s="206">
      <c r="A248" s="2" t="inlineStr">
        <is>
          <t>c7cc</t>
        </is>
      </c>
      <c r="B248" s="23" t="inlineStr">
        <is>
          <t>Cocos (Keeling) Islands (the)</t>
        </is>
      </c>
      <c r="C248" s="19" t="inlineStr">
        <is>
          <t>CC</t>
        </is>
      </c>
      <c r="D248" s="57" t="n"/>
      <c r="E248" s="57" t="n"/>
      <c r="F248" s="89" t="n"/>
      <c r="G248" s="89" t="n"/>
      <c r="H248" s="57" t="n"/>
      <c r="I248" s="55">
        <f t="array" ref="I248">G248+F248</f>
        <v/>
      </c>
      <c r="J248" s="57" t="n"/>
      <c r="K248" s="57" t="n"/>
      <c r="L248" s="57" t="n"/>
    </row>
    <row r="249" ht="20.1" customHeight="1" s="206">
      <c r="A249" s="2" t="inlineStr">
        <is>
          <t>c7ck</t>
        </is>
      </c>
      <c r="B249" s="23" t="inlineStr">
        <is>
          <t>Cook Islands (the)</t>
        </is>
      </c>
      <c r="C249" s="19" t="inlineStr">
        <is>
          <t>CK</t>
        </is>
      </c>
      <c r="D249" s="57" t="n"/>
      <c r="E249" s="57" t="n"/>
      <c r="F249" s="89" t="n"/>
      <c r="G249" s="89" t="n"/>
      <c r="H249" s="57" t="n"/>
      <c r="I249" s="55">
        <f t="array" ref="I249">G249+F249</f>
        <v/>
      </c>
      <c r="J249" s="57" t="n"/>
      <c r="K249" s="57" t="n"/>
      <c r="L249" s="57" t="n"/>
    </row>
    <row r="250" ht="20.1" customHeight="1" s="206">
      <c r="A250" s="2" t="inlineStr">
        <is>
          <t>c7fj</t>
        </is>
      </c>
      <c r="B250" s="23" t="inlineStr">
        <is>
          <t>Fiji</t>
        </is>
      </c>
      <c r="C250" s="19" t="inlineStr">
        <is>
          <t>FJ</t>
        </is>
      </c>
      <c r="D250" s="57" t="n"/>
      <c r="E250" s="57" t="n"/>
      <c r="F250" s="89" t="n">
        <v>16</v>
      </c>
      <c r="G250" s="89" t="n">
        <v>7</v>
      </c>
      <c r="H250" s="57" t="n"/>
      <c r="I250" s="55">
        <f t="array" ref="I250">G250+F250</f>
        <v/>
      </c>
      <c r="J250" s="57" t="n"/>
      <c r="K250" s="57" t="n"/>
      <c r="L250" s="57" t="n"/>
    </row>
    <row r="251" ht="20.1" customHeight="1" s="206">
      <c r="A251" s="2" t="inlineStr">
        <is>
          <t>c7fm</t>
        </is>
      </c>
      <c r="B251" s="23" t="inlineStr">
        <is>
          <t>Micronesia (Federated States of)</t>
        </is>
      </c>
      <c r="C251" s="19" t="inlineStr">
        <is>
          <t>FM</t>
        </is>
      </c>
      <c r="D251" s="57" t="n"/>
      <c r="E251" s="57" t="n"/>
      <c r="F251" s="89" t="n">
        <v>1</v>
      </c>
      <c r="G251" s="89" t="n">
        <v>1</v>
      </c>
      <c r="H251" s="57" t="n"/>
      <c r="I251" s="55">
        <f t="array" ref="I251">G251+F251</f>
        <v/>
      </c>
      <c r="J251" s="57" t="n"/>
      <c r="K251" s="57" t="n"/>
      <c r="L251" s="57" t="n"/>
    </row>
    <row r="252" ht="20.1" customHeight="1" s="206">
      <c r="A252" s="2" t="inlineStr">
        <is>
          <t>c7gu</t>
        </is>
      </c>
      <c r="B252" s="23" t="inlineStr">
        <is>
          <t>Guam</t>
        </is>
      </c>
      <c r="C252" s="19" t="inlineStr">
        <is>
          <t>GU</t>
        </is>
      </c>
      <c r="D252" s="57" t="n"/>
      <c r="E252" s="57" t="n"/>
      <c r="F252" s="89" t="n"/>
      <c r="G252" s="89" t="n"/>
      <c r="H252" s="57" t="n"/>
      <c r="I252" s="55">
        <f t="array" ref="I252">G252+F252</f>
        <v/>
      </c>
      <c r="J252" s="57" t="n"/>
      <c r="K252" s="57" t="n"/>
      <c r="L252" s="57" t="n"/>
    </row>
    <row r="253" ht="20.1" customHeight="1" s="206">
      <c r="A253" s="2" t="inlineStr">
        <is>
          <t>c7ki</t>
        </is>
      </c>
      <c r="B253" s="23" t="inlineStr">
        <is>
          <t>Kiribati</t>
        </is>
      </c>
      <c r="C253" s="19" t="inlineStr">
        <is>
          <t>KI</t>
        </is>
      </c>
      <c r="D253" s="57" t="n"/>
      <c r="E253" s="57" t="n"/>
      <c r="F253" s="89" t="n"/>
      <c r="G253" s="89" t="n"/>
      <c r="H253" s="57" t="n"/>
      <c r="I253" s="55">
        <f t="array" ref="I253">G253+F253</f>
        <v/>
      </c>
      <c r="J253" s="57" t="n"/>
      <c r="K253" s="57" t="n"/>
      <c r="L253" s="57" t="n"/>
    </row>
    <row r="254" ht="20.1" customHeight="1" s="206">
      <c r="A254" s="2" t="inlineStr">
        <is>
          <t>c7mh</t>
        </is>
      </c>
      <c r="B254" s="23" t="inlineStr">
        <is>
          <t>Marshall Islands (the)</t>
        </is>
      </c>
      <c r="C254" s="19" t="inlineStr">
        <is>
          <t>MH</t>
        </is>
      </c>
      <c r="D254" s="57" t="n"/>
      <c r="E254" s="57" t="n"/>
      <c r="F254" s="89" t="n"/>
      <c r="G254" s="89" t="n"/>
      <c r="H254" s="57" t="n"/>
      <c r="I254" s="55">
        <f t="array" ref="I254">G254+F254</f>
        <v/>
      </c>
      <c r="J254" s="57" t="n"/>
      <c r="K254" s="57" t="n"/>
      <c r="L254" s="57" t="n"/>
    </row>
    <row r="255" ht="20.1" customHeight="1" s="206">
      <c r="A255" s="2" t="inlineStr">
        <is>
          <t>c7mp</t>
        </is>
      </c>
      <c r="B255" s="23" t="inlineStr">
        <is>
          <t>Northern Mariana Islands (the)</t>
        </is>
      </c>
      <c r="C255" s="19" t="inlineStr">
        <is>
          <t>MP</t>
        </is>
      </c>
      <c r="D255" s="57" t="n"/>
      <c r="E255" s="57" t="n"/>
      <c r="F255" s="89" t="n"/>
      <c r="G255" s="89" t="n"/>
      <c r="H255" s="57" t="n"/>
      <c r="I255" s="55">
        <f t="array" ref="I255">G255+F255</f>
        <v/>
      </c>
      <c r="J255" s="57" t="n"/>
      <c r="K255" s="57" t="n"/>
      <c r="L255" s="57" t="n"/>
    </row>
    <row r="256" ht="20.1" customHeight="1" s="206">
      <c r="A256" s="2" t="inlineStr">
        <is>
          <t>c7nc</t>
        </is>
      </c>
      <c r="B256" s="23" t="inlineStr">
        <is>
          <t>New Caledonia</t>
        </is>
      </c>
      <c r="C256" s="19" t="inlineStr">
        <is>
          <t>NC</t>
        </is>
      </c>
      <c r="D256" s="57" t="n"/>
      <c r="E256" s="57" t="n"/>
      <c r="F256" s="89" t="n">
        <v>2</v>
      </c>
      <c r="G256" s="89" t="n">
        <v>0</v>
      </c>
      <c r="H256" s="57" t="n"/>
      <c r="I256" s="55">
        <f t="array" ref="I256">G256+F256</f>
        <v/>
      </c>
      <c r="J256" s="57" t="n"/>
      <c r="K256" s="57" t="n"/>
      <c r="L256" s="57" t="n"/>
    </row>
    <row r="257" ht="20.1" customHeight="1" s="206">
      <c r="A257" s="2" t="inlineStr">
        <is>
          <t>c7nf</t>
        </is>
      </c>
      <c r="B257" s="23" t="inlineStr">
        <is>
          <t>Norfolk Island</t>
        </is>
      </c>
      <c r="C257" s="19" t="inlineStr">
        <is>
          <t>NF</t>
        </is>
      </c>
      <c r="D257" s="57" t="n"/>
      <c r="E257" s="57" t="n"/>
      <c r="F257" s="89" t="n"/>
      <c r="G257" s="89" t="n"/>
      <c r="H257" s="57" t="n"/>
      <c r="I257" s="55">
        <f t="array" ref="I257">G257+F257</f>
        <v/>
      </c>
      <c r="J257" s="57" t="n"/>
      <c r="K257" s="57" t="n"/>
      <c r="L257" s="57" t="n"/>
    </row>
    <row r="258" ht="20.1" customHeight="1" s="206">
      <c r="A258" s="2" t="inlineStr">
        <is>
          <t>c7nr</t>
        </is>
      </c>
      <c r="B258" s="23" t="inlineStr">
        <is>
          <t>Nauru</t>
        </is>
      </c>
      <c r="C258" s="19" t="inlineStr">
        <is>
          <t>NR</t>
        </is>
      </c>
      <c r="D258" s="57" t="n"/>
      <c r="E258" s="57" t="n"/>
      <c r="F258" s="89" t="n"/>
      <c r="G258" s="89" t="n"/>
      <c r="H258" s="57" t="n"/>
      <c r="I258" s="55">
        <f t="array" ref="I258">G258+F258</f>
        <v/>
      </c>
      <c r="J258" s="57" t="n"/>
      <c r="K258" s="57" t="n"/>
      <c r="L258" s="57" t="n"/>
    </row>
    <row r="259" ht="20.1" customHeight="1" s="206">
      <c r="A259" s="2" t="inlineStr">
        <is>
          <t>c7nu</t>
        </is>
      </c>
      <c r="B259" s="23" t="inlineStr">
        <is>
          <t>Niue</t>
        </is>
      </c>
      <c r="C259" s="19" t="inlineStr">
        <is>
          <t>NU</t>
        </is>
      </c>
      <c r="D259" s="57" t="n"/>
      <c r="E259" s="57" t="n"/>
      <c r="F259" s="89" t="n"/>
      <c r="G259" s="89" t="n"/>
      <c r="H259" s="57" t="n"/>
      <c r="I259" s="55">
        <f t="array" ref="I259">G259+F259</f>
        <v/>
      </c>
      <c r="J259" s="57" t="n"/>
      <c r="K259" s="57" t="n"/>
      <c r="L259" s="57" t="n"/>
    </row>
    <row r="260" ht="20.1" customHeight="1" s="206">
      <c r="A260" s="2" t="inlineStr">
        <is>
          <t>c7nz</t>
        </is>
      </c>
      <c r="B260" s="23" t="inlineStr">
        <is>
          <t>New Zealand</t>
        </is>
      </c>
      <c r="C260" s="19" t="inlineStr">
        <is>
          <t>NZ</t>
        </is>
      </c>
      <c r="D260" s="57" t="n"/>
      <c r="E260" s="57" t="n"/>
      <c r="F260" s="89" t="n">
        <v>252</v>
      </c>
      <c r="G260" s="89" t="n">
        <v>364</v>
      </c>
      <c r="H260" s="57" t="n"/>
      <c r="I260" s="55">
        <f t="array" ref="I260">G260+F260</f>
        <v/>
      </c>
      <c r="J260" s="57" t="n"/>
      <c r="K260" s="57" t="n"/>
      <c r="L260" s="57" t="n"/>
    </row>
    <row r="261" ht="20.1" customHeight="1" s="206">
      <c r="A261" s="2" t="inlineStr">
        <is>
          <t>c7pf</t>
        </is>
      </c>
      <c r="B261" s="23" t="inlineStr">
        <is>
          <t>French Polynesia</t>
        </is>
      </c>
      <c r="C261" s="19" t="inlineStr">
        <is>
          <t>PF</t>
        </is>
      </c>
      <c r="D261" s="57" t="n"/>
      <c r="E261" s="57" t="n"/>
      <c r="F261" s="89" t="n">
        <v>5</v>
      </c>
      <c r="G261" s="89" t="n">
        <v>4</v>
      </c>
      <c r="H261" s="57" t="n"/>
      <c r="I261" s="55">
        <f t="array" ref="I261">G261+F261</f>
        <v/>
      </c>
      <c r="J261" s="57" t="n"/>
      <c r="K261" s="57" t="n"/>
      <c r="L261" s="57" t="n"/>
    </row>
    <row r="262" ht="20.1" customHeight="1" s="206">
      <c r="A262" s="2" t="inlineStr">
        <is>
          <t>c7pg</t>
        </is>
      </c>
      <c r="B262" s="23" t="inlineStr">
        <is>
          <t>Papua New Guinea</t>
        </is>
      </c>
      <c r="C262" s="19" t="inlineStr">
        <is>
          <t>PG</t>
        </is>
      </c>
      <c r="D262" s="57" t="n"/>
      <c r="E262" s="57" t="n"/>
      <c r="F262" s="89" t="n">
        <v>39</v>
      </c>
      <c r="G262" s="89" t="n">
        <v>36</v>
      </c>
      <c r="H262" s="57" t="n"/>
      <c r="I262" s="55">
        <f t="array" ref="I262">G262+F262</f>
        <v/>
      </c>
      <c r="J262" s="57" t="n"/>
      <c r="K262" s="57" t="n"/>
      <c r="L262" s="57" t="n"/>
    </row>
    <row r="263" ht="20.1" customHeight="1" s="206">
      <c r="A263" s="2" t="inlineStr">
        <is>
          <t>c7pn</t>
        </is>
      </c>
      <c r="B263" s="23" t="inlineStr">
        <is>
          <t>Pitcairn</t>
        </is>
      </c>
      <c r="C263" s="19" t="inlineStr">
        <is>
          <t>PN</t>
        </is>
      </c>
      <c r="D263" s="57" t="n"/>
      <c r="E263" s="57" t="n"/>
      <c r="F263" s="89" t="n">
        <v>5</v>
      </c>
      <c r="G263" s="89" t="n">
        <v>6</v>
      </c>
      <c r="H263" s="57" t="n"/>
      <c r="I263" s="55">
        <f t="array" ref="I263">G263+F263</f>
        <v/>
      </c>
      <c r="J263" s="57" t="n"/>
      <c r="K263" s="57" t="n"/>
      <c r="L263" s="57" t="n"/>
    </row>
    <row r="264" ht="20.1" customHeight="1" s="206">
      <c r="A264" s="2" t="inlineStr">
        <is>
          <t>c7pw</t>
        </is>
      </c>
      <c r="B264" s="23" t="inlineStr">
        <is>
          <t>Palau</t>
        </is>
      </c>
      <c r="C264" s="19" t="inlineStr">
        <is>
          <t>PW</t>
        </is>
      </c>
      <c r="D264" s="57" t="n"/>
      <c r="E264" s="57" t="n"/>
      <c r="F264" s="89" t="n">
        <v>0</v>
      </c>
      <c r="G264" s="89" t="n">
        <v>1</v>
      </c>
      <c r="H264" s="57" t="n"/>
      <c r="I264" s="55">
        <f t="array" ref="I264">G264+F264</f>
        <v/>
      </c>
      <c r="J264" s="57" t="n"/>
      <c r="K264" s="57" t="n"/>
      <c r="L264" s="57" t="n"/>
    </row>
    <row r="265" ht="20.1" customHeight="1" s="206">
      <c r="A265" s="2" t="inlineStr">
        <is>
          <t>c7sb</t>
        </is>
      </c>
      <c r="B265" s="23" t="inlineStr">
        <is>
          <t>Solomon Islands</t>
        </is>
      </c>
      <c r="C265" s="19" t="inlineStr">
        <is>
          <t>SB</t>
        </is>
      </c>
      <c r="D265" s="57" t="n"/>
      <c r="E265" s="57" t="n"/>
      <c r="F265" s="89" t="n">
        <v>8</v>
      </c>
      <c r="G265" s="89" t="n">
        <v>11</v>
      </c>
      <c r="H265" s="57" t="n"/>
      <c r="I265" s="55">
        <f t="array" ref="I265">G265+F265</f>
        <v/>
      </c>
      <c r="J265" s="57" t="n"/>
      <c r="K265" s="57" t="n"/>
      <c r="L265" s="57" t="n"/>
    </row>
    <row r="266" ht="20.1" customHeight="1" s="206">
      <c r="A266" s="2" t="inlineStr">
        <is>
          <t>c7tk</t>
        </is>
      </c>
      <c r="B266" s="23" t="inlineStr">
        <is>
          <t>Tokelau</t>
        </is>
      </c>
      <c r="C266" s="19" t="inlineStr">
        <is>
          <t>TK</t>
        </is>
      </c>
      <c r="D266" s="57" t="n"/>
      <c r="E266" s="57" t="n"/>
      <c r="F266" s="89" t="n"/>
      <c r="G266" s="89" t="n"/>
      <c r="H266" s="57" t="n"/>
      <c r="I266" s="55">
        <f t="array" ref="I266">G266+F266</f>
        <v/>
      </c>
      <c r="J266" s="57" t="n"/>
      <c r="K266" s="57" t="n"/>
      <c r="L266" s="57" t="n"/>
    </row>
    <row r="267" ht="20.1" customHeight="1" s="206">
      <c r="A267" s="2" t="inlineStr">
        <is>
          <t>c7to</t>
        </is>
      </c>
      <c r="B267" s="23" t="inlineStr">
        <is>
          <t>Tonga</t>
        </is>
      </c>
      <c r="C267" s="19" t="inlineStr">
        <is>
          <t>TO</t>
        </is>
      </c>
      <c r="D267" s="57" t="n"/>
      <c r="E267" s="57" t="n"/>
      <c r="F267" s="89" t="n">
        <v>8</v>
      </c>
      <c r="G267" s="89" t="n">
        <v>1</v>
      </c>
      <c r="H267" s="57" t="n"/>
      <c r="I267" s="55">
        <f t="array" ref="I267">G267+F267</f>
        <v/>
      </c>
      <c r="J267" s="57" t="n"/>
      <c r="K267" s="57" t="n"/>
      <c r="L267" s="57" t="n"/>
    </row>
    <row r="268" ht="20.1" customHeight="1" s="206">
      <c r="A268" s="2" t="inlineStr">
        <is>
          <t>c7tv</t>
        </is>
      </c>
      <c r="B268" s="23" t="inlineStr">
        <is>
          <t>Tuvalu</t>
        </is>
      </c>
      <c r="C268" s="19" t="inlineStr">
        <is>
          <t>TV</t>
        </is>
      </c>
      <c r="D268" s="57" t="n"/>
      <c r="E268" s="57" t="n"/>
      <c r="F268" s="89" t="n">
        <v>0</v>
      </c>
      <c r="G268" s="89" t="n">
        <v>1</v>
      </c>
      <c r="H268" s="57" t="n"/>
      <c r="I268" s="55">
        <f t="array" ref="I268">G268+F268</f>
        <v/>
      </c>
      <c r="J268" s="57" t="n"/>
      <c r="K268" s="57" t="n"/>
      <c r="L268" s="57" t="n"/>
    </row>
    <row r="269" ht="32.1" customHeight="1" s="206">
      <c r="A269" s="2" t="inlineStr">
        <is>
          <t>c7um</t>
        </is>
      </c>
      <c r="B269" s="23" t="inlineStr">
        <is>
          <t>United States Minor Outlying Islands (the)</t>
        </is>
      </c>
      <c r="C269" s="19" t="inlineStr">
        <is>
          <t>UM</t>
        </is>
      </c>
      <c r="D269" s="57" t="n"/>
      <c r="E269" s="57" t="n"/>
      <c r="F269" s="89" t="n"/>
      <c r="G269" s="89" t="n"/>
      <c r="H269" s="57" t="n"/>
      <c r="I269" s="55">
        <f t="array" ref="I269">G269+F269</f>
        <v/>
      </c>
      <c r="J269" s="57" t="n"/>
      <c r="K269" s="57" t="n"/>
      <c r="L269" s="57" t="n"/>
    </row>
    <row r="270" ht="20.1" customHeight="1" s="206">
      <c r="A270" s="2" t="inlineStr">
        <is>
          <t>c7vu</t>
        </is>
      </c>
      <c r="B270" s="23" t="inlineStr">
        <is>
          <t>Vanuatu</t>
        </is>
      </c>
      <c r="C270" s="19" t="inlineStr">
        <is>
          <t>VU</t>
        </is>
      </c>
      <c r="D270" s="57" t="n"/>
      <c r="E270" s="57" t="n"/>
      <c r="F270" s="89" t="n">
        <v>3</v>
      </c>
      <c r="G270" s="89" t="n">
        <v>4</v>
      </c>
      <c r="H270" s="57" t="n"/>
      <c r="I270" s="55">
        <f t="array" ref="I270">G270+F270</f>
        <v/>
      </c>
      <c r="J270" s="57" t="n"/>
      <c r="K270" s="57" t="n"/>
      <c r="L270" s="57" t="n"/>
    </row>
    <row r="271" ht="20.1" customHeight="1" s="206">
      <c r="A271" s="2" t="inlineStr">
        <is>
          <t>c7wf</t>
        </is>
      </c>
      <c r="B271" s="23" t="inlineStr">
        <is>
          <t>Wallis and Futuna</t>
        </is>
      </c>
      <c r="C271" s="19" t="inlineStr">
        <is>
          <t>WF</t>
        </is>
      </c>
      <c r="D271" s="57" t="n"/>
      <c r="E271" s="57" t="n"/>
      <c r="F271" s="89" t="n">
        <v>1</v>
      </c>
      <c r="G271" s="89" t="n">
        <v>1</v>
      </c>
      <c r="H271" s="57" t="n"/>
      <c r="I271" s="55">
        <f t="array" ref="I271">G271+F271</f>
        <v/>
      </c>
      <c r="J271" s="57" t="n"/>
      <c r="K271" s="57" t="n"/>
      <c r="L271" s="57" t="n"/>
    </row>
    <row r="272" ht="20.1" customHeight="1" s="206">
      <c r="A272" s="2" t="inlineStr">
        <is>
          <t>c7ws</t>
        </is>
      </c>
      <c r="B272" s="23" t="inlineStr">
        <is>
          <t>Samoa</t>
        </is>
      </c>
      <c r="C272" s="19" t="inlineStr">
        <is>
          <t>WS</t>
        </is>
      </c>
      <c r="D272" s="57" t="n"/>
      <c r="E272" s="57" t="n"/>
      <c r="F272" s="89" t="n">
        <v>4</v>
      </c>
      <c r="G272" s="89" t="n">
        <v>3</v>
      </c>
      <c r="H272" s="57" t="n"/>
      <c r="I272" s="55">
        <f t="array" ref="I272">G272+F272</f>
        <v/>
      </c>
      <c r="J272" s="57" t="n"/>
      <c r="K272" s="57" t="n"/>
      <c r="L272" s="57" t="n"/>
    </row>
    <row r="273" ht="20.1" customHeight="1" s="206">
      <c r="A273" s="2" t="inlineStr">
        <is>
          <t>c7</t>
        </is>
      </c>
      <c r="B273" s="138" t="inlineStr">
        <is>
          <t>Oceania</t>
        </is>
      </c>
      <c r="C273" s="52" t="n"/>
      <c r="D273" s="57" t="n"/>
      <c r="E273" s="57" t="n"/>
      <c r="F273" s="55" t="n">
        <v>130000</v>
      </c>
      <c r="G273" s="55" t="n">
        <v>130000</v>
      </c>
      <c r="H273" s="57" t="n"/>
      <c r="I273" s="55">
        <f t="array" ref="I273">SUM(I246:I272)</f>
        <v/>
      </c>
      <c r="J273" s="57" t="n"/>
      <c r="K273" s="57" t="n"/>
      <c r="L273" s="57" t="n"/>
    </row>
    <row r="274" ht="20.1" customHeight="1" s="206">
      <c r="A274" s="1" t="n"/>
      <c r="B274" s="18" t="n"/>
      <c r="C274" s="13" t="n"/>
      <c r="D274" s="57" t="n"/>
      <c r="E274" s="57" t="n"/>
      <c r="F274" s="57" t="n"/>
      <c r="G274" s="57" t="n"/>
      <c r="H274" s="57" t="n"/>
      <c r="I274" s="57" t="n"/>
      <c r="J274" s="57" t="n"/>
      <c r="K274" s="57" t="n"/>
      <c r="L274" s="57" t="n"/>
    </row>
    <row r="275" ht="20.1" customHeight="1" s="206">
      <c r="A275" s="1" t="n"/>
      <c r="B275" s="23" t="inlineStr">
        <is>
          <t>Antarctica</t>
        </is>
      </c>
      <c r="C275" s="13" t="n"/>
      <c r="D275" s="57" t="n"/>
      <c r="E275" s="57" t="n"/>
      <c r="F275" s="57" t="n"/>
      <c r="G275" s="57" t="n"/>
      <c r="H275" s="57" t="n"/>
      <c r="I275" s="57" t="n"/>
      <c r="J275" s="57" t="n"/>
      <c r="K275" s="57" t="n"/>
      <c r="L275" s="57" t="n"/>
    </row>
    <row r="276" ht="20.1" customHeight="1" s="206">
      <c r="A276" s="2" t="inlineStr">
        <is>
          <t>c8aq</t>
        </is>
      </c>
      <c r="B276" s="23" t="inlineStr">
        <is>
          <t>Antarctica</t>
        </is>
      </c>
      <c r="C276" s="19" t="inlineStr">
        <is>
          <t>AQ</t>
        </is>
      </c>
      <c r="D276" s="57" t="n"/>
      <c r="E276" s="57" t="n"/>
      <c r="F276" s="89" t="n"/>
      <c r="G276" s="89" t="n"/>
      <c r="H276" s="57" t="n"/>
      <c r="I276" s="55">
        <f t="array" ref="I276">G276+F276</f>
        <v/>
      </c>
      <c r="J276" s="57" t="n"/>
      <c r="K276" s="57" t="n"/>
      <c r="L276" s="57" t="n"/>
    </row>
    <row r="277" ht="20.1" customHeight="1" s="206">
      <c r="A277" s="2" t="inlineStr">
        <is>
          <t>c8bv</t>
        </is>
      </c>
      <c r="B277" s="23" t="inlineStr">
        <is>
          <t>Bouvet Island</t>
        </is>
      </c>
      <c r="C277" s="19" t="inlineStr">
        <is>
          <t>BV</t>
        </is>
      </c>
      <c r="D277" s="57" t="n"/>
      <c r="E277" s="57" t="n"/>
      <c r="F277" s="89" t="n"/>
      <c r="G277" s="89" t="n"/>
      <c r="H277" s="57" t="n"/>
      <c r="I277" s="55">
        <f t="array" ref="I277">G277+F277</f>
        <v/>
      </c>
      <c r="J277" s="57" t="n"/>
      <c r="K277" s="57" t="n"/>
      <c r="L277" s="57" t="n"/>
    </row>
    <row r="278" ht="32.1" customHeight="1" s="206">
      <c r="A278" s="2" t="inlineStr">
        <is>
          <t>c8gs</t>
        </is>
      </c>
      <c r="B278" s="23" t="inlineStr">
        <is>
          <t>South Georgia and the South Sandwich Islands</t>
        </is>
      </c>
      <c r="C278" s="19" t="inlineStr">
        <is>
          <t>GS</t>
        </is>
      </c>
      <c r="D278" s="57" t="n"/>
      <c r="E278" s="57" t="n"/>
      <c r="F278" s="89" t="n"/>
      <c r="G278" s="89" t="n"/>
      <c r="H278" s="57" t="n"/>
      <c r="I278" s="55">
        <f t="array" ref="I278">G278+F278</f>
        <v/>
      </c>
      <c r="J278" s="57" t="n"/>
      <c r="K278" s="57" t="n"/>
      <c r="L278" s="57" t="n"/>
    </row>
    <row r="279" ht="20.1" customHeight="1" s="206">
      <c r="A279" s="2" t="inlineStr">
        <is>
          <t>c8hm</t>
        </is>
      </c>
      <c r="B279" s="23" t="inlineStr">
        <is>
          <t>Heard Island and McDonald Islands</t>
        </is>
      </c>
      <c r="C279" s="19" t="inlineStr">
        <is>
          <t>HM</t>
        </is>
      </c>
      <c r="D279" s="57" t="n"/>
      <c r="E279" s="57" t="n"/>
      <c r="F279" s="89" t="n"/>
      <c r="G279" s="89" t="n"/>
      <c r="H279" s="57" t="n"/>
      <c r="I279" s="55">
        <f t="array" ref="I279">G279+F279</f>
        <v/>
      </c>
      <c r="J279" s="57" t="n"/>
      <c r="K279" s="57" t="n"/>
      <c r="L279" s="57" t="n"/>
    </row>
    <row r="280" ht="20.1" customHeight="1" s="206">
      <c r="A280" s="2" t="inlineStr">
        <is>
          <t>c8tf</t>
        </is>
      </c>
      <c r="B280" s="23" t="inlineStr">
        <is>
          <t>French Southern Territories (the)</t>
        </is>
      </c>
      <c r="C280" s="19" t="inlineStr">
        <is>
          <t>TF</t>
        </is>
      </c>
      <c r="D280" s="57" t="n"/>
      <c r="E280" s="57" t="n"/>
      <c r="F280" s="89" t="n"/>
      <c r="G280" s="89" t="n"/>
      <c r="H280" s="57" t="n"/>
      <c r="I280" s="55">
        <f t="array" ref="I280">G280+F280</f>
        <v/>
      </c>
      <c r="J280" s="57" t="n"/>
      <c r="K280" s="57" t="n"/>
      <c r="L280" s="57" t="n"/>
    </row>
    <row r="281" ht="20.1" customHeight="1" s="206">
      <c r="A281" s="2" t="inlineStr">
        <is>
          <t>c8</t>
        </is>
      </c>
      <c r="B281" s="138" t="inlineStr">
        <is>
          <t>Antarctica</t>
        </is>
      </c>
      <c r="C281" s="52" t="n"/>
      <c r="D281" s="57" t="n"/>
      <c r="E281" s="57" t="n"/>
      <c r="F281" s="55" t="n">
        <v>0</v>
      </c>
      <c r="G281" s="55" t="n">
        <v>0</v>
      </c>
      <c r="H281" s="57" t="n"/>
      <c r="I281" s="55">
        <f t="array" ref="I281">SUM(I276:I280)</f>
        <v/>
      </c>
      <c r="J281" s="57" t="n"/>
      <c r="K281" s="57" t="n"/>
      <c r="L281" s="57" t="n"/>
    </row>
    <row r="282" ht="20.1" customHeight="1" s="206">
      <c r="A282" s="1" t="n"/>
      <c r="B282" s="18" t="n"/>
      <c r="C282" s="52" t="n"/>
      <c r="D282" s="57" t="n"/>
      <c r="E282" s="57" t="n"/>
      <c r="F282" s="57" t="n"/>
      <c r="G282" s="57" t="n"/>
      <c r="H282" s="57" t="n"/>
      <c r="I282" s="57" t="n"/>
      <c r="J282" s="57" t="n"/>
      <c r="K282" s="57" t="n"/>
      <c r="L282" s="57" t="n"/>
    </row>
    <row r="283" ht="20.1" customHeight="1" s="206">
      <c r="A283" s="2" t="inlineStr">
        <is>
          <t>c9</t>
        </is>
      </c>
      <c r="B283" s="23" t="inlineStr">
        <is>
          <t>Other / Unknown</t>
        </is>
      </c>
      <c r="C283" s="13" t="n"/>
      <c r="D283" s="57" t="n"/>
      <c r="E283" s="57" t="n"/>
      <c r="F283" s="89" t="n"/>
      <c r="G283" s="89" t="n"/>
      <c r="H283" s="57" t="n"/>
      <c r="I283" s="55">
        <f t="array" ref="I283">G283+F283</f>
        <v/>
      </c>
      <c r="J283" s="57" t="n"/>
      <c r="K283" s="57" t="n"/>
      <c r="L283" s="57" t="n"/>
    </row>
    <row r="284" ht="20.1" customHeight="1" s="206">
      <c r="A284" s="1" t="n"/>
      <c r="B284" s="18" t="n"/>
      <c r="C284" s="52" t="n"/>
      <c r="D284" s="57" t="n"/>
      <c r="E284" s="57" t="n"/>
      <c r="F284" s="57" t="n"/>
      <c r="G284" s="57" t="n"/>
      <c r="H284" s="57" t="n"/>
      <c r="I284" s="57" t="n"/>
      <c r="J284" s="57" t="n"/>
      <c r="K284" s="57" t="n"/>
      <c r="L284" s="57" t="n"/>
    </row>
    <row r="285" ht="20.1" customHeight="1" s="206">
      <c r="A285" s="140" t="inlineStr">
        <is>
          <t>ct</t>
        </is>
      </c>
      <c r="B285" s="141" t="inlineStr">
        <is>
          <t>Total</t>
        </is>
      </c>
      <c r="C285" s="117" t="n"/>
      <c r="D285" s="78" t="n"/>
      <c r="E285" s="78" t="n"/>
      <c r="F285" s="79" t="n">
        <v>6190000</v>
      </c>
      <c r="G285" s="79" t="n">
        <v>6310000</v>
      </c>
      <c r="H285" s="78" t="n"/>
      <c r="I285" s="79">
        <f t="array" ref="I285">I62+I107+I123+I184+I208+I243+I273+I281+I283</f>
        <v/>
      </c>
      <c r="J285" s="57" t="n"/>
      <c r="K285" s="57" t="n"/>
      <c r="L285" s="57" t="n"/>
    </row>
    <row r="286" ht="20.1" customHeight="1" s="206">
      <c r="A286" s="10" t="n"/>
      <c r="B286" s="142" t="inlineStr">
        <is>
          <t>For checking: Total of migrants</t>
        </is>
      </c>
      <c r="C286" s="143" t="n"/>
      <c r="D286" s="82" t="n"/>
      <c r="E286" s="82" t="n"/>
      <c r="F286" s="83">
        <f t="array" ref="F286">population!F109</f>
        <v/>
      </c>
      <c r="G286" s="83">
        <f t="array" ref="G286">population!G109</f>
        <v/>
      </c>
      <c r="H286" s="82" t="n"/>
      <c r="I286" s="83">
        <f t="array" ref="I286">population!I109</f>
        <v/>
      </c>
      <c r="J286" s="57" t="n"/>
      <c r="K286" s="57" t="n"/>
      <c r="L286" s="57" t="n"/>
    </row>
    <row r="287" ht="20.1" customHeight="1" s="206">
      <c r="A287" s="10" t="n"/>
      <c r="B287" s="142" t="inlineStr">
        <is>
          <t>For checking: Total of migration</t>
        </is>
      </c>
      <c r="C287" s="143" t="n"/>
      <c r="D287" s="82" t="n"/>
      <c r="E287" s="82" t="n"/>
      <c r="F287" s="83">
        <f t="array" ref="F287">migration!F111</f>
        <v/>
      </c>
      <c r="G287" s="83">
        <f t="array" ref="G287">migration!G111</f>
        <v/>
      </c>
      <c r="H287" s="82" t="n"/>
      <c r="I287" s="83">
        <f t="array" ref="I287">migration!I111</f>
        <v/>
      </c>
      <c r="J287" s="57" t="n"/>
      <c r="K287" s="57" t="n"/>
      <c r="L287" s="57" t="n"/>
    </row>
    <row r="288" ht="20.1" customHeight="1" s="206">
      <c r="A288" s="41" t="n"/>
      <c r="B288" s="42" t="n"/>
      <c r="C288" s="114" t="n"/>
      <c r="D288" s="144" t="n"/>
      <c r="E288" s="144" t="n"/>
      <c r="F288" s="144" t="n"/>
      <c r="G288" s="144" t="n"/>
      <c r="H288" s="144" t="n"/>
      <c r="I288" s="144" t="n"/>
      <c r="J288" s="62" t="n"/>
      <c r="K288" s="62" t="n"/>
      <c r="L288" s="62" t="n"/>
    </row>
  </sheetData>
  <mergeCells count="3">
    <mergeCell ref="C5:K5"/>
    <mergeCell ref="C4:K4"/>
    <mergeCell ref="A1:L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80"/>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patria</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50" t="n"/>
      <c r="B5" s="51" t="inlineStr">
        <is>
          <t>Naturalisation</t>
        </is>
      </c>
      <c r="C5" s="192" t="inlineStr">
        <is>
          <t>Fill in the numbers of people being naturalized in the specified year. This is not relevant for the calculation of version 1 but it is important for future versions.</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2025</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52" t="n"/>
      <c r="K8" s="52" t="n"/>
      <c r="L8" s="52" t="n"/>
    </row>
    <row r="9" ht="20.1" customHeight="1" s="206">
      <c r="A9" s="10" t="n"/>
      <c r="B9" s="127">
        <f t="array" ref="B9">$B10-1</f>
        <v/>
      </c>
      <c r="C9" s="83">
        <f t="array" ref="C9">I9</f>
        <v/>
      </c>
      <c r="D9" s="82" t="n"/>
      <c r="E9" s="82" t="n"/>
      <c r="F9" s="145" t="n"/>
      <c r="G9" s="145" t="n"/>
      <c r="H9" s="82" t="n"/>
      <c r="I9" s="173" t="n">
        <v>39824</v>
      </c>
      <c r="J9" s="57" t="n"/>
      <c r="K9" s="57" t="n"/>
      <c r="L9" s="57" t="n"/>
    </row>
    <row r="10" ht="20.1" customHeight="1" s="206">
      <c r="A10" s="10" t="n"/>
      <c r="B10" s="127">
        <f t="array" ref="B10">$B11-1</f>
        <v/>
      </c>
      <c r="C10" s="83">
        <f t="array" ref="C10">I10</f>
        <v/>
      </c>
      <c r="D10" s="82" t="n"/>
      <c r="E10" s="82" t="n"/>
      <c r="F10" s="145" t="n"/>
      <c r="G10" s="145" t="n"/>
      <c r="H10" s="82" t="n"/>
      <c r="I10" s="173" t="n">
        <v>38973</v>
      </c>
      <c r="J10" s="57" t="n"/>
      <c r="K10" s="57" t="n"/>
      <c r="L10" s="57" t="n"/>
    </row>
    <row r="11" ht="20.1" customHeight="1" s="206">
      <c r="A11" s="10" t="n"/>
      <c r="B11" s="127">
        <f t="array" ref="B11">$B12-1</f>
        <v/>
      </c>
      <c r="C11" s="83">
        <f t="array" ref="C11">I11</f>
        <v/>
      </c>
      <c r="D11" s="82" t="n"/>
      <c r="E11" s="82" t="n"/>
      <c r="F11" s="145" t="n"/>
      <c r="G11" s="145" t="n"/>
      <c r="H11" s="82" t="n"/>
      <c r="I11" s="173" t="n">
        <v>29185</v>
      </c>
      <c r="J11" s="57" t="n"/>
      <c r="K11" s="57" t="n"/>
      <c r="L11" s="57" t="n"/>
    </row>
    <row r="12" ht="20.1" customHeight="1" s="206">
      <c r="A12" s="10" t="n"/>
      <c r="B12" s="127">
        <f t="array" ref="B12">$B13-1</f>
        <v/>
      </c>
      <c r="C12" s="83">
        <f t="array" ref="C12">I12</f>
        <v/>
      </c>
      <c r="D12" s="82" t="n"/>
      <c r="E12" s="82" t="n"/>
      <c r="F12" s="145" t="n"/>
      <c r="G12" s="145" t="n"/>
      <c r="H12" s="82" t="n"/>
      <c r="I12" s="173" t="n">
        <v>20460</v>
      </c>
      <c r="J12" s="57" t="n"/>
      <c r="K12" s="57" t="n"/>
      <c r="L12" s="57" t="n"/>
    </row>
    <row r="13" ht="20.1" customHeight="1" s="206">
      <c r="A13" s="10" t="n"/>
      <c r="B13" s="127">
        <f t="array" ref="B13">$B14-1</f>
        <v/>
      </c>
      <c r="C13" s="83">
        <f t="array" ref="C13">I13</f>
        <v/>
      </c>
      <c r="D13" s="82" t="n"/>
      <c r="E13" s="82" t="n"/>
      <c r="F13" s="145" t="n"/>
      <c r="G13" s="145" t="n"/>
      <c r="H13" s="82" t="n"/>
      <c r="I13" s="173" t="n">
        <v>22646</v>
      </c>
      <c r="J13" s="57" t="n"/>
      <c r="K13" s="57" t="n"/>
      <c r="L13" s="57" t="n"/>
    </row>
    <row r="14" ht="20.1" customHeight="1" s="206">
      <c r="A14" s="10" t="n"/>
      <c r="B14" s="127">
        <f t="array" ref="B14">$B15-1</f>
        <v/>
      </c>
      <c r="C14" s="83">
        <f t="array" ref="C14">I14</f>
        <v/>
      </c>
      <c r="D14" s="82" t="n"/>
      <c r="E14" s="82" t="n"/>
      <c r="F14" s="145" t="n"/>
      <c r="G14" s="145" t="n"/>
      <c r="H14" s="82" t="n"/>
      <c r="I14" s="173" t="n">
        <v>40523</v>
      </c>
      <c r="J14" s="57" t="n"/>
      <c r="K14" s="57" t="n"/>
      <c r="L14" s="57" t="n"/>
    </row>
    <row r="15" ht="20.1" customHeight="1" s="206">
      <c r="A15" s="10" t="n"/>
      <c r="B15" s="127">
        <f t="array" ref="B15">$B16-1</f>
        <v/>
      </c>
      <c r="C15" s="83">
        <f t="array" ref="C15">I15</f>
        <v/>
      </c>
      <c r="D15" s="82" t="n"/>
      <c r="E15" s="82" t="n"/>
      <c r="F15" s="145" t="n"/>
      <c r="G15" s="145" t="n"/>
      <c r="H15" s="82" t="n"/>
      <c r="I15" s="173" t="n">
        <v>35431</v>
      </c>
      <c r="J15" s="57" t="n"/>
      <c r="K15" s="57" t="n"/>
      <c r="L15" s="57" t="n"/>
    </row>
    <row r="16" ht="20.1" customHeight="1" s="206">
      <c r="A16" s="10" t="n"/>
      <c r="B16" s="127">
        <f t="array" ref="B16">$B17-1</f>
        <v/>
      </c>
      <c r="C16" s="83">
        <f t="array" ref="C16">I16</f>
        <v/>
      </c>
      <c r="D16" s="82" t="n"/>
      <c r="E16" s="82" t="n"/>
      <c r="F16" s="145" t="n"/>
      <c r="G16" s="145" t="n"/>
      <c r="H16" s="82" t="n"/>
      <c r="I16" s="173" t="n">
        <v>20318</v>
      </c>
      <c r="J16" s="57" t="n"/>
      <c r="K16" s="57" t="n"/>
      <c r="L16" s="57" t="n"/>
    </row>
    <row r="17" ht="20.1" customHeight="1" s="206">
      <c r="A17" s="10" t="n"/>
      <c r="B17" s="127">
        <f t="array" ref="B17">$B18-1</f>
        <v/>
      </c>
      <c r="C17" s="83">
        <f t="array" ref="C17">I17</f>
        <v/>
      </c>
      <c r="D17" s="82" t="n"/>
      <c r="E17" s="82" t="n"/>
      <c r="F17" s="145" t="n"/>
      <c r="G17" s="145" t="n"/>
      <c r="H17" s="82" t="n"/>
      <c r="I17" s="173" t="n">
        <v>8712</v>
      </c>
      <c r="J17" s="57" t="n"/>
      <c r="K17" s="57" t="n"/>
      <c r="L17" s="57" t="n"/>
    </row>
    <row r="18" ht="20.1" customHeight="1" s="206">
      <c r="A18" s="10" t="n"/>
      <c r="B18" s="127">
        <f t="array" ref="B18">$B19-1</f>
        <v/>
      </c>
      <c r="C18" s="83">
        <f t="array" ref="C18">I18</f>
        <v/>
      </c>
      <c r="D18" s="82" t="n"/>
      <c r="E18" s="82" t="n"/>
      <c r="F18" s="145" t="n"/>
      <c r="G18" s="145" t="n"/>
      <c r="H18" s="82" t="n"/>
      <c r="I18" s="173" t="n">
        <v>7688</v>
      </c>
      <c r="J18" s="57" t="n"/>
      <c r="K18" s="57" t="n"/>
      <c r="L18" s="57" t="n"/>
    </row>
    <row r="19" ht="20.1" customHeight="1" s="206">
      <c r="A19" s="10" t="n"/>
      <c r="B19" s="127">
        <f t="array" ref="B19">$B20-1</f>
        <v/>
      </c>
      <c r="C19" s="83">
        <f t="array" ref="C19">I19</f>
        <v/>
      </c>
      <c r="D19" s="82" t="n"/>
      <c r="E19" s="82" t="n"/>
      <c r="F19" s="145" t="n"/>
      <c r="G19" s="145" t="n"/>
      <c r="H19" s="82" t="n"/>
      <c r="I19" s="173" t="n">
        <v>6322</v>
      </c>
      <c r="J19" s="57" t="n"/>
      <c r="K19" s="57" t="n"/>
      <c r="L19" s="57" t="n"/>
    </row>
    <row r="20" ht="20.1" customHeight="1" s="206">
      <c r="A20" s="10" t="n"/>
      <c r="B20" s="127">
        <f t="array" ref="B20">$B21-1</f>
        <v/>
      </c>
      <c r="C20" s="83">
        <f t="array" ref="C20">I20</f>
        <v/>
      </c>
      <c r="D20" s="82" t="n"/>
      <c r="E20" s="82" t="n"/>
      <c r="F20" s="145" t="n"/>
      <c r="G20" s="145" t="n"/>
      <c r="H20" s="82" t="n"/>
      <c r="I20" s="173" t="n">
        <v>6083</v>
      </c>
      <c r="J20" s="57" t="n"/>
      <c r="K20" s="57" t="n"/>
      <c r="L20" s="57" t="n"/>
    </row>
    <row r="21" ht="20.1" customHeight="1" s="206">
      <c r="A21" s="10" t="n"/>
      <c r="B21" s="127">
        <f t="array" ref="B21">$B22-1</f>
        <v/>
      </c>
      <c r="C21" s="83">
        <f t="array" ref="C21">I21</f>
        <v/>
      </c>
      <c r="D21" s="82" t="n"/>
      <c r="E21" s="82" t="n"/>
      <c r="F21" s="145" t="n"/>
      <c r="G21" s="145" t="n"/>
      <c r="H21" s="82" t="n"/>
      <c r="I21" s="173" t="n">
        <v>5153</v>
      </c>
      <c r="J21" s="57" t="n"/>
      <c r="K21" s="57" t="n"/>
      <c r="L21" s="57" t="n"/>
    </row>
    <row r="22" ht="20.1" customHeight="1" s="206">
      <c r="A22" s="10" t="n"/>
      <c r="B22" s="127">
        <f t="array" ref="B22">$B23-1</f>
        <v/>
      </c>
      <c r="C22" s="83">
        <f t="array" ref="C22">I22</f>
        <v/>
      </c>
      <c r="D22" s="82" t="n"/>
      <c r="E22" s="82" t="n"/>
      <c r="F22" s="145" t="n"/>
      <c r="G22" s="145" t="n"/>
      <c r="H22" s="82" t="n"/>
      <c r="I22" s="173" t="n">
        <v>4640</v>
      </c>
      <c r="J22" s="57" t="n"/>
      <c r="K22" s="57" t="n"/>
      <c r="L22" s="57" t="n"/>
    </row>
    <row r="23" ht="20.1" customHeight="1" s="206">
      <c r="A23" s="10" t="n"/>
      <c r="B23" s="127">
        <f t="array" ref="B23">$B24-1</f>
        <v/>
      </c>
      <c r="C23" s="83">
        <f t="array" ref="C23">I23</f>
        <v/>
      </c>
      <c r="D23" s="82" t="n"/>
      <c r="E23" s="82" t="n"/>
      <c r="F23" s="145" t="n"/>
      <c r="G23" s="145" t="n"/>
      <c r="H23" s="82" t="n"/>
      <c r="I23" s="173" t="n">
        <v>4371</v>
      </c>
      <c r="J23" s="57" t="n"/>
      <c r="K23" s="57" t="n"/>
      <c r="L23" s="57" t="n"/>
    </row>
    <row r="24" ht="20.1" customHeight="1" s="206">
      <c r="A24" s="10" t="n"/>
      <c r="B24" s="127">
        <f t="array" ref="B24">$B25-1</f>
        <v/>
      </c>
      <c r="C24" s="83">
        <f t="array" ref="C24">I24</f>
        <v/>
      </c>
      <c r="D24" s="82" t="n"/>
      <c r="E24" s="82" t="n"/>
      <c r="F24" s="145" t="n"/>
      <c r="G24" s="145" t="n"/>
      <c r="H24" s="82" t="n"/>
      <c r="I24" s="173" t="n">
        <v>3999</v>
      </c>
      <c r="J24" s="57" t="n"/>
      <c r="K24" s="57" t="n"/>
      <c r="L24" s="57" t="n"/>
    </row>
    <row r="25" ht="20.1" customHeight="1" s="206">
      <c r="A25" s="10" t="n"/>
      <c r="B25" s="127">
        <f t="array" ref="B25">$B26-1</f>
        <v/>
      </c>
      <c r="C25" s="83">
        <f t="array" ref="C25">I25</f>
        <v/>
      </c>
      <c r="D25" s="82" t="n"/>
      <c r="E25" s="82" t="n"/>
      <c r="F25" s="145" t="n"/>
      <c r="G25" s="145" t="n"/>
      <c r="H25" s="82" t="n"/>
      <c r="I25" s="173" t="n">
        <v>3925</v>
      </c>
      <c r="J25" s="57" t="n"/>
      <c r="K25" s="57" t="n"/>
      <c r="L25" s="57" t="n"/>
    </row>
    <row r="26" ht="20.1" customHeight="1" s="206">
      <c r="A26" s="10" t="n"/>
      <c r="B26" s="127">
        <f t="array" ref="B26">$B27-1</f>
        <v/>
      </c>
      <c r="C26" s="83">
        <f t="array" ref="C26">I26</f>
        <v/>
      </c>
      <c r="D26" s="82" t="n"/>
      <c r="E26" s="82" t="n"/>
      <c r="F26" s="145" t="n"/>
      <c r="G26" s="145" t="n"/>
      <c r="H26" s="82" t="n"/>
      <c r="I26" s="173" t="n">
        <v>4832</v>
      </c>
      <c r="J26" s="57" t="n"/>
      <c r="K26" s="57" t="n"/>
      <c r="L26" s="57" t="n"/>
    </row>
    <row r="27" ht="20.1" customHeight="1" s="206">
      <c r="A27" s="10" t="n"/>
      <c r="B27" s="127">
        <f t="array" ref="B27">$B28-1</f>
        <v/>
      </c>
      <c r="C27" s="83">
        <f t="array" ref="C27">I27</f>
        <v/>
      </c>
      <c r="D27" s="82" t="n"/>
      <c r="E27" s="82" t="n"/>
      <c r="F27" s="145" t="n"/>
      <c r="G27" s="145" t="n"/>
      <c r="H27" s="82" t="n"/>
      <c r="I27" s="173" t="n">
        <v>4856</v>
      </c>
      <c r="J27" s="57" t="n"/>
      <c r="K27" s="57" t="n"/>
      <c r="L27" s="57" t="n"/>
    </row>
    <row r="28" ht="20.1" customHeight="1" s="206">
      <c r="A28" s="10" t="n"/>
      <c r="B28" s="127">
        <f t="array" ref="B28">$B29-1</f>
        <v/>
      </c>
      <c r="C28" s="83">
        <f t="array" ref="C28">I28</f>
        <v/>
      </c>
      <c r="D28" s="82" t="n"/>
      <c r="E28" s="82" t="n"/>
      <c r="F28" s="145" t="n"/>
      <c r="G28" s="145" t="n"/>
      <c r="H28" s="82" t="n"/>
      <c r="I28" s="173" t="n">
        <v>4740</v>
      </c>
      <c r="J28" s="57" t="n"/>
      <c r="K28" s="57" t="n"/>
      <c r="L28" s="57" t="n"/>
    </row>
    <row r="29" ht="20.1" customHeight="1" s="206">
      <c r="A29" s="10" t="n"/>
      <c r="B29" s="127">
        <f t="array" ref="B29">$B30-1</f>
        <v/>
      </c>
      <c r="C29" s="83">
        <f t="array" ref="C29">I29</f>
        <v/>
      </c>
      <c r="D29" s="82" t="n"/>
      <c r="E29" s="82" t="n"/>
      <c r="F29" s="145" t="n"/>
      <c r="G29" s="145" t="n"/>
      <c r="H29" s="82" t="n"/>
      <c r="I29" s="173" t="n">
        <v>4840</v>
      </c>
      <c r="J29" s="57" t="n"/>
      <c r="K29" s="57" t="n"/>
      <c r="L29" s="57" t="n"/>
    </row>
    <row r="30" ht="20.1" customHeight="1" s="206">
      <c r="A30" s="10" t="n"/>
      <c r="B30" s="127">
        <f t="array" ref="B30">$B31-1</f>
        <v/>
      </c>
      <c r="C30" s="83">
        <f t="array" ref="C30">I30</f>
        <v/>
      </c>
      <c r="D30" s="82" t="n"/>
      <c r="E30" s="82" t="n"/>
      <c r="F30" s="145" t="n"/>
      <c r="G30" s="145" t="n"/>
      <c r="H30" s="82" t="n"/>
      <c r="I30" s="173" t="n">
        <v>4745</v>
      </c>
      <c r="J30" s="57" t="n"/>
      <c r="K30" s="57" t="n"/>
      <c r="L30" s="57" t="n"/>
    </row>
    <row r="31" ht="20.1" customHeight="1" s="206">
      <c r="A31" s="10" t="n"/>
      <c r="B31" s="127">
        <f t="array" ref="B31">$B32-1</f>
        <v/>
      </c>
      <c r="C31" s="83">
        <f t="array" ref="C31">I31</f>
        <v/>
      </c>
      <c r="D31" s="82" t="n"/>
      <c r="E31" s="82" t="n"/>
      <c r="F31" s="145" t="n"/>
      <c r="G31" s="145" t="n"/>
      <c r="H31" s="82" t="n"/>
      <c r="I31" s="173" t="n">
        <v>5225</v>
      </c>
      <c r="J31" s="57" t="n"/>
      <c r="K31" s="57" t="n"/>
      <c r="L31" s="57" t="n"/>
    </row>
    <row r="32" ht="20.1" customHeight="1" s="206">
      <c r="A32" s="10" t="n"/>
      <c r="B32" s="127">
        <f t="array" ref="B32">$B33-1</f>
        <v/>
      </c>
      <c r="C32" s="83">
        <f t="array" ref="C32">I32</f>
        <v/>
      </c>
      <c r="D32" s="82" t="n"/>
      <c r="E32" s="82" t="n"/>
      <c r="F32" s="145" t="n"/>
      <c r="G32" s="145" t="n"/>
      <c r="H32" s="82" t="n"/>
      <c r="I32" s="173" t="n">
        <v>5358</v>
      </c>
      <c r="J32" s="57" t="n"/>
      <c r="K32" s="57" t="n"/>
      <c r="L32" s="57" t="n"/>
    </row>
    <row r="33" ht="20.1" customHeight="1" s="206">
      <c r="A33" s="10" t="n"/>
      <c r="B33" s="127">
        <f t="array" ref="B33">$B34-1</f>
        <v/>
      </c>
      <c r="C33" s="83">
        <f t="array" ref="C33">I33</f>
        <v/>
      </c>
      <c r="D33" s="82" t="n"/>
      <c r="E33" s="82" t="n"/>
      <c r="F33" s="145" t="n"/>
      <c r="G33" s="145" t="n"/>
      <c r="H33" s="82" t="n"/>
      <c r="I33" s="173" t="n">
        <v>5757</v>
      </c>
      <c r="J33" s="57" t="n"/>
      <c r="K33" s="57" t="n"/>
      <c r="L33" s="57" t="n"/>
    </row>
    <row r="34" ht="20.1" customHeight="1" s="206">
      <c r="A34" s="10" t="n"/>
      <c r="B34" s="127">
        <f t="array" ref="B34">$B35-1</f>
        <v/>
      </c>
      <c r="C34" s="83">
        <f t="array" ref="C34">I34</f>
        <v/>
      </c>
      <c r="D34" s="82" t="n"/>
      <c r="E34" s="82" t="n"/>
      <c r="F34" s="145" t="n"/>
      <c r="G34" s="145" t="n"/>
      <c r="H34" s="82" t="n"/>
      <c r="I34" s="173" t="n">
        <v>6495</v>
      </c>
      <c r="J34" s="57" t="n"/>
      <c r="K34" s="57" t="n"/>
      <c r="L34" s="57" t="n"/>
    </row>
    <row r="35" ht="20.1" customHeight="1" s="206">
      <c r="A35" s="10" t="n"/>
      <c r="B35" s="127">
        <f t="array" ref="B35">$B36-1</f>
        <v/>
      </c>
      <c r="C35" s="83">
        <f t="array" ref="C35">I35</f>
        <v/>
      </c>
      <c r="D35" s="82" t="n"/>
      <c r="E35" s="82" t="n"/>
      <c r="F35" s="145" t="n"/>
      <c r="G35" s="145" t="n"/>
      <c r="H35" s="82" t="n"/>
      <c r="I35" s="173" t="n">
        <v>6997</v>
      </c>
      <c r="J35" s="57" t="n"/>
      <c r="K35" s="57" t="n"/>
      <c r="L35" s="57" t="n"/>
    </row>
    <row r="36" ht="20.1" customHeight="1" s="206">
      <c r="A36" s="10" t="n"/>
      <c r="B36" s="127">
        <f t="array" ref="B36">$B37-1</f>
        <v/>
      </c>
      <c r="C36" s="83">
        <f t="array" ref="C36">I36</f>
        <v/>
      </c>
      <c r="D36" s="82" t="n"/>
      <c r="E36" s="82" t="n"/>
      <c r="F36" s="145" t="n"/>
      <c r="G36" s="145" t="n"/>
      <c r="H36" s="82" t="n"/>
      <c r="I36" s="173" t="n">
        <v>6981</v>
      </c>
      <c r="J36" s="57" t="n"/>
      <c r="K36" s="57" t="n"/>
      <c r="L36" s="57" t="n"/>
    </row>
    <row r="37" ht="20.1" customHeight="1" s="206">
      <c r="A37" s="10" t="n"/>
      <c r="B37" s="127">
        <f t="array" ref="B37">$B38-1</f>
        <v/>
      </c>
      <c r="C37" s="83">
        <f t="array" ref="C37">I37</f>
        <v/>
      </c>
      <c r="D37" s="82" t="n"/>
      <c r="E37" s="82" t="n"/>
      <c r="F37" s="145" t="n"/>
      <c r="G37" s="145" t="n"/>
      <c r="H37" s="82" t="n"/>
      <c r="I37" s="173" t="n">
        <v>6562</v>
      </c>
      <c r="J37" s="57" t="n"/>
      <c r="K37" s="57" t="n"/>
      <c r="L37" s="57" t="n"/>
    </row>
    <row r="38" ht="20.1" customHeight="1" s="206">
      <c r="A38" s="10" t="n"/>
      <c r="B38" s="127">
        <f t="array" ref="B38">$B39-1</f>
        <v/>
      </c>
      <c r="C38" s="83">
        <f t="array" ref="C38">I38</f>
        <v/>
      </c>
      <c r="D38" s="82" t="n"/>
      <c r="E38" s="82" t="n"/>
      <c r="F38" s="145" t="n"/>
      <c r="G38" s="145" t="n"/>
      <c r="H38" s="82" t="n"/>
      <c r="I38" s="173" t="n">
        <v>7333</v>
      </c>
      <c r="J38" s="57" t="n"/>
      <c r="K38" s="57" t="n"/>
      <c r="L38" s="57" t="n"/>
    </row>
    <row r="39" ht="20.1" customHeight="1" s="206">
      <c r="A39" s="10" t="n"/>
      <c r="B39" s="127">
        <f t="array" ref="B39">$B40-1</f>
        <v/>
      </c>
      <c r="C39" s="83">
        <f t="array" ref="C39">I39</f>
        <v/>
      </c>
      <c r="D39" s="82" t="n"/>
      <c r="E39" s="82" t="n"/>
      <c r="F39" s="145" t="n"/>
      <c r="G39" s="145" t="n"/>
      <c r="H39" s="82" t="n"/>
      <c r="I39" s="173" t="n">
        <v>8176</v>
      </c>
      <c r="J39" s="57" t="n"/>
      <c r="K39" s="57" t="n"/>
      <c r="L39" s="57" t="n"/>
    </row>
    <row r="40" ht="20.1" customHeight="1" s="206">
      <c r="A40" s="10" t="n"/>
      <c r="B40" s="127">
        <f t="array" ref="B40">$B41-1</f>
        <v/>
      </c>
      <c r="C40" s="83">
        <f t="array" ref="C40">I40</f>
        <v/>
      </c>
      <c r="D40" s="82" t="n"/>
      <c r="E40" s="82" t="n"/>
      <c r="F40" s="145" t="n">
        <v>4832</v>
      </c>
      <c r="G40" s="145" t="n">
        <v>3147</v>
      </c>
      <c r="H40" s="82" t="n"/>
      <c r="I40" s="83">
        <f t="array" ref="I40">G40+F40</f>
        <v/>
      </c>
      <c r="J40" s="57" t="n"/>
      <c r="K40" s="57" t="n"/>
      <c r="L40" s="57" t="n"/>
    </row>
    <row r="41" ht="20.1" customHeight="1" s="206">
      <c r="A41" s="10" t="n"/>
      <c r="B41" s="127">
        <f t="array" ref="B41">$B42-1</f>
        <v/>
      </c>
      <c r="C41" s="83">
        <f t="array" ref="C41">I41</f>
        <v/>
      </c>
      <c r="D41" s="82" t="n"/>
      <c r="E41" s="82" t="n"/>
      <c r="F41" s="145" t="n">
        <v>4835</v>
      </c>
      <c r="G41" s="145" t="n">
        <v>2915</v>
      </c>
      <c r="H41" s="82" t="n"/>
      <c r="I41" s="83">
        <f t="array" ref="I41">G41+F41</f>
        <v/>
      </c>
      <c r="J41" s="57" t="n"/>
      <c r="K41" s="57" t="n"/>
      <c r="L41" s="57" t="n"/>
    </row>
    <row r="42" ht="20.1" customHeight="1" s="206">
      <c r="A42" s="10" t="n"/>
      <c r="B42" s="127">
        <f t="array" ref="B42">$B43-1</f>
        <v/>
      </c>
      <c r="C42" s="83">
        <f t="array" ref="C42">I42</f>
        <v/>
      </c>
      <c r="D42" s="82" t="n"/>
      <c r="E42" s="82" t="n"/>
      <c r="F42" s="145" t="n">
        <v>6404</v>
      </c>
      <c r="G42" s="145" t="n">
        <v>4495</v>
      </c>
      <c r="H42" s="82" t="n"/>
      <c r="I42" s="83">
        <f t="array" ref="I42">G42+F42</f>
        <v/>
      </c>
      <c r="J42" s="57" t="n"/>
      <c r="K42" s="57" t="n"/>
      <c r="L42" s="57" t="n"/>
    </row>
    <row r="43" ht="20.1" customHeight="1" s="206">
      <c r="A43" s="10" t="n"/>
      <c r="B43" s="127">
        <f t="array" ref="B43">$B44-1</f>
        <v/>
      </c>
      <c r="C43" s="83">
        <f t="array" ref="C43">I43</f>
        <v/>
      </c>
      <c r="D43" s="82" t="n"/>
      <c r="E43" s="82" t="n"/>
      <c r="F43" s="145" t="n">
        <v>4006</v>
      </c>
      <c r="G43" s="145" t="n">
        <v>4869</v>
      </c>
      <c r="H43" s="82" t="n"/>
      <c r="I43" s="83">
        <f t="array" ref="I43">G43+F43</f>
        <v/>
      </c>
      <c r="J43" s="57" t="n"/>
      <c r="K43" s="57" t="n"/>
      <c r="L43" s="57" t="n"/>
    </row>
    <row r="44" ht="20.1" customHeight="1" s="206">
      <c r="A44" s="10" t="n"/>
      <c r="B44" s="127">
        <f t="array" ref="B44">$B45-1</f>
        <v/>
      </c>
      <c r="C44" s="83">
        <f t="array" ref="C44">I44</f>
        <v/>
      </c>
      <c r="D44" s="82" t="n"/>
      <c r="E44" s="82" t="n"/>
      <c r="F44" s="145" t="n">
        <v>4025</v>
      </c>
      <c r="G44" s="145" t="n">
        <v>4463</v>
      </c>
      <c r="H44" s="82" t="n"/>
      <c r="I44" s="83">
        <f t="array" ref="I44">G44+F44</f>
        <v/>
      </c>
      <c r="J44" s="57" t="n"/>
      <c r="K44" s="57" t="n"/>
      <c r="L44" s="57" t="n"/>
    </row>
    <row r="45" ht="20.1" customHeight="1" s="206">
      <c r="A45" s="10" t="n"/>
      <c r="B45" s="127">
        <f t="array" ref="B45">$B46-1</f>
        <v/>
      </c>
      <c r="C45" s="83">
        <f t="array" ref="C45">I45</f>
        <v/>
      </c>
      <c r="D45" s="82" t="n"/>
      <c r="E45" s="82" t="n"/>
      <c r="F45" s="145" t="n">
        <v>4752</v>
      </c>
      <c r="G45" s="145" t="n">
        <v>5263</v>
      </c>
      <c r="H45" s="82" t="n"/>
      <c r="I45" s="83">
        <f t="array" ref="I45">G45+F45</f>
        <v/>
      </c>
      <c r="J45" s="57" t="n"/>
      <c r="K45" s="57" t="n"/>
      <c r="L45" s="57" t="n"/>
    </row>
    <row r="46" ht="20.1" customHeight="1" s="206">
      <c r="A46" s="10" t="n"/>
      <c r="B46" s="127">
        <f t="array" ref="B46">$B47-1</f>
        <v/>
      </c>
      <c r="C46" s="83">
        <f t="array" ref="C46">I46</f>
        <v/>
      </c>
      <c r="D46" s="82" t="n"/>
      <c r="E46" s="82" t="n"/>
      <c r="F46" s="145" t="n">
        <v>3955</v>
      </c>
      <c r="G46" s="145" t="n">
        <v>4157</v>
      </c>
      <c r="H46" s="82" t="n"/>
      <c r="I46" s="83">
        <f t="array" ref="I46">G46+F46</f>
        <v/>
      </c>
      <c r="J46" s="57" t="n"/>
      <c r="K46" s="57" t="n"/>
      <c r="L46" s="57" t="n"/>
    </row>
    <row r="47" ht="20.1" customHeight="1" s="206">
      <c r="A47" s="10" t="n"/>
      <c r="B47" s="127">
        <f t="array" ref="B47">$B48-1</f>
        <v/>
      </c>
      <c r="C47" s="83">
        <f t="array" ref="C47">I47</f>
        <v/>
      </c>
      <c r="D47" s="82" t="n"/>
      <c r="E47" s="82" t="n"/>
      <c r="F47" s="145" t="n">
        <v>4011</v>
      </c>
      <c r="G47" s="145" t="n">
        <v>4221</v>
      </c>
      <c r="H47" s="82" t="n"/>
      <c r="I47" s="83">
        <f t="array" ref="I47">G47+F47</f>
        <v/>
      </c>
      <c r="J47" s="57" t="n"/>
      <c r="K47" s="57" t="n"/>
      <c r="L47" s="57" t="n"/>
    </row>
    <row r="48" ht="20.1" customHeight="1" s="206">
      <c r="A48" s="10" t="n"/>
      <c r="B48" s="127">
        <f t="array" ref="B48">$B49-1</f>
        <v/>
      </c>
      <c r="C48" s="83">
        <f t="array" ref="C48">I48</f>
        <v/>
      </c>
      <c r="D48" s="82" t="n"/>
      <c r="E48" s="82" t="n"/>
      <c r="F48" s="145" t="n">
        <v>4305</v>
      </c>
      <c r="G48" s="145" t="n">
        <v>4165</v>
      </c>
      <c r="H48" s="82" t="n"/>
      <c r="I48" s="83">
        <f t="array" ref="I48">G48+F48</f>
        <v/>
      </c>
      <c r="J48" s="57" t="n"/>
      <c r="K48" s="57" t="n"/>
      <c r="L48" s="57" t="n"/>
    </row>
    <row r="49" ht="20.1" customHeight="1" s="206">
      <c r="A49" s="10" t="n"/>
      <c r="B49" s="127">
        <f t="array" ref="B49">$B50-1</f>
        <v/>
      </c>
      <c r="C49" s="83">
        <f t="array" ref="C49">I49</f>
        <v/>
      </c>
      <c r="D49" s="82" t="n"/>
      <c r="E49" s="82" t="n"/>
      <c r="F49" s="145" t="n">
        <v>4704</v>
      </c>
      <c r="G49" s="145" t="n">
        <v>4494</v>
      </c>
      <c r="H49" s="82" t="n"/>
      <c r="I49" s="83">
        <f t="array" ref="I49">G49+F49</f>
        <v/>
      </c>
      <c r="J49" s="57" t="n"/>
      <c r="K49" s="57" t="n"/>
      <c r="L49" s="57" t="n"/>
    </row>
    <row r="50" ht="20.1" customHeight="1" s="206">
      <c r="A50" s="10" t="n"/>
      <c r="B50" s="127">
        <f t="array" ref="B50">$B51-1</f>
        <v/>
      </c>
      <c r="C50" s="83">
        <f t="array" ref="C50">I50</f>
        <v/>
      </c>
      <c r="D50" s="82" t="n"/>
      <c r="E50" s="82" t="n"/>
      <c r="F50" s="145" t="n">
        <v>5685</v>
      </c>
      <c r="G50" s="145" t="n">
        <v>5709</v>
      </c>
      <c r="H50" s="82" t="n"/>
      <c r="I50" s="83">
        <f t="array" ref="I50">G50+F50</f>
        <v/>
      </c>
      <c r="J50" s="57" t="n"/>
      <c r="K50" s="57" t="n"/>
      <c r="L50" s="57" t="n"/>
    </row>
    <row r="51" ht="20.1" customHeight="1" s="206">
      <c r="A51" s="10" t="n"/>
      <c r="B51" s="127">
        <f t="array" ref="B51">$B52-1</f>
        <v/>
      </c>
      <c r="C51" s="83">
        <f t="array" ref="C51">I51</f>
        <v/>
      </c>
      <c r="D51" s="82" t="n"/>
      <c r="E51" s="82" t="n"/>
      <c r="F51" s="145" t="n">
        <v>6033</v>
      </c>
      <c r="G51" s="145" t="n">
        <v>5887</v>
      </c>
      <c r="H51" s="82" t="n"/>
      <c r="I51" s="83">
        <f t="array" ref="I51">G51+F51</f>
        <v/>
      </c>
      <c r="J51" s="57" t="n"/>
      <c r="K51" s="57" t="n"/>
      <c r="L51" s="57" t="n"/>
    </row>
    <row r="52" ht="20.1" customHeight="1" s="206">
      <c r="A52" s="10" t="n"/>
      <c r="B52" s="127">
        <f t="array" ref="B52">$B53-1</f>
        <v/>
      </c>
      <c r="C52" s="83">
        <f t="array" ref="C52">I52</f>
        <v/>
      </c>
      <c r="D52" s="82" t="n"/>
      <c r="E52" s="82" t="n"/>
      <c r="F52" s="145" t="n">
        <v>7490</v>
      </c>
      <c r="G52" s="145" t="n">
        <v>6912</v>
      </c>
      <c r="H52" s="82" t="n"/>
      <c r="I52" s="83">
        <f t="array" ref="I52">G52+F52</f>
        <v/>
      </c>
      <c r="J52" s="57" t="n"/>
      <c r="K52" s="57" t="n"/>
      <c r="L52" s="57" t="n"/>
    </row>
    <row r="53" ht="20.1" customHeight="1" s="206">
      <c r="A53" s="10" t="n"/>
      <c r="B53" s="127">
        <f t="array" ref="B53">$B54-1</f>
        <v/>
      </c>
      <c r="C53" s="83">
        <f t="array" ref="C53">I53</f>
        <v/>
      </c>
      <c r="D53" s="82" t="n"/>
      <c r="E53" s="82" t="n"/>
      <c r="F53" s="145" t="n">
        <v>8394</v>
      </c>
      <c r="G53" s="145" t="n">
        <v>7876</v>
      </c>
      <c r="H53" s="82" t="n"/>
      <c r="I53" s="83">
        <f t="array" ref="I53">G53+F53</f>
        <v/>
      </c>
      <c r="J53" s="57" t="n"/>
      <c r="K53" s="57" t="n"/>
      <c r="L53" s="57" t="n"/>
    </row>
    <row r="54" ht="20.1" customHeight="1" s="206">
      <c r="A54" s="10" t="n"/>
      <c r="B54" s="127">
        <f t="array" ref="B54">$B55-1</f>
        <v/>
      </c>
      <c r="C54" s="83">
        <f t="array" ref="C54">I54</f>
        <v/>
      </c>
      <c r="D54" s="82" t="n"/>
      <c r="E54" s="82" t="n"/>
      <c r="F54" s="145" t="n">
        <v>7965</v>
      </c>
      <c r="G54" s="145" t="n">
        <v>7344</v>
      </c>
      <c r="H54" s="82" t="n"/>
      <c r="I54" s="83">
        <f t="array" ref="I54">G54+F54</f>
        <v/>
      </c>
      <c r="J54" s="57" t="n"/>
      <c r="K54" s="57" t="n"/>
      <c r="L54" s="57" t="n"/>
    </row>
    <row r="55" ht="20.1" customHeight="1" s="206">
      <c r="A55" s="10" t="n"/>
      <c r="B55" s="127">
        <f t="array" ref="B55">$B56-1</f>
        <v/>
      </c>
      <c r="C55" s="83">
        <f t="array" ref="C55">I55</f>
        <v/>
      </c>
      <c r="D55" s="82" t="n"/>
      <c r="E55" s="82" t="n"/>
      <c r="F55" s="145" t="n">
        <v>8604</v>
      </c>
      <c r="G55" s="145" t="n">
        <v>7639</v>
      </c>
      <c r="H55" s="82" t="n"/>
      <c r="I55" s="83">
        <f t="array" ref="I55">G55+F55</f>
        <v/>
      </c>
      <c r="J55" s="57" t="n"/>
      <c r="K55" s="57" t="n"/>
      <c r="L55" s="57" t="n"/>
    </row>
    <row r="56" ht="20.1" customHeight="1" s="206">
      <c r="A56" s="10" t="n"/>
      <c r="B56" s="127">
        <f t="array" ref="B56">$B57-1</f>
        <v/>
      </c>
      <c r="C56" s="83">
        <f t="array" ref="C56">I56</f>
        <v/>
      </c>
      <c r="D56" s="82" t="n"/>
      <c r="E56" s="82" t="n"/>
      <c r="F56" s="145" t="n">
        <v>8600</v>
      </c>
      <c r="G56" s="145" t="n">
        <v>7674</v>
      </c>
      <c r="H56" s="82" t="n"/>
      <c r="I56" s="83">
        <f t="array" ref="I56">G56+F56</f>
        <v/>
      </c>
      <c r="J56" s="57" t="n"/>
      <c r="K56" s="57" t="n"/>
      <c r="L56" s="57" t="n"/>
    </row>
    <row r="57" ht="20.1" customHeight="1" s="206">
      <c r="A57" s="10" t="n"/>
      <c r="B57" s="127">
        <f t="array" ref="B57">$B58-1</f>
        <v/>
      </c>
      <c r="C57" s="83">
        <f t="array" ref="C57">I57</f>
        <v/>
      </c>
      <c r="D57" s="82" t="n"/>
      <c r="E57" s="82" t="n"/>
      <c r="F57" s="145" t="n">
        <v>9532</v>
      </c>
      <c r="G57" s="145" t="n">
        <v>8789</v>
      </c>
      <c r="H57" s="82" t="n"/>
      <c r="I57" s="83">
        <f t="array" ref="I57">G57+F57</f>
        <v/>
      </c>
      <c r="J57" s="57" t="n"/>
      <c r="K57" s="57" t="n"/>
      <c r="L57" s="57" t="n"/>
    </row>
    <row r="58" ht="20.1" customHeight="1" s="206">
      <c r="A58" s="10" t="n"/>
      <c r="B58" s="127">
        <f t="array" ref="B58">$B59-1</f>
        <v/>
      </c>
      <c r="C58" s="83">
        <f t="array" ref="C58">I58</f>
        <v/>
      </c>
      <c r="D58" s="82" t="n"/>
      <c r="E58" s="82" t="n"/>
      <c r="F58" s="145" t="n">
        <v>12649</v>
      </c>
      <c r="G58" s="145" t="n">
        <v>12383</v>
      </c>
      <c r="H58" s="82" t="n"/>
      <c r="I58" s="83">
        <f t="array" ref="I58">G58+F58</f>
        <v/>
      </c>
      <c r="J58" s="57" t="n"/>
      <c r="K58" s="57" t="n"/>
      <c r="L58" s="57" t="n"/>
    </row>
    <row r="59" ht="20.1" customHeight="1" s="206">
      <c r="A59" s="10" t="n"/>
      <c r="B59" s="127">
        <f t="array" ref="B59">$B60-1</f>
        <v/>
      </c>
      <c r="C59" s="83">
        <f t="array" ref="C59">I59</f>
        <v/>
      </c>
      <c r="D59" s="82" t="n"/>
      <c r="E59" s="82" t="n"/>
      <c r="F59" s="145" t="n">
        <v>12415</v>
      </c>
      <c r="G59" s="145" t="n">
        <v>12230</v>
      </c>
      <c r="H59" s="82" t="n"/>
      <c r="I59" s="83">
        <f t="array" ref="I59">G59+F59</f>
        <v/>
      </c>
      <c r="J59" s="57" t="n"/>
      <c r="K59" s="57" t="n"/>
      <c r="L59" s="57" t="n"/>
    </row>
    <row r="60" ht="20.1" customHeight="1" s="206">
      <c r="A60" s="10" t="n"/>
      <c r="B60" s="127">
        <f t="array" ref="B60">$B61-1</f>
        <v/>
      </c>
      <c r="C60" s="83">
        <f t="array" ref="C60">I60</f>
        <v/>
      </c>
      <c r="D60" s="82" t="n"/>
      <c r="E60" s="82" t="n"/>
      <c r="F60" s="145" t="n">
        <v>15872</v>
      </c>
      <c r="G60" s="145" t="n">
        <v>16208</v>
      </c>
      <c r="H60" s="82" t="n"/>
      <c r="I60" s="83">
        <f t="array" ref="I60">G60+F60</f>
        <v/>
      </c>
      <c r="J60" s="57" t="n"/>
      <c r="K60" s="57" t="n"/>
      <c r="L60" s="57" t="n"/>
    </row>
    <row r="61" ht="20.1" customHeight="1" s="206">
      <c r="A61" s="10" t="n"/>
      <c r="B61" s="127">
        <f t="array" ref="B61">$B62-1</f>
        <v/>
      </c>
      <c r="C61" s="83">
        <f t="array" ref="C61">I61</f>
        <v/>
      </c>
      <c r="D61" s="82" t="n"/>
      <c r="E61" s="82" t="n"/>
      <c r="F61" s="145" t="n">
        <v>17898</v>
      </c>
      <c r="G61" s="145" t="n">
        <v>18484</v>
      </c>
      <c r="H61" s="82" t="n"/>
      <c r="I61" s="83">
        <f t="array" ref="I61">G61+F61</f>
        <v/>
      </c>
      <c r="J61" s="57" t="n"/>
      <c r="K61" s="57" t="n"/>
      <c r="L61" s="57" t="n"/>
    </row>
    <row r="62" ht="20.1" customHeight="1" s="206">
      <c r="A62" s="10" t="n"/>
      <c r="B62" s="127">
        <f t="array" ref="B62">$B63-1</f>
        <v/>
      </c>
      <c r="C62" s="83">
        <f t="array" ref="C62">I62</f>
        <v/>
      </c>
      <c r="D62" s="82" t="n"/>
      <c r="E62" s="82" t="n"/>
      <c r="F62" s="145" t="n">
        <v>22567</v>
      </c>
      <c r="G62" s="145" t="n">
        <v>22545</v>
      </c>
      <c r="H62" s="82" t="n"/>
      <c r="I62" s="83">
        <f t="array" ref="I62">G62+F62</f>
        <v/>
      </c>
      <c r="J62" s="57" t="n"/>
      <c r="K62" s="57" t="n"/>
      <c r="L62" s="57" t="n"/>
    </row>
    <row r="63" ht="20.1" customHeight="1" s="206">
      <c r="A63" s="10" t="n"/>
      <c r="B63" s="127">
        <f t="array" ref="B63">$B64-1</f>
        <v/>
      </c>
      <c r="C63" s="83">
        <f t="array" ref="C63">I63</f>
        <v/>
      </c>
      <c r="D63" s="82" t="n"/>
      <c r="E63" s="82" t="n"/>
      <c r="F63" s="145" t="n">
        <v>20990</v>
      </c>
      <c r="G63" s="145" t="n">
        <v>21184</v>
      </c>
      <c r="H63" s="82" t="n"/>
      <c r="I63" s="83">
        <f t="array" ref="I63">G63+F63</f>
        <v/>
      </c>
      <c r="J63" s="57" t="n"/>
      <c r="K63" s="57" t="n"/>
      <c r="L63" s="57" t="n"/>
    </row>
    <row r="64" ht="20.1" customHeight="1" s="206">
      <c r="A64" s="10" t="n"/>
      <c r="B64" s="127">
        <f t="array" ref="B64">$B65-1</f>
        <v/>
      </c>
      <c r="C64" s="83">
        <f t="array" ref="C64">I64</f>
        <v/>
      </c>
      <c r="D64" s="82" t="n"/>
      <c r="E64" s="82" t="n"/>
      <c r="F64" s="145" t="n">
        <v>17569</v>
      </c>
      <c r="G64" s="145" t="n">
        <v>17848</v>
      </c>
      <c r="H64" s="82" t="n"/>
      <c r="I64" s="83">
        <f t="array" ref="I64">G64+F64</f>
        <v/>
      </c>
      <c r="J64" s="57" t="n"/>
      <c r="K64" s="57" t="n"/>
      <c r="L64" s="57" t="n"/>
    </row>
    <row r="65" ht="20.1" customHeight="1" s="206">
      <c r="A65" s="10" t="n"/>
      <c r="B65" s="127">
        <f t="array" ref="B65">$B66-1</f>
        <v/>
      </c>
      <c r="C65" s="83">
        <f t="array" ref="C65">I65</f>
        <v/>
      </c>
      <c r="D65" s="82" t="n"/>
      <c r="E65" s="82" t="n"/>
      <c r="F65" s="145" t="n">
        <v>13430</v>
      </c>
      <c r="G65" s="145" t="n">
        <v>12829</v>
      </c>
      <c r="H65" s="82" t="n"/>
      <c r="I65" s="83">
        <f t="array" ref="I65">G65+F65</f>
        <v/>
      </c>
      <c r="J65" s="57" t="n"/>
      <c r="K65" s="57" t="n"/>
      <c r="L65" s="57" t="n"/>
    </row>
    <row r="66" ht="20.1" customHeight="1" s="206">
      <c r="A66" s="10" t="n"/>
      <c r="B66" s="127">
        <f t="array" ref="B66">$B67-1</f>
        <v/>
      </c>
      <c r="C66" s="83">
        <f t="array" ref="C66">I66</f>
        <v/>
      </c>
      <c r="D66" s="82" t="n"/>
      <c r="E66" s="82" t="n"/>
      <c r="F66" s="145" t="n">
        <v>7615</v>
      </c>
      <c r="G66" s="145" t="n">
        <v>6426</v>
      </c>
      <c r="H66" s="82" t="n"/>
      <c r="I66" s="83">
        <f t="array" ref="I66">G66+F66</f>
        <v/>
      </c>
      <c r="J66" s="57" t="n"/>
      <c r="K66" s="57" t="n"/>
      <c r="L66" s="57" t="n"/>
    </row>
    <row r="67" ht="20.1" customHeight="1" s="206">
      <c r="A67" s="10" t="n"/>
      <c r="B67" s="127">
        <f t="array" ref="B67">$B68-1</f>
        <v/>
      </c>
      <c r="C67" s="83">
        <f t="array" ref="C67">I67</f>
        <v/>
      </c>
      <c r="D67" s="82" t="n"/>
      <c r="E67" s="82" t="n"/>
      <c r="F67" s="145" t="n">
        <v>5455</v>
      </c>
      <c r="G67" s="145" t="n">
        <v>4803</v>
      </c>
      <c r="H67" s="82" t="n"/>
      <c r="I67" s="83">
        <f t="array" ref="I67">G67+F67</f>
        <v/>
      </c>
      <c r="J67" s="57" t="n"/>
      <c r="K67" s="57" t="n"/>
      <c r="L67" s="57" t="n"/>
    </row>
    <row r="68" ht="20.1" customHeight="1" s="206">
      <c r="A68" s="10" t="n"/>
      <c r="B68" s="127">
        <f t="array" ref="B68">$B69-1</f>
        <v/>
      </c>
      <c r="C68" s="83">
        <f t="array" ref="C68">I68</f>
        <v/>
      </c>
      <c r="D68" s="82" t="n"/>
      <c r="E68" s="82" t="n"/>
      <c r="F68" s="145" t="n">
        <v>4222</v>
      </c>
      <c r="G68" s="145" t="n">
        <v>3756</v>
      </c>
      <c r="H68" s="82" t="n"/>
      <c r="I68" s="83">
        <f t="array" ref="I68">G68+F68</f>
        <v/>
      </c>
      <c r="J68" s="57" t="n"/>
      <c r="K68" s="57" t="n"/>
      <c r="L68" s="57" t="n"/>
    </row>
    <row r="69" ht="20.1" customHeight="1" s="206">
      <c r="A69" s="10" t="n"/>
      <c r="B69" s="127">
        <f t="array" ref="B69">$B70-1</f>
        <v/>
      </c>
      <c r="C69" s="83">
        <f t="array" ref="C69">I69</f>
        <v/>
      </c>
      <c r="D69" s="82" t="n"/>
      <c r="E69" s="82" t="n"/>
      <c r="F69" s="145" t="n">
        <v>3263</v>
      </c>
      <c r="G69" s="145" t="n">
        <v>2872</v>
      </c>
      <c r="H69" s="82" t="n"/>
      <c r="I69" s="83">
        <f t="array" ref="I69">G69+F69</f>
        <v/>
      </c>
      <c r="J69" s="57" t="n"/>
      <c r="K69" s="57" t="n"/>
      <c r="L69" s="57" t="n"/>
    </row>
    <row r="70" ht="20.1" customHeight="1" s="206">
      <c r="A70" s="10" t="n"/>
      <c r="B70" s="127">
        <f t="array" ref="B70">$B71-1</f>
        <v/>
      </c>
      <c r="C70" s="83">
        <f t="array" ref="C70">I70</f>
        <v/>
      </c>
      <c r="D70" s="82" t="n"/>
      <c r="E70" s="82" t="n"/>
      <c r="F70" s="145" t="n">
        <v>3574</v>
      </c>
      <c r="G70" s="145" t="n">
        <v>3116</v>
      </c>
      <c r="H70" s="82" t="n"/>
      <c r="I70" s="83">
        <f t="array" ref="I70">G70+F70</f>
        <v/>
      </c>
      <c r="J70" s="57" t="n"/>
      <c r="K70" s="57" t="n"/>
      <c r="L70" s="57" t="n"/>
    </row>
    <row r="71" ht="20.1" customHeight="1" s="206">
      <c r="A71" s="10" t="n"/>
      <c r="B71" s="127">
        <f t="array" ref="B71">$B72-1</f>
        <v/>
      </c>
      <c r="C71" s="83">
        <f t="array" ref="C71">I71</f>
        <v/>
      </c>
      <c r="D71" s="82" t="n"/>
      <c r="E71" s="82" t="n"/>
      <c r="F71" s="145" t="n">
        <v>3832</v>
      </c>
      <c r="G71" s="145" t="n">
        <v>3211</v>
      </c>
      <c r="H71" s="82" t="n"/>
      <c r="I71" s="83">
        <f t="array" ref="I71">G71+F71</f>
        <v/>
      </c>
      <c r="J71" s="57" t="n"/>
      <c r="K71" s="57" t="n"/>
      <c r="L71" s="57" t="n"/>
    </row>
    <row r="72" ht="20.45" customHeight="1" s="206">
      <c r="A72" s="10" t="n"/>
      <c r="B72" s="127">
        <f t="array" ref="B72">$B73-1</f>
        <v/>
      </c>
      <c r="C72" s="83">
        <f t="array" ref="C72">I72</f>
        <v/>
      </c>
      <c r="D72" s="146" t="n"/>
      <c r="E72" s="146" t="n"/>
      <c r="F72" s="145" t="n">
        <v>3927</v>
      </c>
      <c r="G72" s="145" t="n">
        <v>3427</v>
      </c>
      <c r="H72" s="82" t="n"/>
      <c r="I72" s="83">
        <f t="array" ref="I72">G72+F72</f>
        <v/>
      </c>
      <c r="J72" s="108" t="n"/>
      <c r="K72" s="108" t="n"/>
      <c r="L72" s="57" t="n"/>
    </row>
    <row r="73" ht="20.65" customHeight="1" s="206">
      <c r="A73" s="10" t="n"/>
      <c r="B73" s="127">
        <f t="array" ref="B73">$B74-1</f>
        <v/>
      </c>
      <c r="C73" s="83">
        <f t="array" ref="C73">I73</f>
        <v/>
      </c>
      <c r="D73" s="147" t="n"/>
      <c r="E73" s="148" t="n"/>
      <c r="F73" s="149" t="n">
        <v>4073</v>
      </c>
      <c r="G73" s="145" t="n">
        <v>3497</v>
      </c>
      <c r="H73" s="82" t="n"/>
      <c r="I73" s="83">
        <f t="array" ref="I73">G73+F73</f>
        <v/>
      </c>
      <c r="J73" s="147" t="n"/>
      <c r="K73" s="148" t="n"/>
      <c r="L73" s="131" t="n"/>
    </row>
    <row r="74" ht="20.65" customHeight="1" s="206">
      <c r="A74" s="10" t="n"/>
      <c r="B74" s="127">
        <f t="array" ref="B74">$B75-1</f>
        <v/>
      </c>
      <c r="C74" s="83">
        <f t="array" ref="C74">I74</f>
        <v/>
      </c>
      <c r="D74" s="147" t="n"/>
      <c r="E74" s="148" t="n"/>
      <c r="F74" s="149" t="n">
        <v>4432</v>
      </c>
      <c r="G74" s="145" t="n">
        <v>3712</v>
      </c>
      <c r="H74" s="82" t="n"/>
      <c r="I74" s="83">
        <f t="array" ref="I74">G74+F74</f>
        <v/>
      </c>
      <c r="J74" s="147" t="n"/>
      <c r="K74" s="148" t="n"/>
      <c r="L74" s="131" t="n"/>
    </row>
    <row r="75" ht="20.65" customHeight="1" s="206">
      <c r="A75" s="10" t="n"/>
      <c r="B75" s="127">
        <f t="array" ref="B75">$B76-1</f>
        <v/>
      </c>
      <c r="C75" s="83">
        <f t="array" ref="C75">I75</f>
        <v/>
      </c>
      <c r="D75" s="147" t="n"/>
      <c r="E75" s="148" t="n"/>
      <c r="F75" s="149" t="n">
        <v>4623</v>
      </c>
      <c r="G75" s="145" t="n">
        <v>3907</v>
      </c>
      <c r="H75" s="82" t="n"/>
      <c r="I75" s="83">
        <f t="array" ref="I75">G75+F75</f>
        <v/>
      </c>
      <c r="J75" s="147" t="n"/>
      <c r="K75" s="148" t="n"/>
      <c r="L75" s="131" t="n"/>
    </row>
    <row r="76" ht="20.65" customHeight="1" s="206">
      <c r="A76" s="10" t="n"/>
      <c r="B76" s="127">
        <f t="array" ref="B76">$B77-1</f>
        <v/>
      </c>
      <c r="C76" s="83">
        <f t="array" ref="C76">I76</f>
        <v/>
      </c>
      <c r="D76" s="147" t="n"/>
      <c r="E76" s="148" t="n"/>
      <c r="F76" s="149" t="n">
        <v>4835</v>
      </c>
      <c r="G76" s="145" t="n">
        <v>4290</v>
      </c>
      <c r="H76" s="82" t="n"/>
      <c r="I76" s="83">
        <f t="array" ref="I76">G76+F76</f>
        <v/>
      </c>
      <c r="J76" s="147" t="n"/>
      <c r="K76" s="148" t="n"/>
      <c r="L76" s="131" t="n"/>
    </row>
    <row r="77" ht="20.65" customHeight="1" s="206">
      <c r="A77" s="10" t="n"/>
      <c r="B77" s="127">
        <f t="array" ref="B77">$B78-1</f>
        <v/>
      </c>
      <c r="C77" s="83">
        <f t="array" ref="C77">I77</f>
        <v/>
      </c>
      <c r="D77" s="147" t="n"/>
      <c r="E77" s="148" t="n"/>
      <c r="F77" s="149" t="n">
        <v>5075</v>
      </c>
      <c r="G77" s="145" t="n">
        <v>4280</v>
      </c>
      <c r="H77" s="82" t="n"/>
      <c r="I77" s="83">
        <f t="array" ref="I77">G77+F77</f>
        <v/>
      </c>
      <c r="J77" s="147" t="n"/>
      <c r="K77" s="148" t="n"/>
      <c r="L77" s="131" t="n"/>
    </row>
    <row r="78" ht="20.65" customHeight="1" s="206">
      <c r="A78" s="10" t="n"/>
      <c r="B78" s="127">
        <f t="array" ref="B78">$B79-1</f>
        <v/>
      </c>
      <c r="C78" s="83">
        <f t="array" ref="C78">I78</f>
        <v/>
      </c>
      <c r="D78" s="147" t="n"/>
      <c r="E78" s="148" t="n"/>
      <c r="F78" s="149" t="n">
        <v>5721</v>
      </c>
      <c r="G78" s="145" t="n">
        <v>4779</v>
      </c>
      <c r="H78" s="82" t="n"/>
      <c r="I78" s="83">
        <f t="array" ref="I78">G78+F78</f>
        <v/>
      </c>
      <c r="J78" s="147" t="n"/>
      <c r="K78" s="148" t="n"/>
      <c r="L78" s="131" t="n"/>
    </row>
    <row r="79" ht="20.65" customHeight="1" s="206">
      <c r="A79" s="10" t="n"/>
      <c r="B79" s="127">
        <f t="array" ref="B79">$B80-1</f>
        <v/>
      </c>
      <c r="C79" s="83">
        <f t="array" ref="C79">I79</f>
        <v/>
      </c>
      <c r="D79" s="147" t="n"/>
      <c r="E79" s="148" t="n"/>
      <c r="F79" s="149" t="n">
        <v>4774</v>
      </c>
      <c r="G79" s="145" t="n">
        <v>4022</v>
      </c>
      <c r="H79" s="82" t="n"/>
      <c r="I79" s="83">
        <f t="array" ref="I79">G79+F79</f>
        <v/>
      </c>
      <c r="J79" s="147" t="n"/>
      <c r="K79" s="148" t="n"/>
      <c r="L79" s="131" t="n"/>
    </row>
    <row r="80" ht="20.65" customHeight="1" s="206">
      <c r="A80" s="10" t="n"/>
      <c r="B80" s="127">
        <f t="array" ref="B80">$B81-1</f>
        <v/>
      </c>
      <c r="C80" s="83">
        <f t="array" ref="C80">I80</f>
        <v/>
      </c>
      <c r="D80" s="147" t="n"/>
      <c r="E80" s="148" t="n"/>
      <c r="F80" s="149" t="n">
        <v>5240</v>
      </c>
      <c r="G80" s="145" t="n">
        <v>4483</v>
      </c>
      <c r="H80" s="82" t="n"/>
      <c r="I80" s="83">
        <f t="array" ref="I80">G80+F80</f>
        <v/>
      </c>
      <c r="J80" s="147" t="n"/>
      <c r="K80" s="148" t="n"/>
      <c r="L80" s="131" t="n"/>
    </row>
    <row r="81" ht="20.65" customHeight="1" s="206">
      <c r="A81" s="10" t="n"/>
      <c r="B81" s="127">
        <f t="array" ref="B81">$B82-1</f>
        <v/>
      </c>
      <c r="C81" s="83">
        <f t="array" ref="C81">I81</f>
        <v/>
      </c>
      <c r="D81" s="147" t="n"/>
      <c r="E81" s="148" t="n"/>
      <c r="F81" s="149" t="n">
        <v>5578</v>
      </c>
      <c r="G81" s="145" t="n">
        <v>5321</v>
      </c>
      <c r="H81" s="82" t="n"/>
      <c r="I81" s="83">
        <f t="array" ref="I81">G81+F81</f>
        <v/>
      </c>
      <c r="J81" s="147" t="n"/>
      <c r="K81" s="148" t="n"/>
      <c r="L81" s="131" t="n"/>
    </row>
    <row r="82" ht="20.65" customHeight="1" s="206">
      <c r="A82" s="10" t="n"/>
      <c r="B82" s="127">
        <f t="array" ref="B82">$B83-1</f>
        <v/>
      </c>
      <c r="C82" s="83">
        <f t="array" ref="C82">I82</f>
        <v/>
      </c>
      <c r="D82" s="147" t="n"/>
      <c r="E82" s="148" t="n"/>
      <c r="F82" s="149" t="n">
        <v>6043</v>
      </c>
      <c r="G82" s="145" t="n">
        <v>5855</v>
      </c>
      <c r="H82" s="82" t="n"/>
      <c r="I82" s="83">
        <f t="array" ref="I82">G82+F82</f>
        <v/>
      </c>
      <c r="J82" s="147" t="n"/>
      <c r="K82" s="148" t="n"/>
      <c r="L82" s="131" t="n"/>
    </row>
    <row r="83" ht="20.65" customHeight="1" s="206">
      <c r="A83" s="10" t="n"/>
      <c r="B83" s="127">
        <f t="array" ref="B83">$B84-1</f>
        <v/>
      </c>
      <c r="C83" s="83">
        <f t="array" ref="C83">I83</f>
        <v/>
      </c>
      <c r="D83" s="147" t="n"/>
      <c r="E83" s="148" t="n"/>
      <c r="F83" s="149" t="n">
        <v>6479</v>
      </c>
      <c r="G83" s="145" t="n">
        <v>6557</v>
      </c>
      <c r="H83" s="82" t="n"/>
      <c r="I83" s="83">
        <f t="array" ref="I83">G83+F83</f>
        <v/>
      </c>
      <c r="J83" s="147" t="n"/>
      <c r="K83" s="148" t="n"/>
      <c r="L83" s="131" t="n"/>
    </row>
    <row r="84" ht="20.45" customHeight="1" s="206">
      <c r="A84" s="10" t="n"/>
      <c r="B84" s="127">
        <f t="array" ref="B84">$C$7</f>
        <v/>
      </c>
      <c r="C84" s="83">
        <f t="array" ref="C84">I84</f>
        <v/>
      </c>
      <c r="D84" s="150" t="n"/>
      <c r="E84" s="151" t="n"/>
      <c r="F84" s="145" t="n"/>
      <c r="G84" s="145" t="n"/>
      <c r="H84" s="82" t="n"/>
      <c r="I84" s="83">
        <f t="array" ref="I84">G84+F84</f>
        <v/>
      </c>
      <c r="J84" s="152" t="n"/>
      <c r="K84" s="153" t="n"/>
      <c r="L84" s="131" t="n"/>
    </row>
    <row r="85" ht="20.1" customHeight="1" s="206">
      <c r="A85" s="15" t="n"/>
      <c r="B85" s="16" t="n"/>
      <c r="C85" s="120">
        <f t="array" ref="C85">SUM(C9:C84)</f>
        <v/>
      </c>
      <c r="D85" s="17" t="n"/>
      <c r="E85" s="17" t="n"/>
      <c r="F85" s="120">
        <f t="array" ref="F85">SUM(F9:F84)</f>
        <v/>
      </c>
      <c r="G85" s="120">
        <f t="array" ref="G85">SUM(G9:G84)</f>
        <v/>
      </c>
      <c r="H85" s="17" t="n"/>
      <c r="I85" s="120">
        <f t="array" ref="I85">SUM(I9:I84)</f>
        <v/>
      </c>
      <c r="J85" s="13" t="n"/>
      <c r="K85" s="13" t="n"/>
      <c r="L85" s="13" t="n"/>
    </row>
    <row r="86" ht="20.1" customHeight="1" s="206">
      <c r="A86" s="1" t="n"/>
      <c r="B86" s="18" t="n"/>
      <c r="C86" s="13" t="n"/>
      <c r="D86" s="13" t="n"/>
      <c r="E86" s="13" t="n"/>
      <c r="F86" s="13" t="n"/>
      <c r="G86" s="13" t="n"/>
      <c r="H86" s="13" t="n"/>
      <c r="I86" s="13" t="n"/>
      <c r="J86" s="13" t="n"/>
      <c r="K86" s="13" t="n"/>
      <c r="L86" s="13" t="n"/>
    </row>
    <row r="87" ht="20.1" customHeight="1" s="206">
      <c r="A87" s="24" t="n"/>
      <c r="B87" s="23" t="inlineStr">
        <is>
          <t>Source of the data (verbal)</t>
        </is>
      </c>
      <c r="C87" s="184">
        <f t="array" ref="C87">IF(C88="","?",C88)&amp;IF(C89="","","; downloaded "&amp;C89)&amp;IF(C90="","","; "&amp;C90)</f>
        <v/>
      </c>
      <c r="D87" s="177" t="n"/>
      <c r="E87" s="177" t="n"/>
      <c r="F87" s="177" t="n"/>
      <c r="G87" s="177" t="n"/>
      <c r="H87" s="177" t="n"/>
      <c r="I87" s="177" t="n"/>
      <c r="J87" s="177" t="n"/>
      <c r="K87" s="177" t="n"/>
      <c r="L87" s="13" t="n"/>
    </row>
    <row r="88" ht="20.1" customHeight="1" s="206">
      <c r="A88" s="15" t="n"/>
      <c r="B88" s="23" t="inlineStr">
        <is>
          <t>URLs, where the data was found</t>
        </is>
      </c>
      <c r="C88" s="185" t="inlineStr">
        <is>
          <t>https://ec.europa.eu/eurostat/databrowser/view/migr_acq, https://data.statistik.gv.at/data/OGD_einbuergerungen_EINBJ_1.csv, https://www.statistik.at/fileadmin/pages/436/neu_Einbuergerungen.ods</t>
        </is>
      </c>
      <c r="D88" s="177" t="n"/>
      <c r="E88" s="177" t="n"/>
      <c r="F88" s="177" t="n"/>
      <c r="G88" s="177" t="n"/>
      <c r="H88" s="177" t="n"/>
      <c r="I88" s="177" t="n"/>
      <c r="J88" s="177" t="n"/>
      <c r="K88" s="177" t="n"/>
      <c r="L88" s="13" t="n"/>
    </row>
    <row r="89" ht="20.1" customHeight="1" s="206">
      <c r="A89" s="24" t="n"/>
      <c r="B89" s="33" t="inlineStr">
        <is>
          <t>Date, when the data was downloaded</t>
        </is>
      </c>
      <c r="C89" s="185" t="inlineStr">
        <is>
          <t>2026-05-20</t>
        </is>
      </c>
      <c r="D89" s="177" t="n"/>
      <c r="E89" s="177" t="n"/>
      <c r="F89" s="177" t="n"/>
      <c r="G89" s="177" t="n"/>
      <c r="H89" s="177" t="n"/>
      <c r="I89" s="177" t="n"/>
      <c r="J89" s="177" t="n"/>
      <c r="K89" s="177" t="n"/>
      <c r="L89" s="13" t="n"/>
    </row>
    <row r="90" ht="20.1" customHeight="1" s="206">
      <c r="A90" s="10" t="n"/>
      <c r="B90" s="11" t="inlineStr">
        <is>
          <t>Manual remarks (not for AI!)</t>
        </is>
      </c>
      <c r="C90" s="201" t="n"/>
      <c r="D90" s="182" t="n"/>
      <c r="E90" s="182" t="n"/>
      <c r="F90" s="182" t="n"/>
      <c r="G90" s="182" t="n"/>
      <c r="H90" s="182" t="n"/>
      <c r="I90" s="182" t="n"/>
      <c r="J90" s="182" t="n"/>
      <c r="K90" s="182" t="n"/>
      <c r="L90" s="13" t="n"/>
    </row>
    <row r="91" ht="20.1" customHeight="1" s="206">
      <c r="A91" s="10" t="n"/>
      <c r="B91" s="11" t="inlineStr">
        <is>
          <t>Remarks of the AI (e.g. calculation)</t>
        </is>
      </c>
      <c r="C91" s="203" t="inlineStr">
        <is>
          <t>Naturalisationen 2008-2024 aus EUROSTAT migr_acq (Acquisition of citizenship by sex, age, former citizenship), geo=AT, citizen=TOTAL, age=TOTAL — zählt nur in Österreich resident Eingebürgerte. Jahre 1981-2007 aus STAT OGD-Würfel OGD_einbuergerungen_EINBJ_1 (Berichtsjahr × Geburtsland × Altersgruppe × Geschlecht) — Total inkl. Auslandseinbürgerungen; Ausland-Anteil pre-2008 historisch &lt;10 % (vgl. STAT Tabelle 2 'Inland' vs 'Ausland'). Methodenbruch 2007/2008: ab 2008 nur AT-resident (Eurostat), davor inkl. Ausland (OGD). Effekt minimal pre-2014 (Diff &lt;1 % der Werte); 1985 Ausland-Anteil 13,9 %. Jahre 1946-1980 (35 Jahre): kein Sex-Split in STAT-Open-Data publiziert. STAT Tabelle 2 hat Totals ohne Geschlecht 1946-2024; OGD_einbuergerungen startet bei 1981. Bewusst leer (User-Vorgabe: keine 50/50-Approximation). Jahr 2025 leer. STAT 2025 enthält §58c-Auslands-Einbürgerungen (Nazi-Opfer-Nachfahren-Anzeige, ca. 40 % der 25.095 Gesamteinbürgerungen 2025 — nicht relevant für das AT-resident Modell). Eurostat 2025 noch nicht publiziert (Stand Mai 2026). Cross-Check 2024: Eurostat 13.036 (AT-resident), STAT/OGD 21.891 (Total inkl. 8.855 Ausland §58c). Methodisch (CLAUDE.md §Pass-Wechsel): Naturalisation nur Migrant F (col F) + Migrant M (col G); Native bleibt leer. V3-Ergänzung 2026-05-21: Naturalisation 1950-1980 (31 Jahre) nachgepflegt aus STAT Tabelle 2 'Eingebürgerte Personen seit 1946' (neu_Einbuergerungen.ods), Spalte 'Österreich(Inland)'. Total pro Jahr direkt in Spalte I (Utility Migrant M+F) wegen fehlendem Sex-Split in STAT-Open-Data vor 1981; F/G dieser Jahre leer. Originalformel I=G+F damit überschrieben (nur für 1950-1980; 1981+ behält Sex-Split-Konvention). §58c-äquivalente Auslandseinbürgerungen (Spalte 'Ausland' in T2, sporadisch ab 1966) bewusst exkludiert — resident-only-Logik konsistent mit V2-Wahl für 2008+ (Eurostat). Jahre 1946-1949 außerhalb Template-Range (B9..B84 = 1950..2025); nicht aggregiert. Summe 1950-1980 = 381.150.</t>
        </is>
      </c>
      <c r="D91" s="188" t="n"/>
      <c r="E91" s="188" t="n"/>
      <c r="F91" s="188" t="n"/>
      <c r="G91" s="188" t="n"/>
      <c r="H91" s="188" t="n"/>
      <c r="I91" s="188" t="n"/>
      <c r="J91" s="188" t="n"/>
      <c r="K91" s="188" t="n"/>
      <c r="L91" s="13" t="n"/>
    </row>
    <row r="92" ht="20.1" customHeight="1" s="206">
      <c r="A92" s="10" t="n"/>
      <c r="B92" s="11" t="inlineStr">
        <is>
          <t>Internal remarks</t>
        </is>
      </c>
      <c r="C92" s="186" t="n"/>
      <c r="D92" s="177" t="n"/>
      <c r="E92" s="177" t="n"/>
      <c r="F92" s="177" t="n"/>
      <c r="G92" s="177" t="n"/>
      <c r="H92" s="177" t="n"/>
      <c r="I92" s="177" t="n"/>
      <c r="J92" s="177" t="n"/>
      <c r="K92" s="177" t="n"/>
      <c r="L92" s="13" t="n"/>
    </row>
    <row r="93" ht="20.1" customHeight="1" s="206">
      <c r="A93" s="15" t="n"/>
      <c r="B93" s="16" t="n"/>
      <c r="C93" s="57" t="n"/>
      <c r="D93" s="57" t="n"/>
      <c r="E93" s="57" t="n"/>
      <c r="F93" s="57" t="n"/>
      <c r="G93" s="57" t="n"/>
      <c r="H93" s="57" t="n"/>
      <c r="I93" s="57" t="n"/>
      <c r="J93" s="57" t="n"/>
      <c r="K93" s="57" t="n"/>
      <c r="L93" s="57" t="n"/>
    </row>
    <row r="94" ht="26.85" customHeight="1" s="206">
      <c r="A94" s="121" t="n"/>
      <c r="B94" s="122" t="inlineStr">
        <is>
          <t>Expatriation</t>
        </is>
      </c>
      <c r="C94" s="205" t="inlineStr">
        <is>
          <t>Fill in the numbers of people being expatriated in the specified year. This is not relevant for the calculation of version 1 but it is important for future versions.</t>
        </is>
      </c>
      <c r="D94" s="182" t="n"/>
      <c r="E94" s="182" t="n"/>
      <c r="F94" s="182" t="n"/>
      <c r="G94" s="182" t="n"/>
      <c r="H94" s="182" t="n"/>
      <c r="I94" s="182" t="n"/>
      <c r="J94" s="182" t="n"/>
      <c r="K94" s="182" t="n"/>
      <c r="L94" s="22" t="n"/>
    </row>
    <row r="95" ht="20.1" customHeight="1" s="206">
      <c r="A95" s="10" t="n"/>
      <c r="B95" s="14" t="n"/>
      <c r="C95" s="82" t="n"/>
      <c r="D95" s="82" t="n"/>
      <c r="E95" s="82" t="n"/>
      <c r="F95" s="82" t="n"/>
      <c r="G95" s="82" t="n"/>
      <c r="H95" s="82" t="n"/>
      <c r="I95" s="86" t="n"/>
      <c r="J95" s="86" t="n"/>
      <c r="K95" s="86" t="n"/>
      <c r="L95" s="57" t="n"/>
    </row>
    <row r="96" ht="20.1" customHeight="1" s="206">
      <c r="A96" s="10" t="n"/>
      <c r="B96" s="127">
        <f t="array" ref="B96">$B97-1</f>
        <v/>
      </c>
      <c r="C96" s="83">
        <f t="array" ref="C96">H96</f>
        <v/>
      </c>
      <c r="D96" s="145" t="n"/>
      <c r="E96" s="145" t="n"/>
      <c r="F96" s="82" t="n"/>
      <c r="G96" s="82" t="n"/>
      <c r="H96" s="83">
        <f t="array" ref="H96">E96+D96</f>
        <v/>
      </c>
      <c r="I96" s="57" t="n"/>
      <c r="J96" s="57" t="n"/>
      <c r="K96" s="57" t="n"/>
      <c r="L96" s="57" t="n"/>
    </row>
    <row r="97" ht="20.1" customHeight="1" s="206">
      <c r="A97" s="10" t="n"/>
      <c r="B97" s="127">
        <f t="array" ref="B97">$B98-1</f>
        <v/>
      </c>
      <c r="C97" s="83">
        <f t="array" ref="C97">H97</f>
        <v/>
      </c>
      <c r="D97" s="145" t="n"/>
      <c r="E97" s="145" t="n"/>
      <c r="F97" s="82" t="n"/>
      <c r="G97" s="82" t="n"/>
      <c r="H97" s="120">
        <f t="array" ref="H97">E97+D97</f>
        <v/>
      </c>
      <c r="I97" s="57" t="n"/>
      <c r="J97" s="57" t="n"/>
      <c r="K97" s="57" t="n"/>
      <c r="L97" s="57" t="n"/>
    </row>
    <row r="98" ht="20.1" customHeight="1" s="206">
      <c r="A98" s="10" t="n"/>
      <c r="B98" s="127">
        <f t="array" ref="B98">$B99-1</f>
        <v/>
      </c>
      <c r="C98" s="83">
        <f t="array" ref="C98">H98</f>
        <v/>
      </c>
      <c r="D98" s="145" t="n"/>
      <c r="E98" s="145" t="n"/>
      <c r="F98" s="82" t="n"/>
      <c r="G98" s="82" t="n"/>
      <c r="H98" s="55">
        <f t="array" ref="H98">E98+D98</f>
        <v/>
      </c>
      <c r="I98" s="57" t="n"/>
      <c r="J98" s="57" t="n"/>
      <c r="K98" s="57" t="n"/>
      <c r="L98" s="57" t="n"/>
    </row>
    <row r="99" ht="20.1" customHeight="1" s="206">
      <c r="A99" s="10" t="n"/>
      <c r="B99" s="127">
        <f t="array" ref="B99">$B100-1</f>
        <v/>
      </c>
      <c r="C99" s="83">
        <f t="array" ref="C99">H99</f>
        <v/>
      </c>
      <c r="D99" s="145" t="n"/>
      <c r="E99" s="145" t="n"/>
      <c r="F99" s="82" t="n"/>
      <c r="G99" s="82" t="n"/>
      <c r="H99" s="55">
        <f t="array" ref="H99">E99+D99</f>
        <v/>
      </c>
      <c r="I99" s="57" t="n"/>
      <c r="J99" s="57" t="n"/>
      <c r="K99" s="57" t="n"/>
      <c r="L99" s="57" t="n"/>
    </row>
    <row r="100" ht="20.1" customHeight="1" s="206">
      <c r="A100" s="10" t="n"/>
      <c r="B100" s="127">
        <f t="array" ref="B100">$B101-1</f>
        <v/>
      </c>
      <c r="C100" s="83">
        <f t="array" ref="C100">H100</f>
        <v/>
      </c>
      <c r="D100" s="145" t="n"/>
      <c r="E100" s="145" t="n"/>
      <c r="F100" s="82" t="n"/>
      <c r="G100" s="82" t="n"/>
      <c r="H100" s="55">
        <f t="array" ref="H100">E100+D100</f>
        <v/>
      </c>
      <c r="I100" s="57" t="n"/>
      <c r="J100" s="57" t="n"/>
      <c r="K100" s="57" t="n"/>
      <c r="L100" s="57" t="n"/>
    </row>
    <row r="101" ht="20.1" customHeight="1" s="206">
      <c r="A101" s="10" t="n"/>
      <c r="B101" s="127">
        <f t="array" ref="B101">$B102-1</f>
        <v/>
      </c>
      <c r="C101" s="83">
        <f t="array" ref="C101">H101</f>
        <v/>
      </c>
      <c r="D101" s="145" t="n"/>
      <c r="E101" s="145" t="n"/>
      <c r="F101" s="82" t="n"/>
      <c r="G101" s="82" t="n"/>
      <c r="H101" s="55">
        <f t="array" ref="H101">E101+D101</f>
        <v/>
      </c>
      <c r="I101" s="57" t="n"/>
      <c r="J101" s="57" t="n"/>
      <c r="K101" s="57" t="n"/>
      <c r="L101" s="57" t="n"/>
    </row>
    <row r="102" ht="20.1" customHeight="1" s="206">
      <c r="A102" s="10" t="n"/>
      <c r="B102" s="127">
        <f t="array" ref="B102">$B103-1</f>
        <v/>
      </c>
      <c r="C102" s="83">
        <f t="array" ref="C102">H102</f>
        <v/>
      </c>
      <c r="D102" s="145" t="n"/>
      <c r="E102" s="145" t="n"/>
      <c r="F102" s="82" t="n"/>
      <c r="G102" s="82" t="n"/>
      <c r="H102" s="55">
        <f t="array" ref="H102">E102+D102</f>
        <v/>
      </c>
      <c r="I102" s="57" t="n"/>
      <c r="J102" s="57" t="n"/>
      <c r="K102" s="57" t="n"/>
      <c r="L102" s="57" t="n"/>
    </row>
    <row r="103" ht="20.1" customHeight="1" s="206">
      <c r="A103" s="10" t="n"/>
      <c r="B103" s="127">
        <f t="array" ref="B103">$B104-1</f>
        <v/>
      </c>
      <c r="C103" s="83">
        <f t="array" ref="C103">H103</f>
        <v/>
      </c>
      <c r="D103" s="145" t="n"/>
      <c r="E103" s="145" t="n"/>
      <c r="F103" s="82" t="n"/>
      <c r="G103" s="82" t="n"/>
      <c r="H103" s="55">
        <f t="array" ref="H103">E103+D103</f>
        <v/>
      </c>
      <c r="I103" s="57" t="n"/>
      <c r="J103" s="57" t="n"/>
      <c r="K103" s="57" t="n"/>
      <c r="L103" s="57" t="n"/>
    </row>
    <row r="104" ht="20.1" customHeight="1" s="206">
      <c r="A104" s="10" t="n"/>
      <c r="B104" s="127">
        <f t="array" ref="B104">$B105-1</f>
        <v/>
      </c>
      <c r="C104" s="83">
        <f t="array" ref="C104">H104</f>
        <v/>
      </c>
      <c r="D104" s="145" t="n"/>
      <c r="E104" s="145" t="n"/>
      <c r="F104" s="82" t="n"/>
      <c r="G104" s="82" t="n"/>
      <c r="H104" s="55">
        <f t="array" ref="H104">E104+D104</f>
        <v/>
      </c>
      <c r="I104" s="57" t="n"/>
      <c r="J104" s="57" t="n"/>
      <c r="K104" s="57" t="n"/>
      <c r="L104" s="57" t="n"/>
    </row>
    <row r="105" ht="20.1" customHeight="1" s="206">
      <c r="A105" s="10" t="n"/>
      <c r="B105" s="127">
        <f t="array" ref="B105">$B106-1</f>
        <v/>
      </c>
      <c r="C105" s="83">
        <f t="array" ref="C105">H105</f>
        <v/>
      </c>
      <c r="D105" s="145" t="n"/>
      <c r="E105" s="145" t="n"/>
      <c r="F105" s="82" t="n"/>
      <c r="G105" s="82" t="n"/>
      <c r="H105" s="55">
        <f t="array" ref="H105">E105+D105</f>
        <v/>
      </c>
      <c r="I105" s="57" t="n"/>
      <c r="J105" s="57" t="n"/>
      <c r="K105" s="57" t="n"/>
      <c r="L105" s="57" t="n"/>
    </row>
    <row r="106" ht="20.1" customHeight="1" s="206">
      <c r="A106" s="10" t="n"/>
      <c r="B106" s="127">
        <f t="array" ref="B106">$B107-1</f>
        <v/>
      </c>
      <c r="C106" s="83">
        <f t="array" ref="C106">H106</f>
        <v/>
      </c>
      <c r="D106" s="145" t="n"/>
      <c r="E106" s="145" t="n"/>
      <c r="F106" s="82" t="n"/>
      <c r="G106" s="82" t="n"/>
      <c r="H106" s="55">
        <f t="array" ref="H106">E106+D106</f>
        <v/>
      </c>
      <c r="I106" s="57" t="n"/>
      <c r="J106" s="57" t="n"/>
      <c r="K106" s="57" t="n"/>
      <c r="L106" s="57" t="n"/>
    </row>
    <row r="107" ht="20.1" customHeight="1" s="206">
      <c r="A107" s="10" t="n"/>
      <c r="B107" s="127">
        <f t="array" ref="B107">$B108-1</f>
        <v/>
      </c>
      <c r="C107" s="83">
        <f t="array" ref="C107">H107</f>
        <v/>
      </c>
      <c r="D107" s="145" t="n"/>
      <c r="E107" s="145" t="n"/>
      <c r="F107" s="82" t="n"/>
      <c r="G107" s="82" t="n"/>
      <c r="H107" s="55">
        <f t="array" ref="H107">E107+D107</f>
        <v/>
      </c>
      <c r="I107" s="57" t="n"/>
      <c r="J107" s="57" t="n"/>
      <c r="K107" s="57" t="n"/>
      <c r="L107" s="57" t="n"/>
    </row>
    <row r="108" ht="20.1" customHeight="1" s="206">
      <c r="A108" s="10" t="n"/>
      <c r="B108" s="127">
        <f t="array" ref="B108">$B109-1</f>
        <v/>
      </c>
      <c r="C108" s="83">
        <f t="array" ref="C108">H108</f>
        <v/>
      </c>
      <c r="D108" s="145" t="n"/>
      <c r="E108" s="145" t="n"/>
      <c r="F108" s="82" t="n"/>
      <c r="G108" s="82" t="n"/>
      <c r="H108" s="55">
        <f t="array" ref="H108">E108+D108</f>
        <v/>
      </c>
      <c r="I108" s="57" t="n"/>
      <c r="J108" s="57" t="n"/>
      <c r="K108" s="57" t="n"/>
      <c r="L108" s="57" t="n"/>
    </row>
    <row r="109" ht="20.1" customHeight="1" s="206">
      <c r="A109" s="10" t="n"/>
      <c r="B109" s="127">
        <f t="array" ref="B109">$B110-1</f>
        <v/>
      </c>
      <c r="C109" s="83">
        <f t="array" ref="C109">H109</f>
        <v/>
      </c>
      <c r="D109" s="145" t="n"/>
      <c r="E109" s="145" t="n"/>
      <c r="F109" s="82" t="n"/>
      <c r="G109" s="82" t="n"/>
      <c r="H109" s="55">
        <f t="array" ref="H109">E109+D109</f>
        <v/>
      </c>
      <c r="I109" s="57" t="n"/>
      <c r="J109" s="57" t="n"/>
      <c r="K109" s="57" t="n"/>
      <c r="L109" s="57" t="n"/>
    </row>
    <row r="110" ht="20.1" customHeight="1" s="206">
      <c r="A110" s="10" t="n"/>
      <c r="B110" s="127">
        <f t="array" ref="B110">$B111-1</f>
        <v/>
      </c>
      <c r="C110" s="83">
        <f t="array" ref="C110">H110</f>
        <v/>
      </c>
      <c r="D110" s="145" t="n"/>
      <c r="E110" s="145" t="n"/>
      <c r="F110" s="82" t="n"/>
      <c r="G110" s="82" t="n"/>
      <c r="H110" s="55">
        <f t="array" ref="H110">E110+D110</f>
        <v/>
      </c>
      <c r="I110" s="57" t="n"/>
      <c r="J110" s="57" t="n"/>
      <c r="K110" s="57" t="n"/>
      <c r="L110" s="57" t="n"/>
    </row>
    <row r="111" ht="20.1" customHeight="1" s="206">
      <c r="A111" s="10" t="n"/>
      <c r="B111" s="127">
        <f t="array" ref="B111">$B112-1</f>
        <v/>
      </c>
      <c r="C111" s="83">
        <f t="array" ref="C111">H111</f>
        <v/>
      </c>
      <c r="D111" s="145" t="n"/>
      <c r="E111" s="145" t="n"/>
      <c r="F111" s="82" t="n"/>
      <c r="G111" s="82" t="n"/>
      <c r="H111" s="55">
        <f t="array" ref="H111">E111+D111</f>
        <v/>
      </c>
      <c r="I111" s="57" t="n"/>
      <c r="J111" s="57" t="n"/>
      <c r="K111" s="57" t="n"/>
      <c r="L111" s="57" t="n"/>
    </row>
    <row r="112" ht="20.1" customHeight="1" s="206">
      <c r="A112" s="10" t="n"/>
      <c r="B112" s="127">
        <f t="array" ref="B112">$B113-1</f>
        <v/>
      </c>
      <c r="C112" s="83">
        <f t="array" ref="C112">H112</f>
        <v/>
      </c>
      <c r="D112" s="145" t="n"/>
      <c r="E112" s="145" t="n"/>
      <c r="F112" s="82" t="n"/>
      <c r="G112" s="82" t="n"/>
      <c r="H112" s="55">
        <f t="array" ref="H112">E112+D112</f>
        <v/>
      </c>
      <c r="I112" s="57" t="n"/>
      <c r="J112" s="57" t="n"/>
      <c r="K112" s="57" t="n"/>
      <c r="L112" s="57" t="n"/>
    </row>
    <row r="113" ht="20.1" customHeight="1" s="206">
      <c r="A113" s="10" t="n"/>
      <c r="B113" s="127">
        <f t="array" ref="B113">$B114-1</f>
        <v/>
      </c>
      <c r="C113" s="83">
        <f t="array" ref="C113">H113</f>
        <v/>
      </c>
      <c r="D113" s="145" t="n"/>
      <c r="E113" s="145" t="n"/>
      <c r="F113" s="82" t="n"/>
      <c r="G113" s="82" t="n"/>
      <c r="H113" s="55">
        <f t="array" ref="H113">E113+D113</f>
        <v/>
      </c>
      <c r="I113" s="57" t="n"/>
      <c r="J113" s="57" t="n"/>
      <c r="K113" s="57" t="n"/>
      <c r="L113" s="57" t="n"/>
    </row>
    <row r="114" ht="20.1" customHeight="1" s="206">
      <c r="A114" s="10" t="n"/>
      <c r="B114" s="127">
        <f t="array" ref="B114">$B115-1</f>
        <v/>
      </c>
      <c r="C114" s="83">
        <f t="array" ref="C114">H114</f>
        <v/>
      </c>
      <c r="D114" s="145" t="n"/>
      <c r="E114" s="145" t="n"/>
      <c r="F114" s="82" t="n"/>
      <c r="G114" s="82" t="n"/>
      <c r="H114" s="55">
        <f t="array" ref="H114">E114+D114</f>
        <v/>
      </c>
      <c r="I114" s="57" t="n"/>
      <c r="J114" s="57" t="n"/>
      <c r="K114" s="57" t="n"/>
      <c r="L114" s="57" t="n"/>
    </row>
    <row r="115" ht="20.1" customHeight="1" s="206">
      <c r="A115" s="10" t="n"/>
      <c r="B115" s="127">
        <f t="array" ref="B115">$B116-1</f>
        <v/>
      </c>
      <c r="C115" s="83">
        <f t="array" ref="C115">H115</f>
        <v/>
      </c>
      <c r="D115" s="145" t="n"/>
      <c r="E115" s="145" t="n"/>
      <c r="F115" s="82" t="n"/>
      <c r="G115" s="82" t="n"/>
      <c r="H115" s="55">
        <f t="array" ref="H115">E115+D115</f>
        <v/>
      </c>
      <c r="I115" s="57" t="n"/>
      <c r="J115" s="57" t="n"/>
      <c r="K115" s="57" t="n"/>
      <c r="L115" s="57" t="n"/>
    </row>
    <row r="116" ht="20.1" customHeight="1" s="206">
      <c r="A116" s="10" t="n"/>
      <c r="B116" s="127">
        <f t="array" ref="B116">$B117-1</f>
        <v/>
      </c>
      <c r="C116" s="83">
        <f t="array" ref="C116">H116</f>
        <v/>
      </c>
      <c r="D116" s="145" t="n"/>
      <c r="E116" s="145" t="n"/>
      <c r="F116" s="82" t="n"/>
      <c r="G116" s="82" t="n"/>
      <c r="H116" s="55">
        <f t="array" ref="H116">E116+D116</f>
        <v/>
      </c>
      <c r="I116" s="57" t="n"/>
      <c r="J116" s="57" t="n"/>
      <c r="K116" s="57" t="n"/>
      <c r="L116" s="57" t="n"/>
    </row>
    <row r="117" ht="20.1" customHeight="1" s="206">
      <c r="A117" s="10" t="n"/>
      <c r="B117" s="127">
        <f t="array" ref="B117">$B118-1</f>
        <v/>
      </c>
      <c r="C117" s="83">
        <f t="array" ref="C117">H117</f>
        <v/>
      </c>
      <c r="D117" s="145" t="n"/>
      <c r="E117" s="145" t="n"/>
      <c r="F117" s="82" t="n"/>
      <c r="G117" s="82" t="n"/>
      <c r="H117" s="55">
        <f t="array" ref="H117">E117+D117</f>
        <v/>
      </c>
      <c r="I117" s="57" t="n"/>
      <c r="J117" s="57" t="n"/>
      <c r="K117" s="57" t="n"/>
      <c r="L117" s="57" t="n"/>
    </row>
    <row r="118" ht="20.1" customHeight="1" s="206">
      <c r="A118" s="10" t="n"/>
      <c r="B118" s="127">
        <f t="array" ref="B118">$B119-1</f>
        <v/>
      </c>
      <c r="C118" s="83">
        <f t="array" ref="C118">H118</f>
        <v/>
      </c>
      <c r="D118" s="145" t="n"/>
      <c r="E118" s="145" t="n"/>
      <c r="F118" s="82" t="n"/>
      <c r="G118" s="82" t="n"/>
      <c r="H118" s="55">
        <f t="array" ref="H118">E118+D118</f>
        <v/>
      </c>
      <c r="I118" s="57" t="n"/>
      <c r="J118" s="57" t="n"/>
      <c r="K118" s="57" t="n"/>
      <c r="L118" s="57" t="n"/>
    </row>
    <row r="119" ht="20.1" customHeight="1" s="206">
      <c r="A119" s="10" t="n"/>
      <c r="B119" s="127">
        <f t="array" ref="B119">$B120-1</f>
        <v/>
      </c>
      <c r="C119" s="83">
        <f t="array" ref="C119">H119</f>
        <v/>
      </c>
      <c r="D119" s="145" t="n"/>
      <c r="E119" s="145" t="n"/>
      <c r="F119" s="82" t="n"/>
      <c r="G119" s="82" t="n"/>
      <c r="H119" s="55">
        <f t="array" ref="H119">E119+D119</f>
        <v/>
      </c>
      <c r="I119" s="57" t="n"/>
      <c r="J119" s="57" t="n"/>
      <c r="K119" s="57" t="n"/>
      <c r="L119" s="57" t="n"/>
    </row>
    <row r="120" ht="20.1" customHeight="1" s="206">
      <c r="A120" s="10" t="n"/>
      <c r="B120" s="127">
        <f t="array" ref="B120">$B121-1</f>
        <v/>
      </c>
      <c r="C120" s="83">
        <f t="array" ref="C120">H120</f>
        <v/>
      </c>
      <c r="D120" s="145" t="n"/>
      <c r="E120" s="145" t="n"/>
      <c r="F120" s="82" t="n"/>
      <c r="G120" s="82" t="n"/>
      <c r="H120" s="55">
        <f t="array" ref="H120">E120+D120</f>
        <v/>
      </c>
      <c r="I120" s="57" t="n"/>
      <c r="J120" s="57" t="n"/>
      <c r="K120" s="57" t="n"/>
      <c r="L120" s="57" t="n"/>
    </row>
    <row r="121" ht="20.1" customHeight="1" s="206">
      <c r="A121" s="10" t="n"/>
      <c r="B121" s="127">
        <f t="array" ref="B121">$B122-1</f>
        <v/>
      </c>
      <c r="C121" s="83">
        <f t="array" ref="C121">H121</f>
        <v/>
      </c>
      <c r="D121" s="145" t="n"/>
      <c r="E121" s="145" t="n"/>
      <c r="F121" s="82" t="n"/>
      <c r="G121" s="82" t="n"/>
      <c r="H121" s="55">
        <f t="array" ref="H121">E121+D121</f>
        <v/>
      </c>
      <c r="I121" s="57" t="n"/>
      <c r="J121" s="57" t="n"/>
      <c r="K121" s="57" t="n"/>
      <c r="L121" s="57" t="n"/>
    </row>
    <row r="122" ht="20.1" customHeight="1" s="206">
      <c r="A122" s="10" t="n"/>
      <c r="B122" s="127">
        <f t="array" ref="B122">$B123-1</f>
        <v/>
      </c>
      <c r="C122" s="83">
        <f t="array" ref="C122">H122</f>
        <v/>
      </c>
      <c r="D122" s="145" t="n"/>
      <c r="E122" s="145" t="n"/>
      <c r="F122" s="82" t="n"/>
      <c r="G122" s="82" t="n"/>
      <c r="H122" s="55">
        <f t="array" ref="H122">E122+D122</f>
        <v/>
      </c>
      <c r="I122" s="57" t="n"/>
      <c r="J122" s="57" t="n"/>
      <c r="K122" s="57" t="n"/>
      <c r="L122" s="57" t="n"/>
    </row>
    <row r="123" ht="20.1" customHeight="1" s="206">
      <c r="A123" s="10" t="n"/>
      <c r="B123" s="127">
        <f t="array" ref="B123">$B124-1</f>
        <v/>
      </c>
      <c r="C123" s="83">
        <f t="array" ref="C123">H123</f>
        <v/>
      </c>
      <c r="D123" s="145" t="n"/>
      <c r="E123" s="145" t="n"/>
      <c r="F123" s="82" t="n"/>
      <c r="G123" s="82" t="n"/>
      <c r="H123" s="55">
        <f t="array" ref="H123">E123+D123</f>
        <v/>
      </c>
      <c r="I123" s="57" t="n"/>
      <c r="J123" s="57" t="n"/>
      <c r="K123" s="57" t="n"/>
      <c r="L123" s="57" t="n"/>
    </row>
    <row r="124" ht="20.1" customHeight="1" s="206">
      <c r="A124" s="10" t="n"/>
      <c r="B124" s="127">
        <f t="array" ref="B124">$B125-1</f>
        <v/>
      </c>
      <c r="C124" s="83">
        <f t="array" ref="C124">H124</f>
        <v/>
      </c>
      <c r="D124" s="145" t="n"/>
      <c r="E124" s="145" t="n"/>
      <c r="F124" s="82" t="n"/>
      <c r="G124" s="82" t="n"/>
      <c r="H124" s="55">
        <f t="array" ref="H124">E124+D124</f>
        <v/>
      </c>
      <c r="I124" s="57" t="n"/>
      <c r="J124" s="57" t="n"/>
      <c r="K124" s="57" t="n"/>
      <c r="L124" s="57" t="n"/>
    </row>
    <row r="125" ht="20.1" customHeight="1" s="206">
      <c r="A125" s="10" t="n"/>
      <c r="B125" s="127">
        <f t="array" ref="B125">$B126-1</f>
        <v/>
      </c>
      <c r="C125" s="83">
        <f t="array" ref="C125">H125</f>
        <v/>
      </c>
      <c r="D125" s="145" t="n"/>
      <c r="E125" s="145" t="n"/>
      <c r="F125" s="82" t="n"/>
      <c r="G125" s="82" t="n"/>
      <c r="H125" s="55">
        <f t="array" ref="H125">E125+D125</f>
        <v/>
      </c>
      <c r="I125" s="57" t="n"/>
      <c r="J125" s="57" t="n"/>
      <c r="K125" s="57" t="n"/>
      <c r="L125" s="57" t="n"/>
    </row>
    <row r="126" ht="20.1" customHeight="1" s="206">
      <c r="A126" s="10" t="n"/>
      <c r="B126" s="127">
        <f t="array" ref="B126">$B127-1</f>
        <v/>
      </c>
      <c r="C126" s="83">
        <f t="array" ref="C126">H126</f>
        <v/>
      </c>
      <c r="D126" s="145" t="n"/>
      <c r="E126" s="145" t="n"/>
      <c r="F126" s="82" t="n"/>
      <c r="G126" s="82" t="n"/>
      <c r="H126" s="55">
        <f t="array" ref="H126">E126+D126</f>
        <v/>
      </c>
      <c r="I126" s="57" t="n"/>
      <c r="J126" s="57" t="n"/>
      <c r="K126" s="57" t="n"/>
      <c r="L126" s="57" t="n"/>
    </row>
    <row r="127" ht="20.1" customHeight="1" s="206">
      <c r="A127" s="10" t="n"/>
      <c r="B127" s="127">
        <f t="array" ref="B127">$B128-1</f>
        <v/>
      </c>
      <c r="C127" s="83">
        <f t="array" ref="C127">H127</f>
        <v/>
      </c>
      <c r="D127" s="145" t="n"/>
      <c r="E127" s="145" t="n"/>
      <c r="F127" s="82" t="n"/>
      <c r="G127" s="82" t="n"/>
      <c r="H127" s="55">
        <f t="array" ref="H127">E127+D127</f>
        <v/>
      </c>
      <c r="I127" s="57" t="n"/>
      <c r="J127" s="57" t="n"/>
      <c r="K127" s="57" t="n"/>
      <c r="L127" s="57" t="n"/>
    </row>
    <row r="128" ht="20.1" customHeight="1" s="206">
      <c r="A128" s="10" t="n"/>
      <c r="B128" s="127">
        <f t="array" ref="B128">$B129-1</f>
        <v/>
      </c>
      <c r="C128" s="83">
        <f t="array" ref="C128">H128</f>
        <v/>
      </c>
      <c r="D128" s="145" t="n"/>
      <c r="E128" s="145" t="n"/>
      <c r="F128" s="82" t="n"/>
      <c r="G128" s="82" t="n"/>
      <c r="H128" s="55">
        <f t="array" ref="H128">E128+D128</f>
        <v/>
      </c>
      <c r="I128" s="57" t="n"/>
      <c r="J128" s="57" t="n"/>
      <c r="K128" s="57" t="n"/>
      <c r="L128" s="57" t="n"/>
    </row>
    <row r="129" ht="20.1" customHeight="1" s="206">
      <c r="A129" s="10" t="n"/>
      <c r="B129" s="127">
        <f t="array" ref="B129">$B130-1</f>
        <v/>
      </c>
      <c r="C129" s="83">
        <f t="array" ref="C129">H129</f>
        <v/>
      </c>
      <c r="D129" s="145" t="n"/>
      <c r="E129" s="145" t="n"/>
      <c r="F129" s="82" t="n"/>
      <c r="G129" s="82" t="n"/>
      <c r="H129" s="55">
        <f t="array" ref="H129">E129+D129</f>
        <v/>
      </c>
      <c r="I129" s="57" t="n"/>
      <c r="J129" s="57" t="n"/>
      <c r="K129" s="57" t="n"/>
      <c r="L129" s="57" t="n"/>
    </row>
    <row r="130" ht="20.1" customHeight="1" s="206">
      <c r="A130" s="10" t="n"/>
      <c r="B130" s="127">
        <f t="array" ref="B130">$B131-1</f>
        <v/>
      </c>
      <c r="C130" s="83">
        <f t="array" ref="C130">H130</f>
        <v/>
      </c>
      <c r="D130" s="145" t="n"/>
      <c r="E130" s="145" t="n"/>
      <c r="F130" s="82" t="n"/>
      <c r="G130" s="82" t="n"/>
      <c r="H130" s="55">
        <f t="array" ref="H130">E130+D130</f>
        <v/>
      </c>
      <c r="I130" s="57" t="n"/>
      <c r="J130" s="57" t="n"/>
      <c r="K130" s="57" t="n"/>
      <c r="L130" s="57" t="n"/>
    </row>
    <row r="131" ht="20.1" customHeight="1" s="206">
      <c r="A131" s="10" t="n"/>
      <c r="B131" s="127">
        <f t="array" ref="B131">$B132-1</f>
        <v/>
      </c>
      <c r="C131" s="83">
        <f t="array" ref="C131">H131</f>
        <v/>
      </c>
      <c r="D131" s="145" t="n"/>
      <c r="E131" s="145" t="n"/>
      <c r="F131" s="82" t="n"/>
      <c r="G131" s="82" t="n"/>
      <c r="H131" s="55">
        <f t="array" ref="H131">E131+D131</f>
        <v/>
      </c>
      <c r="I131" s="57" t="n"/>
      <c r="J131" s="57" t="n"/>
      <c r="K131" s="57" t="n"/>
      <c r="L131" s="57" t="n"/>
    </row>
    <row r="132" ht="20.1" customHeight="1" s="206">
      <c r="A132" s="10" t="n"/>
      <c r="B132" s="127">
        <f t="array" ref="B132">$B133-1</f>
        <v/>
      </c>
      <c r="C132" s="83">
        <f t="array" ref="C132">H132</f>
        <v/>
      </c>
      <c r="D132" s="145" t="n"/>
      <c r="E132" s="145" t="n"/>
      <c r="F132" s="82" t="n"/>
      <c r="G132" s="82" t="n"/>
      <c r="H132" s="55">
        <f t="array" ref="H132">E132+D132</f>
        <v/>
      </c>
      <c r="I132" s="57" t="n"/>
      <c r="J132" s="57" t="n"/>
      <c r="K132" s="57" t="n"/>
      <c r="L132" s="57" t="n"/>
    </row>
    <row r="133" ht="20.1" customHeight="1" s="206">
      <c r="A133" s="10" t="n"/>
      <c r="B133" s="127">
        <f t="array" ref="B133">$B134-1</f>
        <v/>
      </c>
      <c r="C133" s="83">
        <f t="array" ref="C133">H133</f>
        <v/>
      </c>
      <c r="D133" s="145" t="n"/>
      <c r="E133" s="145" t="n"/>
      <c r="F133" s="82" t="n"/>
      <c r="G133" s="82" t="n"/>
      <c r="H133" s="55">
        <f t="array" ref="H133">E133+D133</f>
        <v/>
      </c>
      <c r="I133" s="57" t="n"/>
      <c r="J133" s="57" t="n"/>
      <c r="K133" s="57" t="n"/>
      <c r="L133" s="57" t="n"/>
    </row>
    <row r="134" ht="20.1" customHeight="1" s="206">
      <c r="A134" s="10" t="n"/>
      <c r="B134" s="127">
        <f t="array" ref="B134">$B135-1</f>
        <v/>
      </c>
      <c r="C134" s="83">
        <f t="array" ref="C134">H134</f>
        <v/>
      </c>
      <c r="D134" s="145" t="n"/>
      <c r="E134" s="145" t="n"/>
      <c r="F134" s="82" t="n"/>
      <c r="G134" s="82" t="n"/>
      <c r="H134" s="55">
        <f t="array" ref="H134">E134+D134</f>
        <v/>
      </c>
      <c r="I134" s="57" t="n"/>
      <c r="J134" s="57" t="n"/>
      <c r="K134" s="57" t="n"/>
      <c r="L134" s="57" t="n"/>
    </row>
    <row r="135" ht="20.1" customHeight="1" s="206">
      <c r="A135" s="10" t="n"/>
      <c r="B135" s="127">
        <f t="array" ref="B135">$B136-1</f>
        <v/>
      </c>
      <c r="C135" s="83">
        <f t="array" ref="C135">H135</f>
        <v/>
      </c>
      <c r="D135" s="145" t="n"/>
      <c r="E135" s="145" t="n"/>
      <c r="F135" s="82" t="n"/>
      <c r="G135" s="82" t="n"/>
      <c r="H135" s="55">
        <f t="array" ref="H135">E135+D135</f>
        <v/>
      </c>
      <c r="I135" s="57" t="n"/>
      <c r="J135" s="57" t="n"/>
      <c r="K135" s="57" t="n"/>
      <c r="L135" s="57" t="n"/>
    </row>
    <row r="136" ht="20.1" customHeight="1" s="206">
      <c r="A136" s="10" t="n"/>
      <c r="B136" s="127">
        <f t="array" ref="B136">$B137-1</f>
        <v/>
      </c>
      <c r="C136" s="83">
        <f t="array" ref="C136">H136</f>
        <v/>
      </c>
      <c r="D136" s="145" t="n"/>
      <c r="E136" s="145" t="n"/>
      <c r="F136" s="82" t="n"/>
      <c r="G136" s="82" t="n"/>
      <c r="H136" s="55">
        <f t="array" ref="H136">E136+D136</f>
        <v/>
      </c>
      <c r="I136" s="57" t="n"/>
      <c r="J136" s="57" t="n"/>
      <c r="K136" s="57" t="n"/>
      <c r="L136" s="57" t="n"/>
    </row>
    <row r="137" ht="20.1" customHeight="1" s="206">
      <c r="A137" s="10" t="n"/>
      <c r="B137" s="127">
        <f t="array" ref="B137">$B138-1</f>
        <v/>
      </c>
      <c r="C137" s="83">
        <f t="array" ref="C137">H137</f>
        <v/>
      </c>
      <c r="D137" s="145" t="n"/>
      <c r="E137" s="145" t="n"/>
      <c r="F137" s="82" t="n"/>
      <c r="G137" s="82" t="n"/>
      <c r="H137" s="55">
        <f t="array" ref="H137">E137+D137</f>
        <v/>
      </c>
      <c r="I137" s="57" t="n"/>
      <c r="J137" s="57" t="n"/>
      <c r="K137" s="57" t="n"/>
      <c r="L137" s="57" t="n"/>
    </row>
    <row r="138" ht="20.1" customHeight="1" s="206">
      <c r="A138" s="10" t="n"/>
      <c r="B138" s="127">
        <f t="array" ref="B138">$B139-1</f>
        <v/>
      </c>
      <c r="C138" s="83">
        <f t="array" ref="C138">H138</f>
        <v/>
      </c>
      <c r="D138" s="145" t="n"/>
      <c r="E138" s="145" t="n"/>
      <c r="F138" s="82" t="n"/>
      <c r="G138" s="82" t="n"/>
      <c r="H138" s="55">
        <f t="array" ref="H138">E138+D138</f>
        <v/>
      </c>
      <c r="I138" s="57" t="n"/>
      <c r="J138" s="57" t="n"/>
      <c r="K138" s="57" t="n"/>
      <c r="L138" s="57" t="n"/>
    </row>
    <row r="139" ht="20.1" customHeight="1" s="206">
      <c r="A139" s="10" t="n"/>
      <c r="B139" s="127">
        <f t="array" ref="B139">$B140-1</f>
        <v/>
      </c>
      <c r="C139" s="83">
        <f t="array" ref="C139">H139</f>
        <v/>
      </c>
      <c r="D139" s="145" t="n"/>
      <c r="E139" s="145" t="n"/>
      <c r="F139" s="82" t="n"/>
      <c r="G139" s="82" t="n"/>
      <c r="H139" s="55">
        <f t="array" ref="H139">E139+D139</f>
        <v/>
      </c>
      <c r="I139" s="57" t="n"/>
      <c r="J139" s="57" t="n"/>
      <c r="K139" s="57" t="n"/>
      <c r="L139" s="57" t="n"/>
    </row>
    <row r="140" ht="20.1" customHeight="1" s="206">
      <c r="A140" s="10" t="n"/>
      <c r="B140" s="127">
        <f t="array" ref="B140">$B141-1</f>
        <v/>
      </c>
      <c r="C140" s="83">
        <f t="array" ref="C140">H140</f>
        <v/>
      </c>
      <c r="D140" s="145" t="n"/>
      <c r="E140" s="145" t="n"/>
      <c r="F140" s="82" t="n"/>
      <c r="G140" s="82" t="n"/>
      <c r="H140" s="55">
        <f t="array" ref="H140">E140+D140</f>
        <v/>
      </c>
      <c r="I140" s="57" t="n"/>
      <c r="J140" s="57" t="n"/>
      <c r="K140" s="57" t="n"/>
      <c r="L140" s="57" t="n"/>
    </row>
    <row r="141" ht="20.1" customHeight="1" s="206">
      <c r="A141" s="10" t="n"/>
      <c r="B141" s="127">
        <f t="array" ref="B141">$B142-1</f>
        <v/>
      </c>
      <c r="C141" s="83">
        <f t="array" ref="C141">H141</f>
        <v/>
      </c>
      <c r="D141" s="145" t="n"/>
      <c r="E141" s="145" t="n"/>
      <c r="F141" s="82" t="n"/>
      <c r="G141" s="82" t="n"/>
      <c r="H141" s="55">
        <f t="array" ref="H141">E141+D141</f>
        <v/>
      </c>
      <c r="I141" s="57" t="n"/>
      <c r="J141" s="57" t="n"/>
      <c r="K141" s="57" t="n"/>
      <c r="L141" s="57" t="n"/>
    </row>
    <row r="142" ht="20.1" customHeight="1" s="206">
      <c r="A142" s="10" t="n"/>
      <c r="B142" s="127">
        <f t="array" ref="B142">$B143-1</f>
        <v/>
      </c>
      <c r="C142" s="83">
        <f t="array" ref="C142">H142</f>
        <v/>
      </c>
      <c r="D142" s="145" t="n"/>
      <c r="E142" s="145" t="n"/>
      <c r="F142" s="82" t="n"/>
      <c r="G142" s="82" t="n"/>
      <c r="H142" s="55">
        <f t="array" ref="H142">E142+D142</f>
        <v/>
      </c>
      <c r="I142" s="57" t="n"/>
      <c r="J142" s="57" t="n"/>
      <c r="K142" s="57" t="n"/>
      <c r="L142" s="57" t="n"/>
    </row>
    <row r="143" ht="20.1" customHeight="1" s="206">
      <c r="A143" s="10" t="n"/>
      <c r="B143" s="127">
        <f t="array" ref="B143">$B144-1</f>
        <v/>
      </c>
      <c r="C143" s="83">
        <f t="array" ref="C143">H143</f>
        <v/>
      </c>
      <c r="D143" s="145" t="n"/>
      <c r="E143" s="145" t="n"/>
      <c r="F143" s="82" t="n"/>
      <c r="G143" s="82" t="n"/>
      <c r="H143" s="55">
        <f t="array" ref="H143">E143+D143</f>
        <v/>
      </c>
      <c r="I143" s="57" t="n"/>
      <c r="J143" s="57" t="n"/>
      <c r="K143" s="57" t="n"/>
      <c r="L143" s="57" t="n"/>
    </row>
    <row r="144" ht="20.1" customHeight="1" s="206">
      <c r="A144" s="10" t="n"/>
      <c r="B144" s="127">
        <f t="array" ref="B144">$B145-1</f>
        <v/>
      </c>
      <c r="C144" s="83">
        <f t="array" ref="C144">H144</f>
        <v/>
      </c>
      <c r="D144" s="145" t="n"/>
      <c r="E144" s="145" t="n"/>
      <c r="F144" s="82" t="n"/>
      <c r="G144" s="82" t="n"/>
      <c r="H144" s="55">
        <f t="array" ref="H144">E144+D144</f>
        <v/>
      </c>
      <c r="I144" s="57" t="n"/>
      <c r="J144" s="57" t="n"/>
      <c r="K144" s="57" t="n"/>
      <c r="L144" s="57" t="n"/>
    </row>
    <row r="145" ht="20.1" customHeight="1" s="206">
      <c r="A145" s="10" t="n"/>
      <c r="B145" s="127">
        <f t="array" ref="B145">$B146-1</f>
        <v/>
      </c>
      <c r="C145" s="83">
        <f t="array" ref="C145">H145</f>
        <v/>
      </c>
      <c r="D145" s="145" t="n"/>
      <c r="E145" s="145" t="n"/>
      <c r="F145" s="82" t="n"/>
      <c r="G145" s="82" t="n"/>
      <c r="H145" s="55">
        <f t="array" ref="H145">E145+D145</f>
        <v/>
      </c>
      <c r="I145" s="57" t="n"/>
      <c r="J145" s="57" t="n"/>
      <c r="K145" s="57" t="n"/>
      <c r="L145" s="57" t="n"/>
    </row>
    <row r="146" ht="20.1" customHeight="1" s="206">
      <c r="A146" s="10" t="n"/>
      <c r="B146" s="127">
        <f t="array" ref="B146">$B147-1</f>
        <v/>
      </c>
      <c r="C146" s="83">
        <f t="array" ref="C146">H146</f>
        <v/>
      </c>
      <c r="D146" s="145" t="n"/>
      <c r="E146" s="145" t="n"/>
      <c r="F146" s="82" t="n"/>
      <c r="G146" s="82" t="n"/>
      <c r="H146" s="55">
        <f t="array" ref="H146">E146+D146</f>
        <v/>
      </c>
      <c r="I146" s="57" t="n"/>
      <c r="J146" s="57" t="n"/>
      <c r="K146" s="57" t="n"/>
      <c r="L146" s="57" t="n"/>
    </row>
    <row r="147" ht="20.1" customHeight="1" s="206">
      <c r="A147" s="10" t="n"/>
      <c r="B147" s="127">
        <f t="array" ref="B147">$B148-1</f>
        <v/>
      </c>
      <c r="C147" s="83">
        <f t="array" ref="C147">H147</f>
        <v/>
      </c>
      <c r="D147" s="145" t="n"/>
      <c r="E147" s="145" t="n"/>
      <c r="F147" s="82" t="n"/>
      <c r="G147" s="82" t="n"/>
      <c r="H147" s="55">
        <f t="array" ref="H147">E147+D147</f>
        <v/>
      </c>
      <c r="I147" s="57" t="n"/>
      <c r="J147" s="57" t="n"/>
      <c r="K147" s="57" t="n"/>
      <c r="L147" s="57" t="n"/>
    </row>
    <row r="148" ht="20.1" customHeight="1" s="206">
      <c r="A148" s="10" t="n"/>
      <c r="B148" s="127">
        <f t="array" ref="B148">$B149-1</f>
        <v/>
      </c>
      <c r="C148" s="83">
        <f t="array" ref="C148">H148</f>
        <v/>
      </c>
      <c r="D148" s="145" t="n"/>
      <c r="E148" s="145" t="n"/>
      <c r="F148" s="82" t="n"/>
      <c r="G148" s="82" t="n"/>
      <c r="H148" s="55">
        <f t="array" ref="H148">E148+D148</f>
        <v/>
      </c>
      <c r="I148" s="57" t="n"/>
      <c r="J148" s="57" t="n"/>
      <c r="K148" s="57" t="n"/>
      <c r="L148" s="57" t="n"/>
    </row>
    <row r="149" ht="20.1" customHeight="1" s="206">
      <c r="A149" s="10" t="n"/>
      <c r="B149" s="127">
        <f t="array" ref="B149">$B150-1</f>
        <v/>
      </c>
      <c r="C149" s="83">
        <f t="array" ref="C149">H149</f>
        <v/>
      </c>
      <c r="D149" s="145" t="n"/>
      <c r="E149" s="145" t="n"/>
      <c r="F149" s="82" t="n"/>
      <c r="G149" s="82" t="n"/>
      <c r="H149" s="55">
        <f t="array" ref="H149">E149+D149</f>
        <v/>
      </c>
      <c r="I149" s="57" t="n"/>
      <c r="J149" s="57" t="n"/>
      <c r="K149" s="57" t="n"/>
      <c r="L149" s="57" t="n"/>
    </row>
    <row r="150" ht="20.1" customHeight="1" s="206">
      <c r="A150" s="10" t="n"/>
      <c r="B150" s="127">
        <f t="array" ref="B150">$B151-1</f>
        <v/>
      </c>
      <c r="C150" s="83">
        <f t="array" ref="C150">H150</f>
        <v/>
      </c>
      <c r="D150" s="145" t="n"/>
      <c r="E150" s="145" t="n"/>
      <c r="F150" s="82" t="n"/>
      <c r="G150" s="82" t="n"/>
      <c r="H150" s="55">
        <f t="array" ref="H150">E150+D150</f>
        <v/>
      </c>
      <c r="I150" s="57" t="n"/>
      <c r="J150" s="57" t="n"/>
      <c r="K150" s="57" t="n"/>
      <c r="L150" s="57" t="n"/>
    </row>
    <row r="151" ht="20.1" customHeight="1" s="206">
      <c r="A151" s="10" t="n"/>
      <c r="B151" s="127">
        <f t="array" ref="B151">$B152-1</f>
        <v/>
      </c>
      <c r="C151" s="83">
        <f t="array" ref="C151">H151</f>
        <v/>
      </c>
      <c r="D151" s="145" t="n"/>
      <c r="E151" s="145" t="n"/>
      <c r="F151" s="82" t="n"/>
      <c r="G151" s="82" t="n"/>
      <c r="H151" s="55">
        <f t="array" ref="H151">E151+D151</f>
        <v/>
      </c>
      <c r="I151" s="57" t="n"/>
      <c r="J151" s="57" t="n"/>
      <c r="K151" s="57" t="n"/>
      <c r="L151" s="57" t="n"/>
    </row>
    <row r="152" ht="20.1" customHeight="1" s="206">
      <c r="A152" s="10" t="n"/>
      <c r="B152" s="127">
        <f t="array" ref="B152">$B153-1</f>
        <v/>
      </c>
      <c r="C152" s="83">
        <f t="array" ref="C152">H152</f>
        <v/>
      </c>
      <c r="D152" s="145" t="n"/>
      <c r="E152" s="145" t="n"/>
      <c r="F152" s="82" t="n"/>
      <c r="G152" s="82" t="n"/>
      <c r="H152" s="55">
        <f t="array" ref="H152">E152+D152</f>
        <v/>
      </c>
      <c r="I152" s="57" t="n"/>
      <c r="J152" s="57" t="n"/>
      <c r="K152" s="57" t="n"/>
      <c r="L152" s="57" t="n"/>
    </row>
    <row r="153" ht="20.1" customHeight="1" s="206">
      <c r="A153" s="10" t="n"/>
      <c r="B153" s="127">
        <f t="array" ref="B153">$B154-1</f>
        <v/>
      </c>
      <c r="C153" s="83">
        <f t="array" ref="C153">H153</f>
        <v/>
      </c>
      <c r="D153" s="145" t="n"/>
      <c r="E153" s="145" t="n"/>
      <c r="F153" s="82" t="n"/>
      <c r="G153" s="82" t="n"/>
      <c r="H153" s="55">
        <f t="array" ref="H153">E153+D153</f>
        <v/>
      </c>
      <c r="I153" s="57" t="n"/>
      <c r="J153" s="57" t="n"/>
      <c r="K153" s="57" t="n"/>
      <c r="L153" s="57" t="n"/>
    </row>
    <row r="154" ht="20.1" customHeight="1" s="206">
      <c r="A154" s="10" t="n"/>
      <c r="B154" s="127">
        <f t="array" ref="B154">$B155-1</f>
        <v/>
      </c>
      <c r="C154" s="83">
        <f t="array" ref="C154">H154</f>
        <v/>
      </c>
      <c r="D154" s="145" t="n"/>
      <c r="E154" s="145" t="n"/>
      <c r="F154" s="82" t="n"/>
      <c r="G154" s="82" t="n"/>
      <c r="H154" s="55">
        <f t="array" ref="H154">E154+D154</f>
        <v/>
      </c>
      <c r="I154" s="57" t="n"/>
      <c r="J154" s="57" t="n"/>
      <c r="K154" s="57" t="n"/>
      <c r="L154" s="57" t="n"/>
    </row>
    <row r="155" ht="20.1" customHeight="1" s="206">
      <c r="A155" s="10" t="n"/>
      <c r="B155" s="127">
        <f t="array" ref="B155">$B156-1</f>
        <v/>
      </c>
      <c r="C155" s="83">
        <f t="array" ref="C155">H155</f>
        <v/>
      </c>
      <c r="D155" s="145" t="n"/>
      <c r="E155" s="145" t="n"/>
      <c r="F155" s="82" t="n"/>
      <c r="G155" s="82" t="n"/>
      <c r="H155" s="55">
        <f t="array" ref="H155">E155+D155</f>
        <v/>
      </c>
      <c r="I155" s="57" t="n"/>
      <c r="J155" s="57" t="n"/>
      <c r="K155" s="57" t="n"/>
      <c r="L155" s="57" t="n"/>
    </row>
    <row r="156" ht="20.1" customHeight="1" s="206">
      <c r="A156" s="10" t="n"/>
      <c r="B156" s="127">
        <f t="array" ref="B156">$B157-1</f>
        <v/>
      </c>
      <c r="C156" s="83">
        <f t="array" ref="C156">H156</f>
        <v/>
      </c>
      <c r="D156" s="145" t="n"/>
      <c r="E156" s="145" t="n"/>
      <c r="F156" s="82" t="n"/>
      <c r="G156" s="82" t="n"/>
      <c r="H156" s="55">
        <f t="array" ref="H156">E156+D156</f>
        <v/>
      </c>
      <c r="I156" s="57" t="n"/>
      <c r="J156" s="57" t="n"/>
      <c r="K156" s="57" t="n"/>
      <c r="L156" s="57" t="n"/>
    </row>
    <row r="157" ht="20.1" customHeight="1" s="206">
      <c r="A157" s="10" t="n"/>
      <c r="B157" s="127">
        <f t="array" ref="B157">$B158-1</f>
        <v/>
      </c>
      <c r="C157" s="83">
        <f t="array" ref="C157">H157</f>
        <v/>
      </c>
      <c r="D157" s="145" t="n"/>
      <c r="E157" s="145" t="n"/>
      <c r="F157" s="82" t="n"/>
      <c r="G157" s="82" t="n"/>
      <c r="H157" s="55">
        <f t="array" ref="H157">E157+D157</f>
        <v/>
      </c>
      <c r="I157" s="57" t="n"/>
      <c r="J157" s="57" t="n"/>
      <c r="K157" s="57" t="n"/>
      <c r="L157" s="57" t="n"/>
    </row>
    <row r="158" ht="20.1" customHeight="1" s="206">
      <c r="A158" s="10" t="n"/>
      <c r="B158" s="127">
        <f t="array" ref="B158">$B159-1</f>
        <v/>
      </c>
      <c r="C158" s="83">
        <f t="array" ref="C158">H158</f>
        <v/>
      </c>
      <c r="D158" s="145" t="n"/>
      <c r="E158" s="145" t="n"/>
      <c r="F158" s="82" t="n"/>
      <c r="G158" s="82" t="n"/>
      <c r="H158" s="55">
        <f t="array" ref="H158">E158+D158</f>
        <v/>
      </c>
      <c r="I158" s="57" t="n"/>
      <c r="J158" s="57" t="n"/>
      <c r="K158" s="57" t="n"/>
      <c r="L158" s="57" t="n"/>
    </row>
    <row r="159" ht="20.45" customHeight="1" s="206">
      <c r="A159" s="10" t="n"/>
      <c r="B159" s="127">
        <f t="array" ref="B159">$B160-1</f>
        <v/>
      </c>
      <c r="C159" s="83">
        <f t="array" ref="C159">H159</f>
        <v/>
      </c>
      <c r="D159" s="145" t="n"/>
      <c r="E159" s="145" t="n"/>
      <c r="F159" s="82" t="n"/>
      <c r="G159" s="82" t="n"/>
      <c r="H159" s="79">
        <f t="array" ref="H159">E159+D159</f>
        <v/>
      </c>
      <c r="I159" s="78" t="n"/>
      <c r="J159" s="108" t="n"/>
      <c r="K159" s="108" t="n"/>
      <c r="L159" s="57" t="n"/>
    </row>
    <row r="160" ht="20.65" customHeight="1" s="206">
      <c r="A160" s="10" t="n"/>
      <c r="B160" s="127">
        <f t="array" ref="B160">$B161-1</f>
        <v/>
      </c>
      <c r="C160" s="83">
        <f t="array" ref="C160">H160</f>
        <v/>
      </c>
      <c r="D160" s="145" t="n"/>
      <c r="E160" s="145" t="n"/>
      <c r="F160" s="82" t="n"/>
      <c r="G160" s="82" t="n"/>
      <c r="H160" s="83">
        <f t="array" ref="H160">E160+D160</f>
        <v/>
      </c>
      <c r="I160" s="154" t="n"/>
      <c r="J160" s="148" t="n"/>
      <c r="K160" s="148" t="n"/>
      <c r="L160" s="131" t="n"/>
    </row>
    <row r="161" ht="20.65" customHeight="1" s="206">
      <c r="A161" s="10" t="n"/>
      <c r="B161" s="127">
        <f t="array" ref="B161">$B162-1</f>
        <v/>
      </c>
      <c r="C161" s="83">
        <f t="array" ref="C161">H161</f>
        <v/>
      </c>
      <c r="D161" s="145" t="n"/>
      <c r="E161" s="145" t="n"/>
      <c r="F161" s="82" t="n"/>
      <c r="G161" s="82" t="n"/>
      <c r="H161" s="83">
        <f t="array" ref="H161">E161+D161</f>
        <v/>
      </c>
      <c r="I161" s="154" t="n"/>
      <c r="J161" s="148" t="n"/>
      <c r="K161" s="148" t="n"/>
      <c r="L161" s="131" t="n"/>
    </row>
    <row r="162" ht="20.65" customHeight="1" s="206">
      <c r="A162" s="10" t="n"/>
      <c r="B162" s="127">
        <f t="array" ref="B162">$B163-1</f>
        <v/>
      </c>
      <c r="C162" s="83">
        <f t="array" ref="C162">H162</f>
        <v/>
      </c>
      <c r="D162" s="145" t="n"/>
      <c r="E162" s="145" t="n"/>
      <c r="F162" s="82" t="n"/>
      <c r="G162" s="82" t="n"/>
      <c r="H162" s="83">
        <f t="array" ref="H162">E162+D162</f>
        <v/>
      </c>
      <c r="I162" s="154" t="n"/>
      <c r="J162" s="148" t="n"/>
      <c r="K162" s="148" t="n"/>
      <c r="L162" s="131" t="n"/>
    </row>
    <row r="163" ht="20.65" customHeight="1" s="206">
      <c r="A163" s="10" t="n"/>
      <c r="B163" s="127">
        <f t="array" ref="B163">$B164-1</f>
        <v/>
      </c>
      <c r="C163" s="83">
        <f t="array" ref="C163">H163</f>
        <v/>
      </c>
      <c r="D163" s="145" t="n"/>
      <c r="E163" s="145" t="n"/>
      <c r="F163" s="82" t="n"/>
      <c r="G163" s="82" t="n"/>
      <c r="H163" s="83">
        <f t="array" ref="H163">E163+D163</f>
        <v/>
      </c>
      <c r="I163" s="154" t="n"/>
      <c r="J163" s="148" t="n"/>
      <c r="K163" s="148" t="n"/>
      <c r="L163" s="131" t="n"/>
    </row>
    <row r="164" ht="20.65" customHeight="1" s="206">
      <c r="A164" s="10" t="n"/>
      <c r="B164" s="127">
        <f t="array" ref="B164">$B165-1</f>
        <v/>
      </c>
      <c r="C164" s="83">
        <f t="array" ref="C164">H164</f>
        <v/>
      </c>
      <c r="D164" s="145" t="n"/>
      <c r="E164" s="145" t="n"/>
      <c r="F164" s="82" t="n"/>
      <c r="G164" s="82" t="n"/>
      <c r="H164" s="83">
        <f t="array" ref="H164">E164+D164</f>
        <v/>
      </c>
      <c r="I164" s="154" t="n"/>
      <c r="J164" s="148" t="n"/>
      <c r="K164" s="148" t="n"/>
      <c r="L164" s="131" t="n"/>
    </row>
    <row r="165" ht="20.65" customHeight="1" s="206">
      <c r="A165" s="10" t="n"/>
      <c r="B165" s="127">
        <f t="array" ref="B165">$B166-1</f>
        <v/>
      </c>
      <c r="C165" s="83">
        <f t="array" ref="C165">H165</f>
        <v/>
      </c>
      <c r="D165" s="145" t="n"/>
      <c r="E165" s="145" t="n"/>
      <c r="F165" s="82" t="n"/>
      <c r="G165" s="82" t="n"/>
      <c r="H165" s="83">
        <f t="array" ref="H165">E165+D165</f>
        <v/>
      </c>
      <c r="I165" s="154" t="n"/>
      <c r="J165" s="148" t="n"/>
      <c r="K165" s="148" t="n"/>
      <c r="L165" s="131" t="n"/>
    </row>
    <row r="166" ht="20.65" customHeight="1" s="206">
      <c r="A166" s="10" t="n"/>
      <c r="B166" s="127">
        <f t="array" ref="B166">$B167-1</f>
        <v/>
      </c>
      <c r="C166" s="83">
        <f t="array" ref="C166">H166</f>
        <v/>
      </c>
      <c r="D166" s="145" t="n"/>
      <c r="E166" s="145" t="n"/>
      <c r="F166" s="82" t="n"/>
      <c r="G166" s="82" t="n"/>
      <c r="H166" s="83">
        <f t="array" ref="H166">E166+D166</f>
        <v/>
      </c>
      <c r="I166" s="154" t="n"/>
      <c r="J166" s="148" t="n"/>
      <c r="K166" s="148" t="n"/>
      <c r="L166" s="131" t="n"/>
    </row>
    <row r="167" ht="20.65" customHeight="1" s="206">
      <c r="A167" s="10" t="n"/>
      <c r="B167" s="127">
        <f t="array" ref="B167">$B168-1</f>
        <v/>
      </c>
      <c r="C167" s="83">
        <f t="array" ref="C167">H167</f>
        <v/>
      </c>
      <c r="D167" s="145" t="n"/>
      <c r="E167" s="145" t="n"/>
      <c r="F167" s="82" t="n"/>
      <c r="G167" s="82" t="n"/>
      <c r="H167" s="83">
        <f t="array" ref="H167">E167+D167</f>
        <v/>
      </c>
      <c r="I167" s="154" t="n"/>
      <c r="J167" s="148" t="n"/>
      <c r="K167" s="148" t="n"/>
      <c r="L167" s="131" t="n"/>
    </row>
    <row r="168" ht="20.65" customHeight="1" s="206">
      <c r="A168" s="10" t="n"/>
      <c r="B168" s="127">
        <f t="array" ref="B168">$B169-1</f>
        <v/>
      </c>
      <c r="C168" s="83">
        <f t="array" ref="C168">H168</f>
        <v/>
      </c>
      <c r="D168" s="145" t="n"/>
      <c r="E168" s="145" t="n"/>
      <c r="F168" s="82" t="n"/>
      <c r="G168" s="82" t="n"/>
      <c r="H168" s="83">
        <f t="array" ref="H168">E168+D168</f>
        <v/>
      </c>
      <c r="I168" s="154" t="n"/>
      <c r="J168" s="148" t="n"/>
      <c r="K168" s="148" t="n"/>
      <c r="L168" s="131" t="n"/>
    </row>
    <row r="169" ht="20.65" customHeight="1" s="206">
      <c r="A169" s="10" t="n"/>
      <c r="B169" s="127">
        <f t="array" ref="B169">$B170-1</f>
        <v/>
      </c>
      <c r="C169" s="83">
        <f t="array" ref="C169">H169</f>
        <v/>
      </c>
      <c r="D169" s="145" t="n"/>
      <c r="E169" s="145" t="n"/>
      <c r="F169" s="82" t="n"/>
      <c r="G169" s="82" t="n"/>
      <c r="H169" s="83">
        <f t="array" ref="H169">E169+D169</f>
        <v/>
      </c>
      <c r="I169" s="154" t="n"/>
      <c r="J169" s="148" t="n"/>
      <c r="K169" s="148" t="n"/>
      <c r="L169" s="131" t="n"/>
    </row>
    <row r="170" ht="20.65" customHeight="1" s="206">
      <c r="A170" s="10" t="n"/>
      <c r="B170" s="127">
        <f t="array" ref="B170">$B171-1</f>
        <v/>
      </c>
      <c r="C170" s="83">
        <f t="array" ref="C170">H170</f>
        <v/>
      </c>
      <c r="D170" s="145" t="n"/>
      <c r="E170" s="145" t="n"/>
      <c r="F170" s="82" t="n"/>
      <c r="G170" s="82" t="n"/>
      <c r="H170" s="83">
        <f t="array" ref="H170">E170+D170</f>
        <v/>
      </c>
      <c r="I170" s="154" t="n"/>
      <c r="J170" s="148" t="n"/>
      <c r="K170" s="148" t="n"/>
      <c r="L170" s="131" t="n"/>
    </row>
    <row r="171" ht="20.45" customHeight="1" s="206">
      <c r="A171" s="10" t="n"/>
      <c r="B171" s="127">
        <f t="array" ref="B171">$C$7</f>
        <v/>
      </c>
      <c r="C171" s="83">
        <f t="array" ref="C171">H171</f>
        <v/>
      </c>
      <c r="D171" s="145" t="n"/>
      <c r="E171" s="145" t="n"/>
      <c r="F171" s="82" t="n"/>
      <c r="G171" s="82" t="n"/>
      <c r="H171" s="83">
        <f t="array" ref="H171">E171+D171</f>
        <v/>
      </c>
      <c r="I171" s="155" t="n"/>
      <c r="J171" s="153" t="n"/>
      <c r="K171" s="153" t="n"/>
      <c r="L171" s="131" t="n"/>
    </row>
    <row r="172" ht="20.1" customHeight="1" s="206">
      <c r="A172" s="15" t="n"/>
      <c r="B172" s="16" t="n"/>
      <c r="C172" s="120">
        <f t="array" ref="C172">SUM(C96:C171)</f>
        <v/>
      </c>
      <c r="D172" s="120">
        <f t="array" ref="D172">SUM(D96:D171)</f>
        <v/>
      </c>
      <c r="E172" s="120">
        <f t="array" ref="E172">SUM(E96:E171)</f>
        <v/>
      </c>
      <c r="F172" s="86" t="n"/>
      <c r="G172" s="86" t="n"/>
      <c r="H172" s="120">
        <f t="array" ref="H172">SUM(H96:H171)</f>
        <v/>
      </c>
      <c r="I172" s="57" t="n"/>
      <c r="J172" s="57" t="n"/>
      <c r="K172" s="57" t="n"/>
      <c r="L172" s="57" t="n"/>
    </row>
    <row r="173" ht="20.1" customHeight="1" s="206">
      <c r="A173" s="1" t="n"/>
      <c r="B173" s="18" t="n"/>
      <c r="C173" s="13" t="n"/>
      <c r="D173" s="13" t="n"/>
      <c r="E173" s="13" t="n"/>
      <c r="F173" s="13" t="n"/>
      <c r="G173" s="13" t="n"/>
      <c r="H173" s="13" t="n"/>
      <c r="I173" s="13" t="n"/>
      <c r="J173" s="13" t="n"/>
      <c r="K173" s="13" t="n"/>
      <c r="L173" s="13" t="n"/>
    </row>
    <row r="174" ht="20.1" customHeight="1" s="206">
      <c r="A174" s="24" t="n"/>
      <c r="B174" s="23" t="inlineStr">
        <is>
          <t>Source of the data (verbal)</t>
        </is>
      </c>
      <c r="C174" s="184">
        <f t="array" ref="C174">IF(C175="","?",C175)&amp;IF(C176="","","; downloaded "&amp;C176)&amp;IF(C177="","","; "&amp;C177)</f>
        <v/>
      </c>
      <c r="D174" s="177" t="n"/>
      <c r="E174" s="177" t="n"/>
      <c r="F174" s="177" t="n"/>
      <c r="G174" s="177" t="n"/>
      <c r="H174" s="177" t="n"/>
      <c r="I174" s="177" t="n"/>
      <c r="J174" s="177" t="n"/>
      <c r="K174" s="177" t="n"/>
      <c r="L174" s="13" t="n"/>
    </row>
    <row r="175" ht="20.1" customHeight="1" s="206">
      <c r="A175" s="15" t="n"/>
      <c r="B175" s="23" t="inlineStr">
        <is>
          <t>URLs, where the data was found</t>
        </is>
      </c>
      <c r="C175" s="185" t="inlineStr">
        <is>
          <t>https://ec.europa.eu/eurostat/databrowser/view/migr_acq, https://data.statistik.gv.at/data/OGD_einbuergerungen_EINBJ_1.csv, https://www.statistik.at/fileadmin/pages/436/neu_Einbuergerungen.ods</t>
        </is>
      </c>
      <c r="D175" s="177" t="n"/>
      <c r="E175" s="177" t="n"/>
      <c r="F175" s="177" t="n"/>
      <c r="G175" s="177" t="n"/>
      <c r="H175" s="177" t="n"/>
      <c r="I175" s="177" t="n"/>
      <c r="J175" s="177" t="n"/>
      <c r="K175" s="177" t="n"/>
      <c r="L175" s="13" t="n"/>
    </row>
    <row r="176" ht="20.1" customHeight="1" s="206">
      <c r="A176" s="24" t="n"/>
      <c r="B176" s="33" t="inlineStr">
        <is>
          <t>Date, when the data was downloaded</t>
        </is>
      </c>
      <c r="C176" s="185" t="inlineStr">
        <is>
          <t>2026-05-20</t>
        </is>
      </c>
      <c r="D176" s="177" t="n"/>
      <c r="E176" s="177" t="n"/>
      <c r="F176" s="177" t="n"/>
      <c r="G176" s="177" t="n"/>
      <c r="H176" s="177" t="n"/>
      <c r="I176" s="177" t="n"/>
      <c r="J176" s="177" t="n"/>
      <c r="K176" s="177" t="n"/>
      <c r="L176" s="13" t="n"/>
    </row>
    <row r="177" ht="20.1" customHeight="1" s="206">
      <c r="A177" s="10" t="n"/>
      <c r="B177" s="11" t="inlineStr">
        <is>
          <t>Manual remarks (not for AI!)</t>
        </is>
      </c>
      <c r="C177" s="201" t="n"/>
      <c r="D177" s="182" t="n"/>
      <c r="E177" s="182" t="n"/>
      <c r="F177" s="182" t="n"/>
      <c r="G177" s="182" t="n"/>
      <c r="H177" s="182" t="n"/>
      <c r="I177" s="182" t="n"/>
      <c r="J177" s="182" t="n"/>
      <c r="K177" s="182" t="n"/>
      <c r="L177" s="13" t="n"/>
    </row>
    <row r="178" ht="20.1" customHeight="1" s="206">
      <c r="A178" s="10" t="n"/>
      <c r="B178" s="11" t="inlineStr">
        <is>
          <t>Remarks of the AI (e.g. calculation)</t>
        </is>
      </c>
      <c r="C178" s="203" t="inlineStr">
        <is>
          <t>Expatriationen (Verlust/Aufgabe der österreichischen Staatsbürgerschaft) sind weder in STAT-Open-Data noch in Eurostat als Zeitreihe publiziert. Suche im Demographischen Jahrbuch 2023 (STAT, Demo-JB-2023.pdf, 138 Seiten, Stand 2024): Kapitel 3.5 'Einbürgerungen' (S. 102) definiert ausschließlich ERWERB der österr. Staatsbürgerschaft (§§10-25, 57, 58c, 64a StbG). Keine Kapitel/Tabelle zu Verlust, Aufgabe, Verzicht, Entlassung oder Aberkennung der Staatsbürgerschaft. Suche in STAT-Webseite 'Einbürgerungen' (WebFetch Antwort): 'Auf dieser Seite werden Ausbürgerungen nicht statistisch geführt. Die Statistik erfasst ausschließlich Einbürgerungen.' Verlust der österr. Staatsbürgerschaft wird vom BMI/BMEIA bearbeitet (§§26-39 StbG: u.a. Verzicht bei Erwerb einer fremden Staatsangehörigkeit), aber nicht als Open-Data-Zeitreihe öffentlich. Konsequenz: ALLE Jahre 1950-2025 für Expatriation leer (User-Vorgabe 2026-05-20: 'leer + dokumentiert &gt; geschätzt'). Methodisch (CLAUDE.md §Pass-Wechsel): Expatriation nur Native F (col D) + Native M (col E); Migrant bleibt leer — hier wird keine Spalte befüllt.</t>
        </is>
      </c>
      <c r="D178" s="188" t="n"/>
      <c r="E178" s="188" t="n"/>
      <c r="F178" s="188" t="n"/>
      <c r="G178" s="188" t="n"/>
      <c r="H178" s="188" t="n"/>
      <c r="I178" s="188" t="n"/>
      <c r="J178" s="188" t="n"/>
      <c r="K178" s="188" t="n"/>
      <c r="L178" s="13" t="n"/>
    </row>
    <row r="179" ht="20.1" customHeight="1" s="206">
      <c r="A179" s="10" t="n"/>
      <c r="B179" s="11" t="inlineStr">
        <is>
          <t>Internal remarks</t>
        </is>
      </c>
      <c r="C179" s="186" t="n"/>
      <c r="D179" s="177" t="n"/>
      <c r="E179" s="177" t="n"/>
      <c r="F179" s="177" t="n"/>
      <c r="G179" s="177" t="n"/>
      <c r="H179" s="177" t="n"/>
      <c r="I179" s="177" t="n"/>
      <c r="J179" s="177" t="n"/>
      <c r="K179" s="177" t="n"/>
      <c r="L179" s="13" t="n"/>
    </row>
    <row r="180" ht="20.1" customHeight="1" s="206">
      <c r="A180" s="41" t="n"/>
      <c r="B180" s="42" t="n"/>
      <c r="C180" s="61" t="n"/>
      <c r="D180" s="62" t="n"/>
      <c r="E180" s="62" t="n"/>
      <c r="F180" s="62" t="n"/>
      <c r="G180" s="62" t="n"/>
      <c r="H180" s="62" t="n"/>
      <c r="I180" s="62" t="n"/>
      <c r="J180" s="62" t="n"/>
      <c r="K180" s="62" t="n"/>
      <c r="L180" s="62" t="n"/>
    </row>
  </sheetData>
  <mergeCells count="16">
    <mergeCell ref="C175:K175"/>
    <mergeCell ref="C174:K174"/>
    <mergeCell ref="C94:K94"/>
    <mergeCell ref="C178:K178"/>
    <mergeCell ref="C5:K5"/>
    <mergeCell ref="C89:K89"/>
    <mergeCell ref="C177:K177"/>
    <mergeCell ref="A1:L1"/>
    <mergeCell ref="C179:K179"/>
    <mergeCell ref="C88:K88"/>
    <mergeCell ref="C176:K176"/>
    <mergeCell ref="C87:K87"/>
    <mergeCell ref="C4:K4"/>
    <mergeCell ref="C91:K91"/>
    <mergeCell ref="C92:K92"/>
    <mergeCell ref="C90:K9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368"/>
  <sheetViews>
    <sheetView showGridLines="0" workbookViewId="0">
      <pane ySplit="3" topLeftCell="A4" activePane="bottomLeft" state="frozen"/>
      <selection pane="bottomLeft" activeCell="A1" sqref="A1"/>
    </sheetView>
  </sheetViews>
  <sheetFormatPr baseColWidth="10" defaultColWidth="16.28515625" defaultRowHeight="19.9" customHeight="1"/>
  <cols>
    <col width="6.7109375" customWidth="1" style="206" min="1" max="1"/>
    <col width="33.28515625" customWidth="1" style="206" min="2" max="3"/>
    <col width="13.28515625" customWidth="1" style="206" min="4" max="12"/>
    <col width="16.28515625" customWidth="1" style="206" min="13" max="13"/>
  </cols>
  <sheetData>
    <row r="1" ht="27.6" customHeight="1" s="206">
      <c r="A1" s="174" t="inlineStr">
        <is>
          <t>export</t>
        </is>
      </c>
    </row>
    <row r="2" ht="20.1" customHeight="1" s="206">
      <c r="A2" s="156" t="n"/>
      <c r="B2" s="156" t="n"/>
      <c r="C2" s="157" t="inlineStr">
        <is>
          <t>aa</t>
        </is>
      </c>
      <c r="D2" s="157" t="inlineStr">
        <is>
          <t>nf</t>
        </is>
      </c>
      <c r="E2" s="157" t="inlineStr">
        <is>
          <t>nm</t>
        </is>
      </c>
      <c r="F2" s="157" t="inlineStr">
        <is>
          <t>mf</t>
        </is>
      </c>
      <c r="G2" s="157" t="inlineStr">
        <is>
          <t>mm</t>
        </is>
      </c>
      <c r="H2" s="157" t="inlineStr">
        <is>
          <t>na</t>
        </is>
      </c>
      <c r="I2" s="157" t="inlineStr">
        <is>
          <t>ma</t>
        </is>
      </c>
      <c r="J2" s="157" t="inlineStr">
        <is>
          <t>af</t>
        </is>
      </c>
      <c r="K2" s="157" t="inlineStr">
        <is>
          <t>am</t>
        </is>
      </c>
      <c r="L2" s="156" t="n"/>
    </row>
    <row r="3" ht="32.25" customHeight="1" s="206">
      <c r="A3" s="158" t="n"/>
      <c r="B3" s="159">
        <f t="array" ref="B3">overview!C11&amp;" / "&amp;overview!C12</f>
        <v/>
      </c>
      <c r="C3" s="160" t="inlineStr">
        <is>
          <t>All</t>
        </is>
      </c>
      <c r="D3" s="160" t="inlineStr">
        <is>
          <t>Native Female</t>
        </is>
      </c>
      <c r="E3" s="160" t="inlineStr">
        <is>
          <t>Native Male</t>
        </is>
      </c>
      <c r="F3" s="160" t="inlineStr">
        <is>
          <t>Migrant Female</t>
        </is>
      </c>
      <c r="G3" s="160" t="inlineStr">
        <is>
          <t>Migrant Male</t>
        </is>
      </c>
      <c r="H3" s="160" t="inlineStr">
        <is>
          <t>Utility Native Male + Female</t>
        </is>
      </c>
      <c r="I3" s="160" t="inlineStr">
        <is>
          <t>Utility Migrant Male + Female</t>
        </is>
      </c>
      <c r="J3" s="160" t="inlineStr">
        <is>
          <t>Utility All Female</t>
        </is>
      </c>
      <c r="K3" s="160" t="inlineStr">
        <is>
          <t>Utility All Male</t>
        </is>
      </c>
      <c r="L3" s="160" t="inlineStr">
        <is>
          <t>Utility Other</t>
        </is>
      </c>
    </row>
    <row r="4" ht="33.6" customHeight="1" s="206">
      <c r="A4" s="98" t="n"/>
      <c r="B4" s="99" t="inlineStr">
        <is>
          <t>⚠️</t>
        </is>
      </c>
      <c r="C4" s="199" t="inlineStr">
        <is>
          <t>Do not change this sheet!</t>
        </is>
      </c>
      <c r="D4" s="200" t="n"/>
      <c r="E4" s="200" t="n"/>
      <c r="F4" s="200" t="n"/>
      <c r="G4" s="200" t="n"/>
      <c r="H4" s="200" t="n"/>
      <c r="I4" s="200" t="n"/>
      <c r="J4" s="200" t="n"/>
      <c r="K4" s="200" t="n"/>
      <c r="L4" s="49" t="n"/>
    </row>
    <row r="5" ht="26.85" customHeight="1" s="206">
      <c r="A5" s="20" t="n"/>
      <c r="B5" s="21" t="inlineStr">
        <is>
          <t>Overview</t>
        </is>
      </c>
      <c r="C5" s="178" t="n"/>
      <c r="D5" s="177" t="n"/>
      <c r="E5" s="177" t="n"/>
      <c r="F5" s="177" t="n"/>
      <c r="G5" s="177" t="n"/>
      <c r="H5" s="177" t="n"/>
      <c r="I5" s="177" t="n"/>
      <c r="J5" s="177" t="n"/>
      <c r="K5" s="177" t="n"/>
      <c r="L5" s="22" t="n"/>
    </row>
    <row r="6" ht="20.1" customHeight="1" s="206">
      <c r="A6" s="156">
        <f t="array" ref="A6">overview!A11</f>
        <v/>
      </c>
      <c r="B6" s="52" t="n"/>
      <c r="C6" s="52">
        <f t="array" ref="C6">overview!C11</f>
        <v/>
      </c>
      <c r="D6" s="54" t="n"/>
      <c r="E6" s="54" t="n"/>
      <c r="F6" s="54" t="n"/>
      <c r="G6" s="54" t="n"/>
      <c r="H6" s="54" t="n"/>
      <c r="I6" s="54" t="n"/>
      <c r="J6" s="54" t="n"/>
      <c r="K6" s="54" t="n"/>
      <c r="L6" s="54" t="n"/>
    </row>
    <row r="7" ht="20.1" customHeight="1" s="206">
      <c r="A7" s="156">
        <f t="array" ref="A7">overview!A12</f>
        <v/>
      </c>
      <c r="B7" s="52" t="n"/>
      <c r="C7" s="52">
        <f t="array" ref="C7">overview!C12</f>
        <v/>
      </c>
      <c r="D7" s="54" t="n"/>
      <c r="E7" s="54" t="n"/>
      <c r="F7" s="54" t="n"/>
      <c r="G7" s="54" t="n"/>
      <c r="H7" s="54" t="n"/>
      <c r="I7" s="54" t="n"/>
      <c r="J7" s="54" t="n"/>
      <c r="K7" s="54" t="n"/>
      <c r="L7" s="54" t="n"/>
    </row>
    <row r="8" ht="20.1" customHeight="1" s="206">
      <c r="A8" s="156">
        <f t="array" ref="A8">overview!$A49</f>
        <v/>
      </c>
      <c r="B8" s="54" t="n"/>
      <c r="C8" s="54">
        <f t="array" ref="C8">overview!C49</f>
        <v/>
      </c>
      <c r="D8" s="54" t="n"/>
      <c r="E8" s="54" t="n"/>
      <c r="F8" s="54" t="n"/>
      <c r="G8" s="54" t="n"/>
      <c r="H8" s="54" t="n"/>
      <c r="I8" s="54" t="n"/>
      <c r="J8" s="54" t="n"/>
      <c r="K8" s="54" t="n"/>
      <c r="L8" s="54" t="n"/>
    </row>
    <row r="9" ht="44.1" customHeight="1" s="206">
      <c r="A9" s="161">
        <f t="array" ref="A9">overview!$A51</f>
        <v/>
      </c>
      <c r="B9" s="116" t="n"/>
      <c r="C9" s="117">
        <f t="array" ref="C9">overview!C51</f>
        <v/>
      </c>
      <c r="D9" s="116" t="n"/>
      <c r="E9" s="116" t="n"/>
      <c r="F9" s="116" t="n"/>
      <c r="G9" s="116" t="n"/>
      <c r="H9" s="116" t="n"/>
      <c r="I9" s="116" t="n"/>
      <c r="J9" s="116" t="n"/>
      <c r="K9" s="116" t="n"/>
      <c r="L9" s="54" t="n"/>
    </row>
    <row r="10" ht="20.1" customHeight="1" s="206">
      <c r="A10" s="162">
        <f t="array" ref="A10">overview!$A60</f>
        <v/>
      </c>
      <c r="B10" s="163" t="n"/>
      <c r="C10" s="164">
        <f t="array" ref="C10">overview!C60</f>
        <v/>
      </c>
      <c r="D10" s="164">
        <f t="array" ref="D10">overview!D60</f>
        <v/>
      </c>
      <c r="E10" s="164">
        <f t="array" ref="E10">overview!E60</f>
        <v/>
      </c>
      <c r="F10" s="164">
        <f t="array" ref="F10">overview!F60</f>
        <v/>
      </c>
      <c r="G10" s="164">
        <f t="array" ref="G10">overview!G60</f>
        <v/>
      </c>
      <c r="H10" s="164">
        <f t="array" ref="H10">overview!H60</f>
        <v/>
      </c>
      <c r="I10" s="164">
        <f t="array" ref="I10">overview!I60</f>
        <v/>
      </c>
      <c r="J10" s="164">
        <f t="array" ref="J10">overview!J60</f>
        <v/>
      </c>
      <c r="K10" s="164">
        <f t="array" ref="K10">overview!K60</f>
        <v/>
      </c>
      <c r="L10" s="54" t="n"/>
    </row>
    <row r="11" ht="44.1" customHeight="1" s="206">
      <c r="A11" s="165">
        <f t="array" ref="A11">overview!$A62</f>
        <v/>
      </c>
      <c r="B11" s="166" t="n"/>
      <c r="C11" s="119">
        <f t="array" ref="C11">overview!C62</f>
        <v/>
      </c>
      <c r="D11" s="166" t="n"/>
      <c r="E11" s="166" t="n"/>
      <c r="F11" s="166" t="n"/>
      <c r="G11" s="166" t="n"/>
      <c r="H11" s="166" t="n"/>
      <c r="I11" s="166" t="n"/>
      <c r="J11" s="166" t="n"/>
      <c r="K11" s="166" t="n"/>
      <c r="L11" s="54" t="n"/>
    </row>
    <row r="12" ht="20.1" customHeight="1" s="206">
      <c r="A12" s="156" t="n"/>
      <c r="B12" s="54" t="n"/>
      <c r="C12" s="54" t="n"/>
      <c r="D12" s="54" t="n"/>
      <c r="E12" s="54" t="n"/>
      <c r="F12" s="54" t="n"/>
      <c r="G12" s="54" t="n"/>
      <c r="H12" s="54" t="n"/>
      <c r="I12" s="54" t="n"/>
      <c r="J12" s="54" t="n"/>
      <c r="K12" s="54" t="n"/>
      <c r="L12" s="54" t="n"/>
    </row>
    <row r="13" ht="26.85" customHeight="1" s="206">
      <c r="A13" s="20" t="n"/>
      <c r="B13" s="21" t="inlineStr">
        <is>
          <t>Population</t>
        </is>
      </c>
      <c r="C13" s="178" t="n"/>
      <c r="D13" s="177" t="n"/>
      <c r="E13" s="177" t="n"/>
      <c r="F13" s="177" t="n"/>
      <c r="G13" s="177" t="n"/>
      <c r="H13" s="177" t="n"/>
      <c r="I13" s="177" t="n"/>
      <c r="J13" s="177" t="n"/>
      <c r="K13" s="177" t="n"/>
      <c r="L13" s="22" t="n"/>
    </row>
    <row r="14" ht="20.1" customHeight="1" s="206">
      <c r="A14" s="161">
        <f t="array" ref="A14">population!$A7</f>
        <v/>
      </c>
      <c r="B14" s="116" t="n"/>
      <c r="C14" s="116">
        <f t="array" ref="C14">population!C7</f>
        <v/>
      </c>
      <c r="D14" s="116" t="n"/>
      <c r="E14" s="116" t="n"/>
      <c r="F14" s="116" t="n"/>
      <c r="G14" s="116" t="n"/>
      <c r="H14" s="116" t="n"/>
      <c r="I14" s="116" t="n"/>
      <c r="J14" s="116" t="n"/>
      <c r="K14" s="116" t="n"/>
      <c r="L14" s="54" t="n"/>
    </row>
    <row r="15" ht="20.1" customHeight="1" s="206">
      <c r="A15" s="162">
        <f t="array" ref="A15">population!$A9</f>
        <v/>
      </c>
      <c r="B15" s="163" t="n"/>
      <c r="C15" s="163">
        <f t="array" ref="C15">population!C9</f>
        <v/>
      </c>
      <c r="D15" s="163">
        <f t="array" ref="D15">population!D9</f>
        <v/>
      </c>
      <c r="E15" s="163">
        <f t="array" ref="E15">population!E9</f>
        <v/>
      </c>
      <c r="F15" s="163">
        <f t="array" ref="F15">population!F9</f>
        <v/>
      </c>
      <c r="G15" s="163">
        <f t="array" ref="G15">population!G9</f>
        <v/>
      </c>
      <c r="H15" s="163">
        <f t="array" ref="H15">population!H9</f>
        <v/>
      </c>
      <c r="I15" s="163">
        <f t="array" ref="I15">population!I9</f>
        <v/>
      </c>
      <c r="J15" s="163">
        <f t="array" ref="J15">population!J9</f>
        <v/>
      </c>
      <c r="K15" s="163">
        <f t="array" ref="K15">population!K9</f>
        <v/>
      </c>
      <c r="L15" s="54" t="n"/>
    </row>
    <row r="16" ht="20.1" customHeight="1" s="206">
      <c r="A16" s="165">
        <f t="array" ref="A16">population!$A10</f>
        <v/>
      </c>
      <c r="B16" s="166" t="n"/>
      <c r="C16" s="166">
        <f t="array" ref="C16">population!C10</f>
        <v/>
      </c>
      <c r="D16" s="166">
        <f t="array" ref="D16">population!D10</f>
        <v/>
      </c>
      <c r="E16" s="166">
        <f t="array" ref="E16">population!E10</f>
        <v/>
      </c>
      <c r="F16" s="166">
        <f t="array" ref="F16">population!F10</f>
        <v/>
      </c>
      <c r="G16" s="166">
        <f t="array" ref="G16">population!G10</f>
        <v/>
      </c>
      <c r="H16" s="166">
        <f t="array" ref="H16">population!H10</f>
        <v/>
      </c>
      <c r="I16" s="166">
        <f t="array" ref="I16">population!I10</f>
        <v/>
      </c>
      <c r="J16" s="166">
        <f t="array" ref="J16">population!J10</f>
        <v/>
      </c>
      <c r="K16" s="166">
        <f t="array" ref="K16">population!K10</f>
        <v/>
      </c>
      <c r="L16" s="54" t="n"/>
    </row>
    <row r="17" ht="20.1" customHeight="1" s="206">
      <c r="A17" s="156">
        <f t="array" ref="A17">population!$A11</f>
        <v/>
      </c>
      <c r="B17" s="54" t="n"/>
      <c r="C17" s="54">
        <f t="array" ref="C17">population!C11</f>
        <v/>
      </c>
      <c r="D17" s="54">
        <f t="array" ref="D17">population!D11</f>
        <v/>
      </c>
      <c r="E17" s="54">
        <f t="array" ref="E17">population!E11</f>
        <v/>
      </c>
      <c r="F17" s="54">
        <f t="array" ref="F17">population!F11</f>
        <v/>
      </c>
      <c r="G17" s="54">
        <f t="array" ref="G17">population!G11</f>
        <v/>
      </c>
      <c r="H17" s="54">
        <f t="array" ref="H17">population!H11</f>
        <v/>
      </c>
      <c r="I17" s="54">
        <f t="array" ref="I17">population!I11</f>
        <v/>
      </c>
      <c r="J17" s="54">
        <f t="array" ref="J17">population!J11</f>
        <v/>
      </c>
      <c r="K17" s="54">
        <f t="array" ref="K17">population!K11</f>
        <v/>
      </c>
      <c r="L17" s="54" t="n"/>
    </row>
    <row r="18" ht="20.1" customHeight="1" s="206">
      <c r="A18" s="156">
        <f t="array" ref="A18">population!$A12</f>
        <v/>
      </c>
      <c r="B18" s="54" t="n"/>
      <c r="C18" s="54">
        <f t="array" ref="C18">population!C12</f>
        <v/>
      </c>
      <c r="D18" s="54">
        <f t="array" ref="D18">population!D12</f>
        <v/>
      </c>
      <c r="E18" s="54">
        <f t="array" ref="E18">population!E12</f>
        <v/>
      </c>
      <c r="F18" s="54">
        <f t="array" ref="F18">population!F12</f>
        <v/>
      </c>
      <c r="G18" s="54">
        <f t="array" ref="G18">population!G12</f>
        <v/>
      </c>
      <c r="H18" s="54">
        <f t="array" ref="H18">population!H12</f>
        <v/>
      </c>
      <c r="I18" s="54">
        <f t="array" ref="I18">population!I12</f>
        <v/>
      </c>
      <c r="J18" s="54">
        <f t="array" ref="J18">population!J12</f>
        <v/>
      </c>
      <c r="K18" s="54">
        <f t="array" ref="K18">population!K12</f>
        <v/>
      </c>
      <c r="L18" s="54" t="n"/>
    </row>
    <row r="19" ht="20.1" customHeight="1" s="206">
      <c r="A19" s="156">
        <f t="array" ref="A19">population!$A13</f>
        <v/>
      </c>
      <c r="B19" s="54" t="n"/>
      <c r="C19" s="54">
        <f t="array" ref="C19">population!C13</f>
        <v/>
      </c>
      <c r="D19" s="54">
        <f t="array" ref="D19">population!D13</f>
        <v/>
      </c>
      <c r="E19" s="54">
        <f t="array" ref="E19">population!E13</f>
        <v/>
      </c>
      <c r="F19" s="54">
        <f t="array" ref="F19">population!F13</f>
        <v/>
      </c>
      <c r="G19" s="54">
        <f t="array" ref="G19">population!G13</f>
        <v/>
      </c>
      <c r="H19" s="54">
        <f t="array" ref="H19">population!H13</f>
        <v/>
      </c>
      <c r="I19" s="54">
        <f t="array" ref="I19">population!I13</f>
        <v/>
      </c>
      <c r="J19" s="54">
        <f t="array" ref="J19">population!J13</f>
        <v/>
      </c>
      <c r="K19" s="54">
        <f t="array" ref="K19">population!K13</f>
        <v/>
      </c>
      <c r="L19" s="54" t="n"/>
    </row>
    <row r="20" ht="20.1" customHeight="1" s="206">
      <c r="A20" s="156">
        <f t="array" ref="A20">population!$A14</f>
        <v/>
      </c>
      <c r="B20" s="54" t="n"/>
      <c r="C20" s="54">
        <f t="array" ref="C20">population!C14</f>
        <v/>
      </c>
      <c r="D20" s="54">
        <f t="array" ref="D20">population!D14</f>
        <v/>
      </c>
      <c r="E20" s="54">
        <f t="array" ref="E20">population!E14</f>
        <v/>
      </c>
      <c r="F20" s="54">
        <f t="array" ref="F20">population!F14</f>
        <v/>
      </c>
      <c r="G20" s="54">
        <f t="array" ref="G20">population!G14</f>
        <v/>
      </c>
      <c r="H20" s="54">
        <f t="array" ref="H20">population!H14</f>
        <v/>
      </c>
      <c r="I20" s="54">
        <f t="array" ref="I20">population!I14</f>
        <v/>
      </c>
      <c r="J20" s="54">
        <f t="array" ref="J20">population!J14</f>
        <v/>
      </c>
      <c r="K20" s="54">
        <f t="array" ref="K20">population!K14</f>
        <v/>
      </c>
      <c r="L20" s="54" t="n"/>
    </row>
    <row r="21" ht="20.1" customHeight="1" s="206">
      <c r="A21" s="156">
        <f t="array" ref="A21">population!$A15</f>
        <v/>
      </c>
      <c r="B21" s="54" t="n"/>
      <c r="C21" s="54">
        <f t="array" ref="C21">population!C15</f>
        <v/>
      </c>
      <c r="D21" s="54">
        <f t="array" ref="D21">population!D15</f>
        <v/>
      </c>
      <c r="E21" s="54">
        <f t="array" ref="E21">population!E15</f>
        <v/>
      </c>
      <c r="F21" s="54">
        <f t="array" ref="F21">population!F15</f>
        <v/>
      </c>
      <c r="G21" s="54">
        <f t="array" ref="G21">population!G15</f>
        <v/>
      </c>
      <c r="H21" s="54">
        <f t="array" ref="H21">population!H15</f>
        <v/>
      </c>
      <c r="I21" s="54">
        <f t="array" ref="I21">population!I15</f>
        <v/>
      </c>
      <c r="J21" s="54">
        <f t="array" ref="J21">population!J15</f>
        <v/>
      </c>
      <c r="K21" s="54">
        <f t="array" ref="K21">population!K15</f>
        <v/>
      </c>
      <c r="L21" s="54" t="n"/>
    </row>
    <row r="22" ht="20.1" customHeight="1" s="206">
      <c r="A22" s="156">
        <f t="array" ref="A22">population!$A16</f>
        <v/>
      </c>
      <c r="B22" s="54" t="n"/>
      <c r="C22" s="54">
        <f t="array" ref="C22">population!C16</f>
        <v/>
      </c>
      <c r="D22" s="54">
        <f t="array" ref="D22">population!D16</f>
        <v/>
      </c>
      <c r="E22" s="54">
        <f t="array" ref="E22">population!E16</f>
        <v/>
      </c>
      <c r="F22" s="54">
        <f t="array" ref="F22">population!F16</f>
        <v/>
      </c>
      <c r="G22" s="54">
        <f t="array" ref="G22">population!G16</f>
        <v/>
      </c>
      <c r="H22" s="54">
        <f t="array" ref="H22">population!H16</f>
        <v/>
      </c>
      <c r="I22" s="54">
        <f t="array" ref="I22">population!I16</f>
        <v/>
      </c>
      <c r="J22" s="54">
        <f t="array" ref="J22">population!J16</f>
        <v/>
      </c>
      <c r="K22" s="54">
        <f t="array" ref="K22">population!K16</f>
        <v/>
      </c>
      <c r="L22" s="54" t="n"/>
    </row>
    <row r="23" ht="20.1" customHeight="1" s="206">
      <c r="A23" s="156">
        <f t="array" ref="A23">population!$A17</f>
        <v/>
      </c>
      <c r="B23" s="54" t="n"/>
      <c r="C23" s="54">
        <f t="array" ref="C23">population!C17</f>
        <v/>
      </c>
      <c r="D23" s="54">
        <f t="array" ref="D23">population!D17</f>
        <v/>
      </c>
      <c r="E23" s="54">
        <f t="array" ref="E23">population!E17</f>
        <v/>
      </c>
      <c r="F23" s="54">
        <f t="array" ref="F23">population!F17</f>
        <v/>
      </c>
      <c r="G23" s="54">
        <f t="array" ref="G23">population!G17</f>
        <v/>
      </c>
      <c r="H23" s="54">
        <f t="array" ref="H23">population!H17</f>
        <v/>
      </c>
      <c r="I23" s="54">
        <f t="array" ref="I23">population!I17</f>
        <v/>
      </c>
      <c r="J23" s="54">
        <f t="array" ref="J23">population!J17</f>
        <v/>
      </c>
      <c r="K23" s="54">
        <f t="array" ref="K23">population!K17</f>
        <v/>
      </c>
      <c r="L23" s="54" t="n"/>
    </row>
    <row r="24" ht="20.1" customHeight="1" s="206">
      <c r="A24" s="156">
        <f t="array" ref="A24">population!$A18</f>
        <v/>
      </c>
      <c r="B24" s="54" t="n"/>
      <c r="C24" s="54">
        <f t="array" ref="C24">population!C18</f>
        <v/>
      </c>
      <c r="D24" s="54">
        <f t="array" ref="D24">population!D18</f>
        <v/>
      </c>
      <c r="E24" s="54">
        <f t="array" ref="E24">population!E18</f>
        <v/>
      </c>
      <c r="F24" s="54">
        <f t="array" ref="F24">population!F18</f>
        <v/>
      </c>
      <c r="G24" s="54">
        <f t="array" ref="G24">population!G18</f>
        <v/>
      </c>
      <c r="H24" s="54">
        <f t="array" ref="H24">population!H18</f>
        <v/>
      </c>
      <c r="I24" s="54">
        <f t="array" ref="I24">population!I18</f>
        <v/>
      </c>
      <c r="J24" s="54">
        <f t="array" ref="J24">population!J18</f>
        <v/>
      </c>
      <c r="K24" s="54">
        <f t="array" ref="K24">population!K18</f>
        <v/>
      </c>
      <c r="L24" s="54" t="n"/>
    </row>
    <row r="25" ht="20.1" customHeight="1" s="206">
      <c r="A25" s="156">
        <f t="array" ref="A25">population!$A19</f>
        <v/>
      </c>
      <c r="B25" s="54" t="n"/>
      <c r="C25" s="54">
        <f t="array" ref="C25">population!C19</f>
        <v/>
      </c>
      <c r="D25" s="54">
        <f t="array" ref="D25">population!D19</f>
        <v/>
      </c>
      <c r="E25" s="54">
        <f t="array" ref="E25">population!E19</f>
        <v/>
      </c>
      <c r="F25" s="54">
        <f t="array" ref="F25">population!F19</f>
        <v/>
      </c>
      <c r="G25" s="54">
        <f t="array" ref="G25">population!G19</f>
        <v/>
      </c>
      <c r="H25" s="54">
        <f t="array" ref="H25">population!H19</f>
        <v/>
      </c>
      <c r="I25" s="54">
        <f t="array" ref="I25">population!I19</f>
        <v/>
      </c>
      <c r="J25" s="54">
        <f t="array" ref="J25">population!J19</f>
        <v/>
      </c>
      <c r="K25" s="54">
        <f t="array" ref="K25">population!K19</f>
        <v/>
      </c>
      <c r="L25" s="54" t="n"/>
    </row>
    <row r="26" ht="20.1" customHeight="1" s="206">
      <c r="A26" s="156">
        <f t="array" ref="A26">population!$A20</f>
        <v/>
      </c>
      <c r="B26" s="54" t="n"/>
      <c r="C26" s="54">
        <f t="array" ref="C26">population!C20</f>
        <v/>
      </c>
      <c r="D26" s="54">
        <f t="array" ref="D26">population!D20</f>
        <v/>
      </c>
      <c r="E26" s="54">
        <f t="array" ref="E26">population!E20</f>
        <v/>
      </c>
      <c r="F26" s="54">
        <f t="array" ref="F26">population!F20</f>
        <v/>
      </c>
      <c r="G26" s="54">
        <f t="array" ref="G26">population!G20</f>
        <v/>
      </c>
      <c r="H26" s="54">
        <f t="array" ref="H26">population!H20</f>
        <v/>
      </c>
      <c r="I26" s="54">
        <f t="array" ref="I26">population!I20</f>
        <v/>
      </c>
      <c r="J26" s="54">
        <f t="array" ref="J26">population!J20</f>
        <v/>
      </c>
      <c r="K26" s="54">
        <f t="array" ref="K26">population!K20</f>
        <v/>
      </c>
      <c r="L26" s="54" t="n"/>
    </row>
    <row r="27" ht="20.1" customHeight="1" s="206">
      <c r="A27" s="156">
        <f t="array" ref="A27">population!$A21</f>
        <v/>
      </c>
      <c r="B27" s="54" t="n"/>
      <c r="C27" s="54">
        <f t="array" ref="C27">population!C21</f>
        <v/>
      </c>
      <c r="D27" s="54">
        <f t="array" ref="D27">population!D21</f>
        <v/>
      </c>
      <c r="E27" s="54">
        <f t="array" ref="E27">population!E21</f>
        <v/>
      </c>
      <c r="F27" s="54">
        <f t="array" ref="F27">population!F21</f>
        <v/>
      </c>
      <c r="G27" s="54">
        <f t="array" ref="G27">population!G21</f>
        <v/>
      </c>
      <c r="H27" s="54">
        <f t="array" ref="H27">population!H21</f>
        <v/>
      </c>
      <c r="I27" s="54">
        <f t="array" ref="I27">population!I21</f>
        <v/>
      </c>
      <c r="J27" s="54">
        <f t="array" ref="J27">population!J21</f>
        <v/>
      </c>
      <c r="K27" s="54">
        <f t="array" ref="K27">population!K21</f>
        <v/>
      </c>
      <c r="L27" s="54" t="n"/>
    </row>
    <row r="28" ht="20.1" customHeight="1" s="206">
      <c r="A28" s="156">
        <f t="array" ref="A28">population!$A22</f>
        <v/>
      </c>
      <c r="B28" s="54" t="n"/>
      <c r="C28" s="54">
        <f t="array" ref="C28">population!C22</f>
        <v/>
      </c>
      <c r="D28" s="54">
        <f t="array" ref="D28">population!D22</f>
        <v/>
      </c>
      <c r="E28" s="54">
        <f t="array" ref="E28">population!E22</f>
        <v/>
      </c>
      <c r="F28" s="54">
        <f t="array" ref="F28">population!F22</f>
        <v/>
      </c>
      <c r="G28" s="54">
        <f t="array" ref="G28">population!G22</f>
        <v/>
      </c>
      <c r="H28" s="54">
        <f t="array" ref="H28">population!H22</f>
        <v/>
      </c>
      <c r="I28" s="54">
        <f t="array" ref="I28">population!I22</f>
        <v/>
      </c>
      <c r="J28" s="54">
        <f t="array" ref="J28">population!J22</f>
        <v/>
      </c>
      <c r="K28" s="54">
        <f t="array" ref="K28">population!K22</f>
        <v/>
      </c>
      <c r="L28" s="54" t="n"/>
    </row>
    <row r="29" ht="20.1" customHeight="1" s="206">
      <c r="A29" s="156">
        <f t="array" ref="A29">population!$A23</f>
        <v/>
      </c>
      <c r="B29" s="54" t="n"/>
      <c r="C29" s="54">
        <f t="array" ref="C29">population!C23</f>
        <v/>
      </c>
      <c r="D29" s="54">
        <f t="array" ref="D29">population!D23</f>
        <v/>
      </c>
      <c r="E29" s="54">
        <f t="array" ref="E29">population!E23</f>
        <v/>
      </c>
      <c r="F29" s="54">
        <f t="array" ref="F29">population!F23</f>
        <v/>
      </c>
      <c r="G29" s="54">
        <f t="array" ref="G29">population!G23</f>
        <v/>
      </c>
      <c r="H29" s="54">
        <f t="array" ref="H29">population!H23</f>
        <v/>
      </c>
      <c r="I29" s="54">
        <f t="array" ref="I29">population!I23</f>
        <v/>
      </c>
      <c r="J29" s="54">
        <f t="array" ref="J29">population!J23</f>
        <v/>
      </c>
      <c r="K29" s="54">
        <f t="array" ref="K29">population!K23</f>
        <v/>
      </c>
      <c r="L29" s="54" t="n"/>
    </row>
    <row r="30" ht="20.1" customHeight="1" s="206">
      <c r="A30" s="156">
        <f t="array" ref="A30">population!$A24</f>
        <v/>
      </c>
      <c r="B30" s="54" t="n"/>
      <c r="C30" s="54">
        <f t="array" ref="C30">population!C24</f>
        <v/>
      </c>
      <c r="D30" s="54">
        <f t="array" ref="D30">population!D24</f>
        <v/>
      </c>
      <c r="E30" s="54">
        <f t="array" ref="E30">population!E24</f>
        <v/>
      </c>
      <c r="F30" s="54">
        <f t="array" ref="F30">population!F24</f>
        <v/>
      </c>
      <c r="G30" s="54">
        <f t="array" ref="G30">population!G24</f>
        <v/>
      </c>
      <c r="H30" s="54">
        <f t="array" ref="H30">population!H24</f>
        <v/>
      </c>
      <c r="I30" s="54">
        <f t="array" ref="I30">population!I24</f>
        <v/>
      </c>
      <c r="J30" s="54">
        <f t="array" ref="J30">population!J24</f>
        <v/>
      </c>
      <c r="K30" s="54">
        <f t="array" ref="K30">population!K24</f>
        <v/>
      </c>
      <c r="L30" s="54" t="n"/>
    </row>
    <row r="31" ht="20.1" customHeight="1" s="206">
      <c r="A31" s="156">
        <f t="array" ref="A31">population!$A25</f>
        <v/>
      </c>
      <c r="B31" s="54" t="n"/>
      <c r="C31" s="54">
        <f t="array" ref="C31">population!C25</f>
        <v/>
      </c>
      <c r="D31" s="54">
        <f t="array" ref="D31">population!D25</f>
        <v/>
      </c>
      <c r="E31" s="54">
        <f t="array" ref="E31">population!E25</f>
        <v/>
      </c>
      <c r="F31" s="54">
        <f t="array" ref="F31">population!F25</f>
        <v/>
      </c>
      <c r="G31" s="54">
        <f t="array" ref="G31">population!G25</f>
        <v/>
      </c>
      <c r="H31" s="54">
        <f t="array" ref="H31">population!H25</f>
        <v/>
      </c>
      <c r="I31" s="54">
        <f t="array" ref="I31">population!I25</f>
        <v/>
      </c>
      <c r="J31" s="54">
        <f t="array" ref="J31">population!J25</f>
        <v/>
      </c>
      <c r="K31" s="54">
        <f t="array" ref="K31">population!K25</f>
        <v/>
      </c>
      <c r="L31" s="54" t="n"/>
    </row>
    <row r="32" ht="20.1" customHeight="1" s="206">
      <c r="A32" s="156">
        <f t="array" ref="A32">population!$A26</f>
        <v/>
      </c>
      <c r="B32" s="54" t="n"/>
      <c r="C32" s="54">
        <f t="array" ref="C32">population!C26</f>
        <v/>
      </c>
      <c r="D32" s="54">
        <f t="array" ref="D32">population!D26</f>
        <v/>
      </c>
      <c r="E32" s="54">
        <f t="array" ref="E32">population!E26</f>
        <v/>
      </c>
      <c r="F32" s="54">
        <f t="array" ref="F32">population!F26</f>
        <v/>
      </c>
      <c r="G32" s="54">
        <f t="array" ref="G32">population!G26</f>
        <v/>
      </c>
      <c r="H32" s="54">
        <f t="array" ref="H32">population!H26</f>
        <v/>
      </c>
      <c r="I32" s="54">
        <f t="array" ref="I32">population!I26</f>
        <v/>
      </c>
      <c r="J32" s="54">
        <f t="array" ref="J32">population!J26</f>
        <v/>
      </c>
      <c r="K32" s="54">
        <f t="array" ref="K32">population!K26</f>
        <v/>
      </c>
      <c r="L32" s="54" t="n"/>
    </row>
    <row r="33" ht="20.1" customHeight="1" s="206">
      <c r="A33" s="156">
        <f t="array" ref="A33">population!$A27</f>
        <v/>
      </c>
      <c r="B33" s="54" t="n"/>
      <c r="C33" s="54">
        <f t="array" ref="C33">population!C27</f>
        <v/>
      </c>
      <c r="D33" s="54">
        <f t="array" ref="D33">population!D27</f>
        <v/>
      </c>
      <c r="E33" s="54">
        <f t="array" ref="E33">population!E27</f>
        <v/>
      </c>
      <c r="F33" s="54">
        <f t="array" ref="F33">population!F27</f>
        <v/>
      </c>
      <c r="G33" s="54">
        <f t="array" ref="G33">population!G27</f>
        <v/>
      </c>
      <c r="H33" s="54">
        <f t="array" ref="H33">population!H27</f>
        <v/>
      </c>
      <c r="I33" s="54">
        <f t="array" ref="I33">population!I27</f>
        <v/>
      </c>
      <c r="J33" s="54">
        <f t="array" ref="J33">population!J27</f>
        <v/>
      </c>
      <c r="K33" s="54">
        <f t="array" ref="K33">population!K27</f>
        <v/>
      </c>
      <c r="L33" s="54" t="n"/>
    </row>
    <row r="34" ht="20.1" customHeight="1" s="206">
      <c r="A34" s="156">
        <f t="array" ref="A34">population!$A28</f>
        <v/>
      </c>
      <c r="B34" s="54" t="n"/>
      <c r="C34" s="54">
        <f t="array" ref="C34">population!C28</f>
        <v/>
      </c>
      <c r="D34" s="54">
        <f t="array" ref="D34">population!D28</f>
        <v/>
      </c>
      <c r="E34" s="54">
        <f t="array" ref="E34">population!E28</f>
        <v/>
      </c>
      <c r="F34" s="54">
        <f t="array" ref="F34">population!F28</f>
        <v/>
      </c>
      <c r="G34" s="54">
        <f t="array" ref="G34">population!G28</f>
        <v/>
      </c>
      <c r="H34" s="54">
        <f t="array" ref="H34">population!H28</f>
        <v/>
      </c>
      <c r="I34" s="54">
        <f t="array" ref="I34">population!I28</f>
        <v/>
      </c>
      <c r="J34" s="54">
        <f t="array" ref="J34">population!J28</f>
        <v/>
      </c>
      <c r="K34" s="54">
        <f t="array" ref="K34">population!K28</f>
        <v/>
      </c>
      <c r="L34" s="54" t="n"/>
    </row>
    <row r="35" ht="20.1" customHeight="1" s="206">
      <c r="A35" s="156">
        <f t="array" ref="A35">population!$A29</f>
        <v/>
      </c>
      <c r="B35" s="54" t="n"/>
      <c r="C35" s="54">
        <f t="array" ref="C35">population!C29</f>
        <v/>
      </c>
      <c r="D35" s="54">
        <f t="array" ref="D35">population!D29</f>
        <v/>
      </c>
      <c r="E35" s="54">
        <f t="array" ref="E35">population!E29</f>
        <v/>
      </c>
      <c r="F35" s="54">
        <f t="array" ref="F35">population!F29</f>
        <v/>
      </c>
      <c r="G35" s="54">
        <f t="array" ref="G35">population!G29</f>
        <v/>
      </c>
      <c r="H35" s="54">
        <f t="array" ref="H35">population!H29</f>
        <v/>
      </c>
      <c r="I35" s="54">
        <f t="array" ref="I35">population!I29</f>
        <v/>
      </c>
      <c r="J35" s="54">
        <f t="array" ref="J35">population!J29</f>
        <v/>
      </c>
      <c r="K35" s="54">
        <f t="array" ref="K35">population!K29</f>
        <v/>
      </c>
      <c r="L35" s="54" t="n"/>
    </row>
    <row r="36" ht="20.1" customHeight="1" s="206">
      <c r="A36" s="156">
        <f t="array" ref="A36">population!$A30</f>
        <v/>
      </c>
      <c r="B36" s="54" t="n"/>
      <c r="C36" s="54">
        <f t="array" ref="C36">population!C30</f>
        <v/>
      </c>
      <c r="D36" s="54">
        <f t="array" ref="D36">population!D30</f>
        <v/>
      </c>
      <c r="E36" s="54">
        <f t="array" ref="E36">population!E30</f>
        <v/>
      </c>
      <c r="F36" s="54">
        <f t="array" ref="F36">population!F30</f>
        <v/>
      </c>
      <c r="G36" s="54">
        <f t="array" ref="G36">population!G30</f>
        <v/>
      </c>
      <c r="H36" s="54">
        <f t="array" ref="H36">population!H30</f>
        <v/>
      </c>
      <c r="I36" s="54">
        <f t="array" ref="I36">population!I30</f>
        <v/>
      </c>
      <c r="J36" s="54">
        <f t="array" ref="J36">population!J30</f>
        <v/>
      </c>
      <c r="K36" s="54">
        <f t="array" ref="K36">population!K30</f>
        <v/>
      </c>
      <c r="L36" s="54" t="n"/>
    </row>
    <row r="37" ht="20.1" customHeight="1" s="206">
      <c r="A37" s="156">
        <f t="array" ref="A37">population!$A31</f>
        <v/>
      </c>
      <c r="B37" s="54" t="n"/>
      <c r="C37" s="54">
        <f t="array" ref="C37">population!C31</f>
        <v/>
      </c>
      <c r="D37" s="54">
        <f t="array" ref="D37">population!D31</f>
        <v/>
      </c>
      <c r="E37" s="54">
        <f t="array" ref="E37">population!E31</f>
        <v/>
      </c>
      <c r="F37" s="54">
        <f t="array" ref="F37">population!F31</f>
        <v/>
      </c>
      <c r="G37" s="54">
        <f t="array" ref="G37">population!G31</f>
        <v/>
      </c>
      <c r="H37" s="54">
        <f t="array" ref="H37">population!H31</f>
        <v/>
      </c>
      <c r="I37" s="54">
        <f t="array" ref="I37">population!I31</f>
        <v/>
      </c>
      <c r="J37" s="54">
        <f t="array" ref="J37">population!J31</f>
        <v/>
      </c>
      <c r="K37" s="54">
        <f t="array" ref="K37">population!K31</f>
        <v/>
      </c>
      <c r="L37" s="54" t="n"/>
    </row>
    <row r="38" ht="20.1" customHeight="1" s="206">
      <c r="A38" s="156">
        <f t="array" ref="A38">population!$A32</f>
        <v/>
      </c>
      <c r="B38" s="54" t="n"/>
      <c r="C38" s="54">
        <f t="array" ref="C38">population!C32</f>
        <v/>
      </c>
      <c r="D38" s="54">
        <f t="array" ref="D38">population!D32</f>
        <v/>
      </c>
      <c r="E38" s="54">
        <f t="array" ref="E38">population!E32</f>
        <v/>
      </c>
      <c r="F38" s="54">
        <f t="array" ref="F38">population!F32</f>
        <v/>
      </c>
      <c r="G38" s="54">
        <f t="array" ref="G38">population!G32</f>
        <v/>
      </c>
      <c r="H38" s="54">
        <f t="array" ref="H38">population!H32</f>
        <v/>
      </c>
      <c r="I38" s="54">
        <f t="array" ref="I38">population!I32</f>
        <v/>
      </c>
      <c r="J38" s="54">
        <f t="array" ref="J38">population!J32</f>
        <v/>
      </c>
      <c r="K38" s="54">
        <f t="array" ref="K38">population!K32</f>
        <v/>
      </c>
      <c r="L38" s="54" t="n"/>
    </row>
    <row r="39" ht="20.1" customHeight="1" s="206">
      <c r="A39" s="156">
        <f t="array" ref="A39">population!$A33</f>
        <v/>
      </c>
      <c r="B39" s="54" t="n"/>
      <c r="C39" s="54">
        <f t="array" ref="C39">population!C33</f>
        <v/>
      </c>
      <c r="D39" s="54">
        <f t="array" ref="D39">population!D33</f>
        <v/>
      </c>
      <c r="E39" s="54">
        <f t="array" ref="E39">population!E33</f>
        <v/>
      </c>
      <c r="F39" s="54">
        <f t="array" ref="F39">population!F33</f>
        <v/>
      </c>
      <c r="G39" s="54">
        <f t="array" ref="G39">population!G33</f>
        <v/>
      </c>
      <c r="H39" s="54">
        <f t="array" ref="H39">population!H33</f>
        <v/>
      </c>
      <c r="I39" s="54">
        <f t="array" ref="I39">population!I33</f>
        <v/>
      </c>
      <c r="J39" s="54">
        <f t="array" ref="J39">population!J33</f>
        <v/>
      </c>
      <c r="K39" s="54">
        <f t="array" ref="K39">population!K33</f>
        <v/>
      </c>
      <c r="L39" s="54" t="n"/>
    </row>
    <row r="40" ht="20.1" customHeight="1" s="206">
      <c r="A40" s="156">
        <f t="array" ref="A40">population!$A34</f>
        <v/>
      </c>
      <c r="B40" s="54" t="n"/>
      <c r="C40" s="54">
        <f t="array" ref="C40">population!C34</f>
        <v/>
      </c>
      <c r="D40" s="54">
        <f t="array" ref="D40">population!D34</f>
        <v/>
      </c>
      <c r="E40" s="54">
        <f t="array" ref="E40">population!E34</f>
        <v/>
      </c>
      <c r="F40" s="54">
        <f t="array" ref="F40">population!F34</f>
        <v/>
      </c>
      <c r="G40" s="54">
        <f t="array" ref="G40">population!G34</f>
        <v/>
      </c>
      <c r="H40" s="54">
        <f t="array" ref="H40">population!H34</f>
        <v/>
      </c>
      <c r="I40" s="54">
        <f t="array" ref="I40">population!I34</f>
        <v/>
      </c>
      <c r="J40" s="54">
        <f t="array" ref="J40">population!J34</f>
        <v/>
      </c>
      <c r="K40" s="54">
        <f t="array" ref="K40">population!K34</f>
        <v/>
      </c>
      <c r="L40" s="54" t="n"/>
    </row>
    <row r="41" ht="20.1" customHeight="1" s="206">
      <c r="A41" s="156">
        <f t="array" ref="A41">population!$A35</f>
        <v/>
      </c>
      <c r="B41" s="54" t="n"/>
      <c r="C41" s="54">
        <f t="array" ref="C41">population!C35</f>
        <v/>
      </c>
      <c r="D41" s="54">
        <f t="array" ref="D41">population!D35</f>
        <v/>
      </c>
      <c r="E41" s="54">
        <f t="array" ref="E41">population!E35</f>
        <v/>
      </c>
      <c r="F41" s="54">
        <f t="array" ref="F41">population!F35</f>
        <v/>
      </c>
      <c r="G41" s="54">
        <f t="array" ref="G41">population!G35</f>
        <v/>
      </c>
      <c r="H41" s="54">
        <f t="array" ref="H41">population!H35</f>
        <v/>
      </c>
      <c r="I41" s="54">
        <f t="array" ref="I41">population!I35</f>
        <v/>
      </c>
      <c r="J41" s="54">
        <f t="array" ref="J41">population!J35</f>
        <v/>
      </c>
      <c r="K41" s="54">
        <f t="array" ref="K41">population!K35</f>
        <v/>
      </c>
      <c r="L41" s="54" t="n"/>
    </row>
    <row r="42" ht="20.1" customHeight="1" s="206">
      <c r="A42" s="156">
        <f t="array" ref="A42">population!$A36</f>
        <v/>
      </c>
      <c r="B42" s="54" t="n"/>
      <c r="C42" s="54">
        <f t="array" ref="C42">population!C36</f>
        <v/>
      </c>
      <c r="D42" s="54">
        <f t="array" ref="D42">population!D36</f>
        <v/>
      </c>
      <c r="E42" s="54">
        <f t="array" ref="E42">population!E36</f>
        <v/>
      </c>
      <c r="F42" s="54">
        <f t="array" ref="F42">population!F36</f>
        <v/>
      </c>
      <c r="G42" s="54">
        <f t="array" ref="G42">population!G36</f>
        <v/>
      </c>
      <c r="H42" s="54">
        <f t="array" ref="H42">population!H36</f>
        <v/>
      </c>
      <c r="I42" s="54">
        <f t="array" ref="I42">population!I36</f>
        <v/>
      </c>
      <c r="J42" s="54">
        <f t="array" ref="J42">population!J36</f>
        <v/>
      </c>
      <c r="K42" s="54">
        <f t="array" ref="K42">population!K36</f>
        <v/>
      </c>
      <c r="L42" s="54" t="n"/>
    </row>
    <row r="43" ht="20.1" customHeight="1" s="206">
      <c r="A43" s="156">
        <f t="array" ref="A43">population!$A37</f>
        <v/>
      </c>
      <c r="B43" s="54" t="n"/>
      <c r="C43" s="54">
        <f t="array" ref="C43">population!C37</f>
        <v/>
      </c>
      <c r="D43" s="54">
        <f t="array" ref="D43">population!D37</f>
        <v/>
      </c>
      <c r="E43" s="54">
        <f t="array" ref="E43">population!E37</f>
        <v/>
      </c>
      <c r="F43" s="54">
        <f t="array" ref="F43">population!F37</f>
        <v/>
      </c>
      <c r="G43" s="54">
        <f t="array" ref="G43">population!G37</f>
        <v/>
      </c>
      <c r="H43" s="54">
        <f t="array" ref="H43">population!H37</f>
        <v/>
      </c>
      <c r="I43" s="54">
        <f t="array" ref="I43">population!I37</f>
        <v/>
      </c>
      <c r="J43" s="54">
        <f t="array" ref="J43">population!J37</f>
        <v/>
      </c>
      <c r="K43" s="54">
        <f t="array" ref="K43">population!K37</f>
        <v/>
      </c>
      <c r="L43" s="54" t="n"/>
    </row>
    <row r="44" ht="20.1" customHeight="1" s="206">
      <c r="A44" s="156">
        <f t="array" ref="A44">population!$A38</f>
        <v/>
      </c>
      <c r="B44" s="54" t="n"/>
      <c r="C44" s="54">
        <f t="array" ref="C44">population!C38</f>
        <v/>
      </c>
      <c r="D44" s="54">
        <f t="array" ref="D44">population!D38</f>
        <v/>
      </c>
      <c r="E44" s="54">
        <f t="array" ref="E44">population!E38</f>
        <v/>
      </c>
      <c r="F44" s="54">
        <f t="array" ref="F44">population!F38</f>
        <v/>
      </c>
      <c r="G44" s="54">
        <f t="array" ref="G44">population!G38</f>
        <v/>
      </c>
      <c r="H44" s="54">
        <f t="array" ref="H44">population!H38</f>
        <v/>
      </c>
      <c r="I44" s="54">
        <f t="array" ref="I44">population!I38</f>
        <v/>
      </c>
      <c r="J44" s="54">
        <f t="array" ref="J44">population!J38</f>
        <v/>
      </c>
      <c r="K44" s="54">
        <f t="array" ref="K44">population!K38</f>
        <v/>
      </c>
      <c r="L44" s="54" t="n"/>
    </row>
    <row r="45" ht="20.1" customHeight="1" s="206">
      <c r="A45" s="156">
        <f t="array" ref="A45">population!$A39</f>
        <v/>
      </c>
      <c r="B45" s="54" t="n"/>
      <c r="C45" s="54">
        <f t="array" ref="C45">population!C39</f>
        <v/>
      </c>
      <c r="D45" s="54">
        <f t="array" ref="D45">population!D39</f>
        <v/>
      </c>
      <c r="E45" s="54">
        <f t="array" ref="E45">population!E39</f>
        <v/>
      </c>
      <c r="F45" s="54">
        <f t="array" ref="F45">population!F39</f>
        <v/>
      </c>
      <c r="G45" s="54">
        <f t="array" ref="G45">population!G39</f>
        <v/>
      </c>
      <c r="H45" s="54">
        <f t="array" ref="H45">population!H39</f>
        <v/>
      </c>
      <c r="I45" s="54">
        <f t="array" ref="I45">population!I39</f>
        <v/>
      </c>
      <c r="J45" s="54">
        <f t="array" ref="J45">population!J39</f>
        <v/>
      </c>
      <c r="K45" s="54">
        <f t="array" ref="K45">population!K39</f>
        <v/>
      </c>
      <c r="L45" s="54" t="n"/>
    </row>
    <row r="46" ht="20.1" customHeight="1" s="206">
      <c r="A46" s="156">
        <f t="array" ref="A46">population!$A40</f>
        <v/>
      </c>
      <c r="B46" s="54" t="n"/>
      <c r="C46" s="54">
        <f t="array" ref="C46">population!C40</f>
        <v/>
      </c>
      <c r="D46" s="54">
        <f t="array" ref="D46">population!D40</f>
        <v/>
      </c>
      <c r="E46" s="54">
        <f t="array" ref="E46">population!E40</f>
        <v/>
      </c>
      <c r="F46" s="54">
        <f t="array" ref="F46">population!F40</f>
        <v/>
      </c>
      <c r="G46" s="54">
        <f t="array" ref="G46">population!G40</f>
        <v/>
      </c>
      <c r="H46" s="54">
        <f t="array" ref="H46">population!H40</f>
        <v/>
      </c>
      <c r="I46" s="54">
        <f t="array" ref="I46">population!I40</f>
        <v/>
      </c>
      <c r="J46" s="54">
        <f t="array" ref="J46">population!J40</f>
        <v/>
      </c>
      <c r="K46" s="54">
        <f t="array" ref="K46">population!K40</f>
        <v/>
      </c>
      <c r="L46" s="54" t="n"/>
    </row>
    <row r="47" ht="20.1" customHeight="1" s="206">
      <c r="A47" s="156">
        <f t="array" ref="A47">population!$A41</f>
        <v/>
      </c>
      <c r="B47" s="54" t="n"/>
      <c r="C47" s="54">
        <f t="array" ref="C47">population!C41</f>
        <v/>
      </c>
      <c r="D47" s="54">
        <f t="array" ref="D47">population!D41</f>
        <v/>
      </c>
      <c r="E47" s="54">
        <f t="array" ref="E47">population!E41</f>
        <v/>
      </c>
      <c r="F47" s="54">
        <f t="array" ref="F47">population!F41</f>
        <v/>
      </c>
      <c r="G47" s="54">
        <f t="array" ref="G47">population!G41</f>
        <v/>
      </c>
      <c r="H47" s="54">
        <f t="array" ref="H47">population!H41</f>
        <v/>
      </c>
      <c r="I47" s="54">
        <f t="array" ref="I47">population!I41</f>
        <v/>
      </c>
      <c r="J47" s="54">
        <f t="array" ref="J47">population!J41</f>
        <v/>
      </c>
      <c r="K47" s="54">
        <f t="array" ref="K47">population!K41</f>
        <v/>
      </c>
      <c r="L47" s="54" t="n"/>
    </row>
    <row r="48" ht="20.1" customHeight="1" s="206">
      <c r="A48" s="156">
        <f t="array" ref="A48">population!$A42</f>
        <v/>
      </c>
      <c r="B48" s="54" t="n"/>
      <c r="C48" s="54">
        <f t="array" ref="C48">population!C42</f>
        <v/>
      </c>
      <c r="D48" s="54">
        <f t="array" ref="D48">population!D42</f>
        <v/>
      </c>
      <c r="E48" s="54">
        <f t="array" ref="E48">population!E42</f>
        <v/>
      </c>
      <c r="F48" s="54">
        <f t="array" ref="F48">population!F42</f>
        <v/>
      </c>
      <c r="G48" s="54">
        <f t="array" ref="G48">population!G42</f>
        <v/>
      </c>
      <c r="H48" s="54">
        <f t="array" ref="H48">population!H42</f>
        <v/>
      </c>
      <c r="I48" s="54">
        <f t="array" ref="I48">population!I42</f>
        <v/>
      </c>
      <c r="J48" s="54">
        <f t="array" ref="J48">population!J42</f>
        <v/>
      </c>
      <c r="K48" s="54">
        <f t="array" ref="K48">population!K42</f>
        <v/>
      </c>
      <c r="L48" s="54" t="n"/>
    </row>
    <row r="49" ht="20.1" customHeight="1" s="206">
      <c r="A49" s="156">
        <f t="array" ref="A49">population!$A43</f>
        <v/>
      </c>
      <c r="B49" s="54" t="n"/>
      <c r="C49" s="54">
        <f t="array" ref="C49">population!C43</f>
        <v/>
      </c>
      <c r="D49" s="54">
        <f t="array" ref="D49">population!D43</f>
        <v/>
      </c>
      <c r="E49" s="54">
        <f t="array" ref="E49">population!E43</f>
        <v/>
      </c>
      <c r="F49" s="54">
        <f t="array" ref="F49">population!F43</f>
        <v/>
      </c>
      <c r="G49" s="54">
        <f t="array" ref="G49">population!G43</f>
        <v/>
      </c>
      <c r="H49" s="54">
        <f t="array" ref="H49">population!H43</f>
        <v/>
      </c>
      <c r="I49" s="54">
        <f t="array" ref="I49">population!I43</f>
        <v/>
      </c>
      <c r="J49" s="54">
        <f t="array" ref="J49">population!J43</f>
        <v/>
      </c>
      <c r="K49" s="54">
        <f t="array" ref="K49">population!K43</f>
        <v/>
      </c>
      <c r="L49" s="54" t="n"/>
    </row>
    <row r="50" ht="20.1" customHeight="1" s="206">
      <c r="A50" s="156">
        <f t="array" ref="A50">population!$A44</f>
        <v/>
      </c>
      <c r="B50" s="54" t="n"/>
      <c r="C50" s="54">
        <f t="array" ref="C50">population!C44</f>
        <v/>
      </c>
      <c r="D50" s="54">
        <f t="array" ref="D50">population!D44</f>
        <v/>
      </c>
      <c r="E50" s="54">
        <f t="array" ref="E50">population!E44</f>
        <v/>
      </c>
      <c r="F50" s="54">
        <f t="array" ref="F50">population!F44</f>
        <v/>
      </c>
      <c r="G50" s="54">
        <f t="array" ref="G50">population!G44</f>
        <v/>
      </c>
      <c r="H50" s="54">
        <f t="array" ref="H50">population!H44</f>
        <v/>
      </c>
      <c r="I50" s="54">
        <f t="array" ref="I50">population!I44</f>
        <v/>
      </c>
      <c r="J50" s="54">
        <f t="array" ref="J50">population!J44</f>
        <v/>
      </c>
      <c r="K50" s="54">
        <f t="array" ref="K50">population!K44</f>
        <v/>
      </c>
      <c r="L50" s="54" t="n"/>
    </row>
    <row r="51" ht="20.1" customHeight="1" s="206">
      <c r="A51" s="156">
        <f t="array" ref="A51">population!$A45</f>
        <v/>
      </c>
      <c r="B51" s="54" t="n"/>
      <c r="C51" s="54">
        <f t="array" ref="C51">population!C45</f>
        <v/>
      </c>
      <c r="D51" s="54">
        <f t="array" ref="D51">population!D45</f>
        <v/>
      </c>
      <c r="E51" s="54">
        <f t="array" ref="E51">population!E45</f>
        <v/>
      </c>
      <c r="F51" s="54">
        <f t="array" ref="F51">population!F45</f>
        <v/>
      </c>
      <c r="G51" s="54">
        <f t="array" ref="G51">population!G45</f>
        <v/>
      </c>
      <c r="H51" s="54">
        <f t="array" ref="H51">population!H45</f>
        <v/>
      </c>
      <c r="I51" s="54">
        <f t="array" ref="I51">population!I45</f>
        <v/>
      </c>
      <c r="J51" s="54">
        <f t="array" ref="J51">population!J45</f>
        <v/>
      </c>
      <c r="K51" s="54">
        <f t="array" ref="K51">population!K45</f>
        <v/>
      </c>
      <c r="L51" s="54" t="n"/>
    </row>
    <row r="52" ht="20.1" customHeight="1" s="206">
      <c r="A52" s="156">
        <f t="array" ref="A52">population!$A46</f>
        <v/>
      </c>
      <c r="B52" s="54" t="n"/>
      <c r="C52" s="54">
        <f t="array" ref="C52">population!C46</f>
        <v/>
      </c>
      <c r="D52" s="54">
        <f t="array" ref="D52">population!D46</f>
        <v/>
      </c>
      <c r="E52" s="54">
        <f t="array" ref="E52">population!E46</f>
        <v/>
      </c>
      <c r="F52" s="54">
        <f t="array" ref="F52">population!F46</f>
        <v/>
      </c>
      <c r="G52" s="54">
        <f t="array" ref="G52">population!G46</f>
        <v/>
      </c>
      <c r="H52" s="54">
        <f t="array" ref="H52">population!H46</f>
        <v/>
      </c>
      <c r="I52" s="54">
        <f t="array" ref="I52">population!I46</f>
        <v/>
      </c>
      <c r="J52" s="54">
        <f t="array" ref="J52">population!J46</f>
        <v/>
      </c>
      <c r="K52" s="54">
        <f t="array" ref="K52">population!K46</f>
        <v/>
      </c>
      <c r="L52" s="54" t="n"/>
    </row>
    <row r="53" ht="20.1" customHeight="1" s="206">
      <c r="A53" s="156">
        <f t="array" ref="A53">population!$A47</f>
        <v/>
      </c>
      <c r="B53" s="54" t="n"/>
      <c r="C53" s="54">
        <f t="array" ref="C53">population!C47</f>
        <v/>
      </c>
      <c r="D53" s="54">
        <f t="array" ref="D53">population!D47</f>
        <v/>
      </c>
      <c r="E53" s="54">
        <f t="array" ref="E53">population!E47</f>
        <v/>
      </c>
      <c r="F53" s="54">
        <f t="array" ref="F53">population!F47</f>
        <v/>
      </c>
      <c r="G53" s="54">
        <f t="array" ref="G53">population!G47</f>
        <v/>
      </c>
      <c r="H53" s="54">
        <f t="array" ref="H53">population!H47</f>
        <v/>
      </c>
      <c r="I53" s="54">
        <f t="array" ref="I53">population!I47</f>
        <v/>
      </c>
      <c r="J53" s="54">
        <f t="array" ref="J53">population!J47</f>
        <v/>
      </c>
      <c r="K53" s="54">
        <f t="array" ref="K53">population!K47</f>
        <v/>
      </c>
      <c r="L53" s="54" t="n"/>
    </row>
    <row r="54" ht="20.1" customHeight="1" s="206">
      <c r="A54" s="156">
        <f t="array" ref="A54">population!$A48</f>
        <v/>
      </c>
      <c r="B54" s="54" t="n"/>
      <c r="C54" s="54">
        <f t="array" ref="C54">population!C48</f>
        <v/>
      </c>
      <c r="D54" s="54">
        <f t="array" ref="D54">population!D48</f>
        <v/>
      </c>
      <c r="E54" s="54">
        <f t="array" ref="E54">population!E48</f>
        <v/>
      </c>
      <c r="F54" s="54">
        <f t="array" ref="F54">population!F48</f>
        <v/>
      </c>
      <c r="G54" s="54">
        <f t="array" ref="G54">population!G48</f>
        <v/>
      </c>
      <c r="H54" s="54">
        <f t="array" ref="H54">population!H48</f>
        <v/>
      </c>
      <c r="I54" s="54">
        <f t="array" ref="I54">population!I48</f>
        <v/>
      </c>
      <c r="J54" s="54">
        <f t="array" ref="J54">population!J48</f>
        <v/>
      </c>
      <c r="K54" s="54">
        <f t="array" ref="K54">population!K48</f>
        <v/>
      </c>
      <c r="L54" s="54" t="n"/>
    </row>
    <row r="55" ht="20.1" customHeight="1" s="206">
      <c r="A55" s="156">
        <f t="array" ref="A55">population!$A49</f>
        <v/>
      </c>
      <c r="B55" s="54" t="n"/>
      <c r="C55" s="54">
        <f t="array" ref="C55">population!C49</f>
        <v/>
      </c>
      <c r="D55" s="54">
        <f t="array" ref="D55">population!D49</f>
        <v/>
      </c>
      <c r="E55" s="54">
        <f t="array" ref="E55">population!E49</f>
        <v/>
      </c>
      <c r="F55" s="54">
        <f t="array" ref="F55">population!F49</f>
        <v/>
      </c>
      <c r="G55" s="54">
        <f t="array" ref="G55">population!G49</f>
        <v/>
      </c>
      <c r="H55" s="54">
        <f t="array" ref="H55">population!H49</f>
        <v/>
      </c>
      <c r="I55" s="54">
        <f t="array" ref="I55">population!I49</f>
        <v/>
      </c>
      <c r="J55" s="54">
        <f t="array" ref="J55">population!J49</f>
        <v/>
      </c>
      <c r="K55" s="54">
        <f t="array" ref="K55">population!K49</f>
        <v/>
      </c>
      <c r="L55" s="54" t="n"/>
    </row>
    <row r="56" ht="20.1" customHeight="1" s="206">
      <c r="A56" s="156">
        <f t="array" ref="A56">population!$A50</f>
        <v/>
      </c>
      <c r="B56" s="54" t="n"/>
      <c r="C56" s="54">
        <f t="array" ref="C56">population!C50</f>
        <v/>
      </c>
      <c r="D56" s="54">
        <f t="array" ref="D56">population!D50</f>
        <v/>
      </c>
      <c r="E56" s="54">
        <f t="array" ref="E56">population!E50</f>
        <v/>
      </c>
      <c r="F56" s="54">
        <f t="array" ref="F56">population!F50</f>
        <v/>
      </c>
      <c r="G56" s="54">
        <f t="array" ref="G56">population!G50</f>
        <v/>
      </c>
      <c r="H56" s="54">
        <f t="array" ref="H56">population!H50</f>
        <v/>
      </c>
      <c r="I56" s="54">
        <f t="array" ref="I56">population!I50</f>
        <v/>
      </c>
      <c r="J56" s="54">
        <f t="array" ref="J56">population!J50</f>
        <v/>
      </c>
      <c r="K56" s="54">
        <f t="array" ref="K56">population!K50</f>
        <v/>
      </c>
      <c r="L56" s="54" t="n"/>
    </row>
    <row r="57" ht="20.1" customHeight="1" s="206">
      <c r="A57" s="156">
        <f t="array" ref="A57">population!$A51</f>
        <v/>
      </c>
      <c r="B57" s="54" t="n"/>
      <c r="C57" s="54">
        <f t="array" ref="C57">population!C51</f>
        <v/>
      </c>
      <c r="D57" s="54">
        <f t="array" ref="D57">population!D51</f>
        <v/>
      </c>
      <c r="E57" s="54">
        <f t="array" ref="E57">population!E51</f>
        <v/>
      </c>
      <c r="F57" s="54">
        <f t="array" ref="F57">population!F51</f>
        <v/>
      </c>
      <c r="G57" s="54">
        <f t="array" ref="G57">population!G51</f>
        <v/>
      </c>
      <c r="H57" s="54">
        <f t="array" ref="H57">population!H51</f>
        <v/>
      </c>
      <c r="I57" s="54">
        <f t="array" ref="I57">population!I51</f>
        <v/>
      </c>
      <c r="J57" s="54">
        <f t="array" ref="J57">population!J51</f>
        <v/>
      </c>
      <c r="K57" s="54">
        <f t="array" ref="K57">population!K51</f>
        <v/>
      </c>
      <c r="L57" s="54" t="n"/>
    </row>
    <row r="58" ht="20.1" customHeight="1" s="206">
      <c r="A58" s="156">
        <f t="array" ref="A58">population!$A52</f>
        <v/>
      </c>
      <c r="B58" s="54" t="n"/>
      <c r="C58" s="54">
        <f t="array" ref="C58">population!C52</f>
        <v/>
      </c>
      <c r="D58" s="54">
        <f t="array" ref="D58">population!D52</f>
        <v/>
      </c>
      <c r="E58" s="54">
        <f t="array" ref="E58">population!E52</f>
        <v/>
      </c>
      <c r="F58" s="54">
        <f t="array" ref="F58">population!F52</f>
        <v/>
      </c>
      <c r="G58" s="54">
        <f t="array" ref="G58">population!G52</f>
        <v/>
      </c>
      <c r="H58" s="54">
        <f t="array" ref="H58">population!H52</f>
        <v/>
      </c>
      <c r="I58" s="54">
        <f t="array" ref="I58">population!I52</f>
        <v/>
      </c>
      <c r="J58" s="54">
        <f t="array" ref="J58">population!J52</f>
        <v/>
      </c>
      <c r="K58" s="54">
        <f t="array" ref="K58">population!K52</f>
        <v/>
      </c>
      <c r="L58" s="54" t="n"/>
    </row>
    <row r="59" ht="20.1" customHeight="1" s="206">
      <c r="A59" s="156">
        <f t="array" ref="A59">population!$A53</f>
        <v/>
      </c>
      <c r="B59" s="54" t="n"/>
      <c r="C59" s="54">
        <f t="array" ref="C59">population!C53</f>
        <v/>
      </c>
      <c r="D59" s="54">
        <f t="array" ref="D59">population!D53</f>
        <v/>
      </c>
      <c r="E59" s="54">
        <f t="array" ref="E59">population!E53</f>
        <v/>
      </c>
      <c r="F59" s="54">
        <f t="array" ref="F59">population!F53</f>
        <v/>
      </c>
      <c r="G59" s="54">
        <f t="array" ref="G59">population!G53</f>
        <v/>
      </c>
      <c r="H59" s="54">
        <f t="array" ref="H59">population!H53</f>
        <v/>
      </c>
      <c r="I59" s="54">
        <f t="array" ref="I59">population!I53</f>
        <v/>
      </c>
      <c r="J59" s="54">
        <f t="array" ref="J59">population!J53</f>
        <v/>
      </c>
      <c r="K59" s="54">
        <f t="array" ref="K59">population!K53</f>
        <v/>
      </c>
      <c r="L59" s="54" t="n"/>
    </row>
    <row r="60" ht="20.1" customHeight="1" s="206">
      <c r="A60" s="156">
        <f t="array" ref="A60">population!$A54</f>
        <v/>
      </c>
      <c r="B60" s="54" t="n"/>
      <c r="C60" s="54">
        <f t="array" ref="C60">population!C54</f>
        <v/>
      </c>
      <c r="D60" s="54">
        <f t="array" ref="D60">population!D54</f>
        <v/>
      </c>
      <c r="E60" s="54">
        <f t="array" ref="E60">population!E54</f>
        <v/>
      </c>
      <c r="F60" s="54">
        <f t="array" ref="F60">population!F54</f>
        <v/>
      </c>
      <c r="G60" s="54">
        <f t="array" ref="G60">population!G54</f>
        <v/>
      </c>
      <c r="H60" s="54">
        <f t="array" ref="H60">population!H54</f>
        <v/>
      </c>
      <c r="I60" s="54">
        <f t="array" ref="I60">population!I54</f>
        <v/>
      </c>
      <c r="J60" s="54">
        <f t="array" ref="J60">population!J54</f>
        <v/>
      </c>
      <c r="K60" s="54">
        <f t="array" ref="K60">population!K54</f>
        <v/>
      </c>
      <c r="L60" s="54" t="n"/>
    </row>
    <row r="61" ht="20.1" customHeight="1" s="206">
      <c r="A61" s="156">
        <f t="array" ref="A61">population!$A55</f>
        <v/>
      </c>
      <c r="B61" s="54" t="n"/>
      <c r="C61" s="54">
        <f t="array" ref="C61">population!C55</f>
        <v/>
      </c>
      <c r="D61" s="54">
        <f t="array" ref="D61">population!D55</f>
        <v/>
      </c>
      <c r="E61" s="54">
        <f t="array" ref="E61">population!E55</f>
        <v/>
      </c>
      <c r="F61" s="54">
        <f t="array" ref="F61">population!F55</f>
        <v/>
      </c>
      <c r="G61" s="54">
        <f t="array" ref="G61">population!G55</f>
        <v/>
      </c>
      <c r="H61" s="54">
        <f t="array" ref="H61">population!H55</f>
        <v/>
      </c>
      <c r="I61" s="54">
        <f t="array" ref="I61">population!I55</f>
        <v/>
      </c>
      <c r="J61" s="54">
        <f t="array" ref="J61">population!J55</f>
        <v/>
      </c>
      <c r="K61" s="54">
        <f t="array" ref="K61">population!K55</f>
        <v/>
      </c>
      <c r="L61" s="54" t="n"/>
    </row>
    <row r="62" ht="20.1" customHeight="1" s="206">
      <c r="A62" s="156">
        <f t="array" ref="A62">population!$A56</f>
        <v/>
      </c>
      <c r="B62" s="54" t="n"/>
      <c r="C62" s="54">
        <f t="array" ref="C62">population!C56</f>
        <v/>
      </c>
      <c r="D62" s="54">
        <f t="array" ref="D62">population!D56</f>
        <v/>
      </c>
      <c r="E62" s="54">
        <f t="array" ref="E62">population!E56</f>
        <v/>
      </c>
      <c r="F62" s="54">
        <f t="array" ref="F62">population!F56</f>
        <v/>
      </c>
      <c r="G62" s="54">
        <f t="array" ref="G62">population!G56</f>
        <v/>
      </c>
      <c r="H62" s="54">
        <f t="array" ref="H62">population!H56</f>
        <v/>
      </c>
      <c r="I62" s="54">
        <f t="array" ref="I62">population!I56</f>
        <v/>
      </c>
      <c r="J62" s="54">
        <f t="array" ref="J62">population!J56</f>
        <v/>
      </c>
      <c r="K62" s="54">
        <f t="array" ref="K62">population!K56</f>
        <v/>
      </c>
      <c r="L62" s="54" t="n"/>
    </row>
    <row r="63" ht="20.1" customHeight="1" s="206">
      <c r="A63" s="156">
        <f t="array" ref="A63">population!$A57</f>
        <v/>
      </c>
      <c r="B63" s="54" t="n"/>
      <c r="C63" s="54">
        <f t="array" ref="C63">population!C57</f>
        <v/>
      </c>
      <c r="D63" s="54">
        <f t="array" ref="D63">population!D57</f>
        <v/>
      </c>
      <c r="E63" s="54">
        <f t="array" ref="E63">population!E57</f>
        <v/>
      </c>
      <c r="F63" s="54">
        <f t="array" ref="F63">population!F57</f>
        <v/>
      </c>
      <c r="G63" s="54">
        <f t="array" ref="G63">population!G57</f>
        <v/>
      </c>
      <c r="H63" s="54">
        <f t="array" ref="H63">population!H57</f>
        <v/>
      </c>
      <c r="I63" s="54">
        <f t="array" ref="I63">population!I57</f>
        <v/>
      </c>
      <c r="J63" s="54">
        <f t="array" ref="J63">population!J57</f>
        <v/>
      </c>
      <c r="K63" s="54">
        <f t="array" ref="K63">population!K57</f>
        <v/>
      </c>
      <c r="L63" s="54" t="n"/>
    </row>
    <row r="64" ht="20.1" customHeight="1" s="206">
      <c r="A64" s="156">
        <f t="array" ref="A64">population!$A58</f>
        <v/>
      </c>
      <c r="B64" s="54" t="n"/>
      <c r="C64" s="54">
        <f t="array" ref="C64">population!C58</f>
        <v/>
      </c>
      <c r="D64" s="54">
        <f t="array" ref="D64">population!D58</f>
        <v/>
      </c>
      <c r="E64" s="54">
        <f t="array" ref="E64">population!E58</f>
        <v/>
      </c>
      <c r="F64" s="54">
        <f t="array" ref="F64">population!F58</f>
        <v/>
      </c>
      <c r="G64" s="54">
        <f t="array" ref="G64">population!G58</f>
        <v/>
      </c>
      <c r="H64" s="54">
        <f t="array" ref="H64">population!H58</f>
        <v/>
      </c>
      <c r="I64" s="54">
        <f t="array" ref="I64">population!I58</f>
        <v/>
      </c>
      <c r="J64" s="54">
        <f t="array" ref="J64">population!J58</f>
        <v/>
      </c>
      <c r="K64" s="54">
        <f t="array" ref="K64">population!K58</f>
        <v/>
      </c>
      <c r="L64" s="54" t="n"/>
    </row>
    <row r="65" ht="20.1" customHeight="1" s="206">
      <c r="A65" s="156">
        <f t="array" ref="A65">population!$A59</f>
        <v/>
      </c>
      <c r="B65" s="54" t="n"/>
      <c r="C65" s="54">
        <f t="array" ref="C65">population!C59</f>
        <v/>
      </c>
      <c r="D65" s="54">
        <f t="array" ref="D65">population!D59</f>
        <v/>
      </c>
      <c r="E65" s="54">
        <f t="array" ref="E65">population!E59</f>
        <v/>
      </c>
      <c r="F65" s="54">
        <f t="array" ref="F65">population!F59</f>
        <v/>
      </c>
      <c r="G65" s="54">
        <f t="array" ref="G65">population!G59</f>
        <v/>
      </c>
      <c r="H65" s="54">
        <f t="array" ref="H65">population!H59</f>
        <v/>
      </c>
      <c r="I65" s="54">
        <f t="array" ref="I65">population!I59</f>
        <v/>
      </c>
      <c r="J65" s="54">
        <f t="array" ref="J65">population!J59</f>
        <v/>
      </c>
      <c r="K65" s="54">
        <f t="array" ref="K65">population!K59</f>
        <v/>
      </c>
      <c r="L65" s="54" t="n"/>
    </row>
    <row r="66" ht="20.1" customHeight="1" s="206">
      <c r="A66" s="156">
        <f t="array" ref="A66">population!$A60</f>
        <v/>
      </c>
      <c r="B66" s="54" t="n"/>
      <c r="C66" s="54">
        <f t="array" ref="C66">population!C60</f>
        <v/>
      </c>
      <c r="D66" s="54">
        <f t="array" ref="D66">population!D60</f>
        <v/>
      </c>
      <c r="E66" s="54">
        <f t="array" ref="E66">population!E60</f>
        <v/>
      </c>
      <c r="F66" s="54">
        <f t="array" ref="F66">population!F60</f>
        <v/>
      </c>
      <c r="G66" s="54">
        <f t="array" ref="G66">population!G60</f>
        <v/>
      </c>
      <c r="H66" s="54">
        <f t="array" ref="H66">population!H60</f>
        <v/>
      </c>
      <c r="I66" s="54">
        <f t="array" ref="I66">population!I60</f>
        <v/>
      </c>
      <c r="J66" s="54">
        <f t="array" ref="J66">population!J60</f>
        <v/>
      </c>
      <c r="K66" s="54">
        <f t="array" ref="K66">population!K60</f>
        <v/>
      </c>
      <c r="L66" s="54" t="n"/>
    </row>
    <row r="67" ht="20.1" customHeight="1" s="206">
      <c r="A67" s="156">
        <f t="array" ref="A67">population!$A61</f>
        <v/>
      </c>
      <c r="B67" s="54" t="n"/>
      <c r="C67" s="54">
        <f t="array" ref="C67">population!C61</f>
        <v/>
      </c>
      <c r="D67" s="54">
        <f t="array" ref="D67">population!D61</f>
        <v/>
      </c>
      <c r="E67" s="54">
        <f t="array" ref="E67">population!E61</f>
        <v/>
      </c>
      <c r="F67" s="54">
        <f t="array" ref="F67">population!F61</f>
        <v/>
      </c>
      <c r="G67" s="54">
        <f t="array" ref="G67">population!G61</f>
        <v/>
      </c>
      <c r="H67" s="54">
        <f t="array" ref="H67">population!H61</f>
        <v/>
      </c>
      <c r="I67" s="54">
        <f t="array" ref="I67">population!I61</f>
        <v/>
      </c>
      <c r="J67" s="54">
        <f t="array" ref="J67">population!J61</f>
        <v/>
      </c>
      <c r="K67" s="54">
        <f t="array" ref="K67">population!K61</f>
        <v/>
      </c>
      <c r="L67" s="54" t="n"/>
    </row>
    <row r="68" ht="20.1" customHeight="1" s="206">
      <c r="A68" s="156">
        <f t="array" ref="A68">population!$A62</f>
        <v/>
      </c>
      <c r="B68" s="54" t="n"/>
      <c r="C68" s="54">
        <f t="array" ref="C68">population!C62</f>
        <v/>
      </c>
      <c r="D68" s="54">
        <f t="array" ref="D68">population!D62</f>
        <v/>
      </c>
      <c r="E68" s="54">
        <f t="array" ref="E68">population!E62</f>
        <v/>
      </c>
      <c r="F68" s="54">
        <f t="array" ref="F68">population!F62</f>
        <v/>
      </c>
      <c r="G68" s="54">
        <f t="array" ref="G68">population!G62</f>
        <v/>
      </c>
      <c r="H68" s="54">
        <f t="array" ref="H68">population!H62</f>
        <v/>
      </c>
      <c r="I68" s="54">
        <f t="array" ref="I68">population!I62</f>
        <v/>
      </c>
      <c r="J68" s="54">
        <f t="array" ref="J68">population!J62</f>
        <v/>
      </c>
      <c r="K68" s="54">
        <f t="array" ref="K68">population!K62</f>
        <v/>
      </c>
      <c r="L68" s="54" t="n"/>
    </row>
    <row r="69" ht="20.1" customHeight="1" s="206">
      <c r="A69" s="156">
        <f t="array" ref="A69">population!$A63</f>
        <v/>
      </c>
      <c r="B69" s="54" t="n"/>
      <c r="C69" s="54">
        <f t="array" ref="C69">population!C63</f>
        <v/>
      </c>
      <c r="D69" s="54">
        <f t="array" ref="D69">population!D63</f>
        <v/>
      </c>
      <c r="E69" s="54">
        <f t="array" ref="E69">population!E63</f>
        <v/>
      </c>
      <c r="F69" s="54">
        <f t="array" ref="F69">population!F63</f>
        <v/>
      </c>
      <c r="G69" s="54">
        <f t="array" ref="G69">population!G63</f>
        <v/>
      </c>
      <c r="H69" s="54">
        <f t="array" ref="H69">population!H63</f>
        <v/>
      </c>
      <c r="I69" s="54">
        <f t="array" ref="I69">population!I63</f>
        <v/>
      </c>
      <c r="J69" s="54">
        <f t="array" ref="J69">population!J63</f>
        <v/>
      </c>
      <c r="K69" s="54">
        <f t="array" ref="K69">population!K63</f>
        <v/>
      </c>
      <c r="L69" s="54" t="n"/>
    </row>
    <row r="70" ht="20.1" customHeight="1" s="206">
      <c r="A70" s="156">
        <f t="array" ref="A70">population!$A64</f>
        <v/>
      </c>
      <c r="B70" s="54" t="n"/>
      <c r="C70" s="54">
        <f t="array" ref="C70">population!C64</f>
        <v/>
      </c>
      <c r="D70" s="54">
        <f t="array" ref="D70">population!D64</f>
        <v/>
      </c>
      <c r="E70" s="54">
        <f t="array" ref="E70">population!E64</f>
        <v/>
      </c>
      <c r="F70" s="54">
        <f t="array" ref="F70">population!F64</f>
        <v/>
      </c>
      <c r="G70" s="54">
        <f t="array" ref="G70">population!G64</f>
        <v/>
      </c>
      <c r="H70" s="54">
        <f t="array" ref="H70">population!H64</f>
        <v/>
      </c>
      <c r="I70" s="54">
        <f t="array" ref="I70">population!I64</f>
        <v/>
      </c>
      <c r="J70" s="54">
        <f t="array" ref="J70">population!J64</f>
        <v/>
      </c>
      <c r="K70" s="54">
        <f t="array" ref="K70">population!K64</f>
        <v/>
      </c>
      <c r="L70" s="54" t="n"/>
    </row>
    <row r="71" ht="20.1" customHeight="1" s="206">
      <c r="A71" s="156">
        <f t="array" ref="A71">population!$A65</f>
        <v/>
      </c>
      <c r="B71" s="54" t="n"/>
      <c r="C71" s="54">
        <f t="array" ref="C71">population!C65</f>
        <v/>
      </c>
      <c r="D71" s="54">
        <f t="array" ref="D71">population!D65</f>
        <v/>
      </c>
      <c r="E71" s="54">
        <f t="array" ref="E71">population!E65</f>
        <v/>
      </c>
      <c r="F71" s="54">
        <f t="array" ref="F71">population!F65</f>
        <v/>
      </c>
      <c r="G71" s="54">
        <f t="array" ref="G71">population!G65</f>
        <v/>
      </c>
      <c r="H71" s="54">
        <f t="array" ref="H71">population!H65</f>
        <v/>
      </c>
      <c r="I71" s="54">
        <f t="array" ref="I71">population!I65</f>
        <v/>
      </c>
      <c r="J71" s="54">
        <f t="array" ref="J71">population!J65</f>
        <v/>
      </c>
      <c r="K71" s="54">
        <f t="array" ref="K71">population!K65</f>
        <v/>
      </c>
      <c r="L71" s="54" t="n"/>
    </row>
    <row r="72" ht="20.1" customHeight="1" s="206">
      <c r="A72" s="156">
        <f t="array" ref="A72">population!$A66</f>
        <v/>
      </c>
      <c r="B72" s="54" t="n"/>
      <c r="C72" s="54">
        <f t="array" ref="C72">population!C66</f>
        <v/>
      </c>
      <c r="D72" s="54">
        <f t="array" ref="D72">population!D66</f>
        <v/>
      </c>
      <c r="E72" s="54">
        <f t="array" ref="E72">population!E66</f>
        <v/>
      </c>
      <c r="F72" s="54">
        <f t="array" ref="F72">population!F66</f>
        <v/>
      </c>
      <c r="G72" s="54">
        <f t="array" ref="G72">population!G66</f>
        <v/>
      </c>
      <c r="H72" s="54">
        <f t="array" ref="H72">population!H66</f>
        <v/>
      </c>
      <c r="I72" s="54">
        <f t="array" ref="I72">population!I66</f>
        <v/>
      </c>
      <c r="J72" s="54">
        <f t="array" ref="J72">population!J66</f>
        <v/>
      </c>
      <c r="K72" s="54">
        <f t="array" ref="K72">population!K66</f>
        <v/>
      </c>
      <c r="L72" s="54" t="n"/>
    </row>
    <row r="73" ht="20.1" customHeight="1" s="206">
      <c r="A73" s="156">
        <f t="array" ref="A73">population!$A67</f>
        <v/>
      </c>
      <c r="B73" s="54" t="n"/>
      <c r="C73" s="54">
        <f t="array" ref="C73">population!C67</f>
        <v/>
      </c>
      <c r="D73" s="54">
        <f t="array" ref="D73">population!D67</f>
        <v/>
      </c>
      <c r="E73" s="54">
        <f t="array" ref="E73">population!E67</f>
        <v/>
      </c>
      <c r="F73" s="54">
        <f t="array" ref="F73">population!F67</f>
        <v/>
      </c>
      <c r="G73" s="54">
        <f t="array" ref="G73">population!G67</f>
        <v/>
      </c>
      <c r="H73" s="54">
        <f t="array" ref="H73">population!H67</f>
        <v/>
      </c>
      <c r="I73" s="54">
        <f t="array" ref="I73">population!I67</f>
        <v/>
      </c>
      <c r="J73" s="54">
        <f t="array" ref="J73">population!J67</f>
        <v/>
      </c>
      <c r="K73" s="54">
        <f t="array" ref="K73">population!K67</f>
        <v/>
      </c>
      <c r="L73" s="54" t="n"/>
    </row>
    <row r="74" ht="20.1" customHeight="1" s="206">
      <c r="A74" s="156">
        <f t="array" ref="A74">population!$A68</f>
        <v/>
      </c>
      <c r="B74" s="54" t="n"/>
      <c r="C74" s="54">
        <f t="array" ref="C74">population!C68</f>
        <v/>
      </c>
      <c r="D74" s="54">
        <f t="array" ref="D74">population!D68</f>
        <v/>
      </c>
      <c r="E74" s="54">
        <f t="array" ref="E74">population!E68</f>
        <v/>
      </c>
      <c r="F74" s="54">
        <f t="array" ref="F74">population!F68</f>
        <v/>
      </c>
      <c r="G74" s="54">
        <f t="array" ref="G74">population!G68</f>
        <v/>
      </c>
      <c r="H74" s="54">
        <f t="array" ref="H74">population!H68</f>
        <v/>
      </c>
      <c r="I74" s="54">
        <f t="array" ref="I74">population!I68</f>
        <v/>
      </c>
      <c r="J74" s="54">
        <f t="array" ref="J74">population!J68</f>
        <v/>
      </c>
      <c r="K74" s="54">
        <f t="array" ref="K74">population!K68</f>
        <v/>
      </c>
      <c r="L74" s="54" t="n"/>
    </row>
    <row r="75" ht="20.1" customHeight="1" s="206">
      <c r="A75" s="156">
        <f t="array" ref="A75">population!$A69</f>
        <v/>
      </c>
      <c r="B75" s="54" t="n"/>
      <c r="C75" s="54">
        <f t="array" ref="C75">population!C69</f>
        <v/>
      </c>
      <c r="D75" s="54">
        <f t="array" ref="D75">population!D69</f>
        <v/>
      </c>
      <c r="E75" s="54">
        <f t="array" ref="E75">population!E69</f>
        <v/>
      </c>
      <c r="F75" s="54">
        <f t="array" ref="F75">population!F69</f>
        <v/>
      </c>
      <c r="G75" s="54">
        <f t="array" ref="G75">population!G69</f>
        <v/>
      </c>
      <c r="H75" s="54">
        <f t="array" ref="H75">population!H69</f>
        <v/>
      </c>
      <c r="I75" s="54">
        <f t="array" ref="I75">population!I69</f>
        <v/>
      </c>
      <c r="J75" s="54">
        <f t="array" ref="J75">population!J69</f>
        <v/>
      </c>
      <c r="K75" s="54">
        <f t="array" ref="K75">population!K69</f>
        <v/>
      </c>
      <c r="L75" s="54" t="n"/>
    </row>
    <row r="76" ht="20.1" customHeight="1" s="206">
      <c r="A76" s="156">
        <f t="array" ref="A76">population!$A70</f>
        <v/>
      </c>
      <c r="B76" s="54" t="n"/>
      <c r="C76" s="54">
        <f t="array" ref="C76">population!C70</f>
        <v/>
      </c>
      <c r="D76" s="54">
        <f t="array" ref="D76">population!D70</f>
        <v/>
      </c>
      <c r="E76" s="54">
        <f t="array" ref="E76">population!E70</f>
        <v/>
      </c>
      <c r="F76" s="54">
        <f t="array" ref="F76">population!F70</f>
        <v/>
      </c>
      <c r="G76" s="54">
        <f t="array" ref="G76">population!G70</f>
        <v/>
      </c>
      <c r="H76" s="54">
        <f t="array" ref="H76">population!H70</f>
        <v/>
      </c>
      <c r="I76" s="54">
        <f t="array" ref="I76">population!I70</f>
        <v/>
      </c>
      <c r="J76" s="54">
        <f t="array" ref="J76">population!J70</f>
        <v/>
      </c>
      <c r="K76" s="54">
        <f t="array" ref="K76">population!K70</f>
        <v/>
      </c>
      <c r="L76" s="54" t="n"/>
    </row>
    <row r="77" ht="20.1" customHeight="1" s="206">
      <c r="A77" s="156">
        <f t="array" ref="A77">population!$A71</f>
        <v/>
      </c>
      <c r="B77" s="54" t="n"/>
      <c r="C77" s="54">
        <f t="array" ref="C77">population!C71</f>
        <v/>
      </c>
      <c r="D77" s="54">
        <f t="array" ref="D77">population!D71</f>
        <v/>
      </c>
      <c r="E77" s="54">
        <f t="array" ref="E77">population!E71</f>
        <v/>
      </c>
      <c r="F77" s="54">
        <f t="array" ref="F77">population!F71</f>
        <v/>
      </c>
      <c r="G77" s="54">
        <f t="array" ref="G77">population!G71</f>
        <v/>
      </c>
      <c r="H77" s="54">
        <f t="array" ref="H77">population!H71</f>
        <v/>
      </c>
      <c r="I77" s="54">
        <f t="array" ref="I77">population!I71</f>
        <v/>
      </c>
      <c r="J77" s="54">
        <f t="array" ref="J77">population!J71</f>
        <v/>
      </c>
      <c r="K77" s="54">
        <f t="array" ref="K77">population!K71</f>
        <v/>
      </c>
      <c r="L77" s="54" t="n"/>
    </row>
    <row r="78" ht="20.1" customHeight="1" s="206">
      <c r="A78" s="156">
        <f t="array" ref="A78">population!$A72</f>
        <v/>
      </c>
      <c r="B78" s="54" t="n"/>
      <c r="C78" s="54">
        <f t="array" ref="C78">population!C72</f>
        <v/>
      </c>
      <c r="D78" s="54">
        <f t="array" ref="D78">population!D72</f>
        <v/>
      </c>
      <c r="E78" s="54">
        <f t="array" ref="E78">population!E72</f>
        <v/>
      </c>
      <c r="F78" s="54">
        <f t="array" ref="F78">population!F72</f>
        <v/>
      </c>
      <c r="G78" s="54">
        <f t="array" ref="G78">population!G72</f>
        <v/>
      </c>
      <c r="H78" s="54">
        <f t="array" ref="H78">population!H72</f>
        <v/>
      </c>
      <c r="I78" s="54">
        <f t="array" ref="I78">population!I72</f>
        <v/>
      </c>
      <c r="J78" s="54">
        <f t="array" ref="J78">population!J72</f>
        <v/>
      </c>
      <c r="K78" s="54">
        <f t="array" ref="K78">population!K72</f>
        <v/>
      </c>
      <c r="L78" s="54" t="n"/>
    </row>
    <row r="79" ht="20.1" customHeight="1" s="206">
      <c r="A79" s="156">
        <f t="array" ref="A79">population!$A73</f>
        <v/>
      </c>
      <c r="B79" s="54" t="n"/>
      <c r="C79" s="54">
        <f t="array" ref="C79">population!C73</f>
        <v/>
      </c>
      <c r="D79" s="54">
        <f t="array" ref="D79">population!D73</f>
        <v/>
      </c>
      <c r="E79" s="54">
        <f t="array" ref="E79">population!E73</f>
        <v/>
      </c>
      <c r="F79" s="54">
        <f t="array" ref="F79">population!F73</f>
        <v/>
      </c>
      <c r="G79" s="54">
        <f t="array" ref="G79">population!G73</f>
        <v/>
      </c>
      <c r="H79" s="54">
        <f t="array" ref="H79">population!H73</f>
        <v/>
      </c>
      <c r="I79" s="54">
        <f t="array" ref="I79">population!I73</f>
        <v/>
      </c>
      <c r="J79" s="54">
        <f t="array" ref="J79">population!J73</f>
        <v/>
      </c>
      <c r="K79" s="54">
        <f t="array" ref="K79">population!K73</f>
        <v/>
      </c>
      <c r="L79" s="54" t="n"/>
    </row>
    <row r="80" ht="20.1" customHeight="1" s="206">
      <c r="A80" s="156">
        <f t="array" ref="A80">population!$A74</f>
        <v/>
      </c>
      <c r="B80" s="54" t="n"/>
      <c r="C80" s="54">
        <f t="array" ref="C80">population!C74</f>
        <v/>
      </c>
      <c r="D80" s="54">
        <f t="array" ref="D80">population!D74</f>
        <v/>
      </c>
      <c r="E80" s="54">
        <f t="array" ref="E80">population!E74</f>
        <v/>
      </c>
      <c r="F80" s="54">
        <f t="array" ref="F80">population!F74</f>
        <v/>
      </c>
      <c r="G80" s="54">
        <f t="array" ref="G80">population!G74</f>
        <v/>
      </c>
      <c r="H80" s="54">
        <f t="array" ref="H80">population!H74</f>
        <v/>
      </c>
      <c r="I80" s="54">
        <f t="array" ref="I80">population!I74</f>
        <v/>
      </c>
      <c r="J80" s="54">
        <f t="array" ref="J80">population!J74</f>
        <v/>
      </c>
      <c r="K80" s="54">
        <f t="array" ref="K80">population!K74</f>
        <v/>
      </c>
      <c r="L80" s="54" t="n"/>
    </row>
    <row r="81" ht="20.1" customHeight="1" s="206">
      <c r="A81" s="156">
        <f t="array" ref="A81">population!$A75</f>
        <v/>
      </c>
      <c r="B81" s="54" t="n"/>
      <c r="C81" s="54">
        <f t="array" ref="C81">population!C75</f>
        <v/>
      </c>
      <c r="D81" s="54">
        <f t="array" ref="D81">population!D75</f>
        <v/>
      </c>
      <c r="E81" s="54">
        <f t="array" ref="E81">population!E75</f>
        <v/>
      </c>
      <c r="F81" s="54">
        <f t="array" ref="F81">population!F75</f>
        <v/>
      </c>
      <c r="G81" s="54">
        <f t="array" ref="G81">population!G75</f>
        <v/>
      </c>
      <c r="H81" s="54">
        <f t="array" ref="H81">population!H75</f>
        <v/>
      </c>
      <c r="I81" s="54">
        <f t="array" ref="I81">population!I75</f>
        <v/>
      </c>
      <c r="J81" s="54">
        <f t="array" ref="J81">population!J75</f>
        <v/>
      </c>
      <c r="K81" s="54">
        <f t="array" ref="K81">population!K75</f>
        <v/>
      </c>
      <c r="L81" s="54" t="n"/>
    </row>
    <row r="82" ht="20.1" customHeight="1" s="206">
      <c r="A82" s="156">
        <f t="array" ref="A82">population!$A76</f>
        <v/>
      </c>
      <c r="B82" s="54" t="n"/>
      <c r="C82" s="54">
        <f t="array" ref="C82">population!C76</f>
        <v/>
      </c>
      <c r="D82" s="54">
        <f t="array" ref="D82">population!D76</f>
        <v/>
      </c>
      <c r="E82" s="54">
        <f t="array" ref="E82">population!E76</f>
        <v/>
      </c>
      <c r="F82" s="54">
        <f t="array" ref="F82">population!F76</f>
        <v/>
      </c>
      <c r="G82" s="54">
        <f t="array" ref="G82">population!G76</f>
        <v/>
      </c>
      <c r="H82" s="54">
        <f t="array" ref="H82">population!H76</f>
        <v/>
      </c>
      <c r="I82" s="54">
        <f t="array" ref="I82">population!I76</f>
        <v/>
      </c>
      <c r="J82" s="54">
        <f t="array" ref="J82">population!J76</f>
        <v/>
      </c>
      <c r="K82" s="54">
        <f t="array" ref="K82">population!K76</f>
        <v/>
      </c>
      <c r="L82" s="54" t="n"/>
    </row>
    <row r="83" ht="20.1" customHeight="1" s="206">
      <c r="A83" s="156">
        <f t="array" ref="A83">population!$A77</f>
        <v/>
      </c>
      <c r="B83" s="54" t="n"/>
      <c r="C83" s="54">
        <f t="array" ref="C83">population!C77</f>
        <v/>
      </c>
      <c r="D83" s="54">
        <f t="array" ref="D83">population!D77</f>
        <v/>
      </c>
      <c r="E83" s="54">
        <f t="array" ref="E83">population!E77</f>
        <v/>
      </c>
      <c r="F83" s="54">
        <f t="array" ref="F83">population!F77</f>
        <v/>
      </c>
      <c r="G83" s="54">
        <f t="array" ref="G83">population!G77</f>
        <v/>
      </c>
      <c r="H83" s="54">
        <f t="array" ref="H83">population!H77</f>
        <v/>
      </c>
      <c r="I83" s="54">
        <f t="array" ref="I83">population!I77</f>
        <v/>
      </c>
      <c r="J83" s="54">
        <f t="array" ref="J83">population!J77</f>
        <v/>
      </c>
      <c r="K83" s="54">
        <f t="array" ref="K83">population!K77</f>
        <v/>
      </c>
      <c r="L83" s="54" t="n"/>
    </row>
    <row r="84" ht="20.1" customHeight="1" s="206">
      <c r="A84" s="156">
        <f t="array" ref="A84">population!$A78</f>
        <v/>
      </c>
      <c r="B84" s="54" t="n"/>
      <c r="C84" s="54">
        <f t="array" ref="C84">population!C78</f>
        <v/>
      </c>
      <c r="D84" s="54">
        <f t="array" ref="D84">population!D78</f>
        <v/>
      </c>
      <c r="E84" s="54">
        <f t="array" ref="E84">population!E78</f>
        <v/>
      </c>
      <c r="F84" s="54">
        <f t="array" ref="F84">population!F78</f>
        <v/>
      </c>
      <c r="G84" s="54">
        <f t="array" ref="G84">population!G78</f>
        <v/>
      </c>
      <c r="H84" s="54">
        <f t="array" ref="H84">population!H78</f>
        <v/>
      </c>
      <c r="I84" s="54">
        <f t="array" ref="I84">population!I78</f>
        <v/>
      </c>
      <c r="J84" s="54">
        <f t="array" ref="J84">population!J78</f>
        <v/>
      </c>
      <c r="K84" s="54">
        <f t="array" ref="K84">population!K78</f>
        <v/>
      </c>
      <c r="L84" s="54" t="n"/>
    </row>
    <row r="85" ht="20.1" customHeight="1" s="206">
      <c r="A85" s="156">
        <f t="array" ref="A85">population!$A79</f>
        <v/>
      </c>
      <c r="B85" s="54" t="n"/>
      <c r="C85" s="54">
        <f t="array" ref="C85">population!C79</f>
        <v/>
      </c>
      <c r="D85" s="54">
        <f t="array" ref="D85">population!D79</f>
        <v/>
      </c>
      <c r="E85" s="54">
        <f t="array" ref="E85">population!E79</f>
        <v/>
      </c>
      <c r="F85" s="54">
        <f t="array" ref="F85">population!F79</f>
        <v/>
      </c>
      <c r="G85" s="54">
        <f t="array" ref="G85">population!G79</f>
        <v/>
      </c>
      <c r="H85" s="54">
        <f t="array" ref="H85">population!H79</f>
        <v/>
      </c>
      <c r="I85" s="54">
        <f t="array" ref="I85">population!I79</f>
        <v/>
      </c>
      <c r="J85" s="54">
        <f t="array" ref="J85">population!J79</f>
        <v/>
      </c>
      <c r="K85" s="54">
        <f t="array" ref="K85">population!K79</f>
        <v/>
      </c>
      <c r="L85" s="54" t="n"/>
    </row>
    <row r="86" ht="20.1" customHeight="1" s="206">
      <c r="A86" s="156">
        <f t="array" ref="A86">population!$A80</f>
        <v/>
      </c>
      <c r="B86" s="54" t="n"/>
      <c r="C86" s="54">
        <f t="array" ref="C86">population!C80</f>
        <v/>
      </c>
      <c r="D86" s="54">
        <f t="array" ref="D86">population!D80</f>
        <v/>
      </c>
      <c r="E86" s="54">
        <f t="array" ref="E86">population!E80</f>
        <v/>
      </c>
      <c r="F86" s="54">
        <f t="array" ref="F86">population!F80</f>
        <v/>
      </c>
      <c r="G86" s="54">
        <f t="array" ref="G86">population!G80</f>
        <v/>
      </c>
      <c r="H86" s="54">
        <f t="array" ref="H86">population!H80</f>
        <v/>
      </c>
      <c r="I86" s="54">
        <f t="array" ref="I86">population!I80</f>
        <v/>
      </c>
      <c r="J86" s="54">
        <f t="array" ref="J86">population!J80</f>
        <v/>
      </c>
      <c r="K86" s="54">
        <f t="array" ref="K86">population!K80</f>
        <v/>
      </c>
      <c r="L86" s="54" t="n"/>
    </row>
    <row r="87" ht="20.1" customHeight="1" s="206">
      <c r="A87" s="156">
        <f t="array" ref="A87">population!$A81</f>
        <v/>
      </c>
      <c r="B87" s="54" t="n"/>
      <c r="C87" s="54">
        <f t="array" ref="C87">population!C81</f>
        <v/>
      </c>
      <c r="D87" s="54">
        <f t="array" ref="D87">population!D81</f>
        <v/>
      </c>
      <c r="E87" s="54">
        <f t="array" ref="E87">population!E81</f>
        <v/>
      </c>
      <c r="F87" s="54">
        <f t="array" ref="F87">population!F81</f>
        <v/>
      </c>
      <c r="G87" s="54">
        <f t="array" ref="G87">population!G81</f>
        <v/>
      </c>
      <c r="H87" s="54">
        <f t="array" ref="H87">population!H81</f>
        <v/>
      </c>
      <c r="I87" s="54">
        <f t="array" ref="I87">population!I81</f>
        <v/>
      </c>
      <c r="J87" s="54">
        <f t="array" ref="J87">population!J81</f>
        <v/>
      </c>
      <c r="K87" s="54">
        <f t="array" ref="K87">population!K81</f>
        <v/>
      </c>
      <c r="L87" s="54" t="n"/>
    </row>
    <row r="88" ht="20.1" customHeight="1" s="206">
      <c r="A88" s="156">
        <f t="array" ref="A88">population!$A82</f>
        <v/>
      </c>
      <c r="B88" s="54" t="n"/>
      <c r="C88" s="54">
        <f t="array" ref="C88">population!C82</f>
        <v/>
      </c>
      <c r="D88" s="54">
        <f t="array" ref="D88">population!D82</f>
        <v/>
      </c>
      <c r="E88" s="54">
        <f t="array" ref="E88">population!E82</f>
        <v/>
      </c>
      <c r="F88" s="54">
        <f t="array" ref="F88">population!F82</f>
        <v/>
      </c>
      <c r="G88" s="54">
        <f t="array" ref="G88">population!G82</f>
        <v/>
      </c>
      <c r="H88" s="54">
        <f t="array" ref="H88">population!H82</f>
        <v/>
      </c>
      <c r="I88" s="54">
        <f t="array" ref="I88">population!I82</f>
        <v/>
      </c>
      <c r="J88" s="54">
        <f t="array" ref="J88">population!J82</f>
        <v/>
      </c>
      <c r="K88" s="54">
        <f t="array" ref="K88">population!K82</f>
        <v/>
      </c>
      <c r="L88" s="54" t="n"/>
    </row>
    <row r="89" ht="20.1" customHeight="1" s="206">
      <c r="A89" s="156">
        <f t="array" ref="A89">population!$A83</f>
        <v/>
      </c>
      <c r="B89" s="54" t="n"/>
      <c r="C89" s="54">
        <f t="array" ref="C89">population!C83</f>
        <v/>
      </c>
      <c r="D89" s="54">
        <f t="array" ref="D89">population!D83</f>
        <v/>
      </c>
      <c r="E89" s="54">
        <f t="array" ref="E89">population!E83</f>
        <v/>
      </c>
      <c r="F89" s="54">
        <f t="array" ref="F89">population!F83</f>
        <v/>
      </c>
      <c r="G89" s="54">
        <f t="array" ref="G89">population!G83</f>
        <v/>
      </c>
      <c r="H89" s="54">
        <f t="array" ref="H89">population!H83</f>
        <v/>
      </c>
      <c r="I89" s="54">
        <f t="array" ref="I89">population!I83</f>
        <v/>
      </c>
      <c r="J89" s="54">
        <f t="array" ref="J89">population!J83</f>
        <v/>
      </c>
      <c r="K89" s="54">
        <f t="array" ref="K89">population!K83</f>
        <v/>
      </c>
      <c r="L89" s="54" t="n"/>
    </row>
    <row r="90" ht="20.1" customHeight="1" s="206">
      <c r="A90" s="156">
        <f t="array" ref="A90">population!$A84</f>
        <v/>
      </c>
      <c r="B90" s="54" t="n"/>
      <c r="C90" s="54">
        <f t="array" ref="C90">population!C84</f>
        <v/>
      </c>
      <c r="D90" s="54">
        <f t="array" ref="D90">population!D84</f>
        <v/>
      </c>
      <c r="E90" s="54">
        <f t="array" ref="E90">population!E84</f>
        <v/>
      </c>
      <c r="F90" s="54">
        <f t="array" ref="F90">population!F84</f>
        <v/>
      </c>
      <c r="G90" s="54">
        <f t="array" ref="G90">population!G84</f>
        <v/>
      </c>
      <c r="H90" s="54">
        <f t="array" ref="H90">population!H84</f>
        <v/>
      </c>
      <c r="I90" s="54">
        <f t="array" ref="I90">population!I84</f>
        <v/>
      </c>
      <c r="J90" s="54">
        <f t="array" ref="J90">population!J84</f>
        <v/>
      </c>
      <c r="K90" s="54">
        <f t="array" ref="K90">population!K84</f>
        <v/>
      </c>
      <c r="L90" s="54" t="n"/>
    </row>
    <row r="91" ht="20.1" customHeight="1" s="206">
      <c r="A91" s="156">
        <f t="array" ref="A91">population!$A85</f>
        <v/>
      </c>
      <c r="B91" s="54" t="n"/>
      <c r="C91" s="54">
        <f t="array" ref="C91">population!C85</f>
        <v/>
      </c>
      <c r="D91" s="54">
        <f t="array" ref="D91">population!D85</f>
        <v/>
      </c>
      <c r="E91" s="54">
        <f t="array" ref="E91">population!E85</f>
        <v/>
      </c>
      <c r="F91" s="54">
        <f t="array" ref="F91">population!F85</f>
        <v/>
      </c>
      <c r="G91" s="54">
        <f t="array" ref="G91">population!G85</f>
        <v/>
      </c>
      <c r="H91" s="54">
        <f t="array" ref="H91">population!H85</f>
        <v/>
      </c>
      <c r="I91" s="54">
        <f t="array" ref="I91">population!I85</f>
        <v/>
      </c>
      <c r="J91" s="54">
        <f t="array" ref="J91">population!J85</f>
        <v/>
      </c>
      <c r="K91" s="54">
        <f t="array" ref="K91">population!K85</f>
        <v/>
      </c>
      <c r="L91" s="54" t="n"/>
    </row>
    <row r="92" ht="20.1" customHeight="1" s="206">
      <c r="A92" s="156">
        <f t="array" ref="A92">population!$A86</f>
        <v/>
      </c>
      <c r="B92" s="54" t="n"/>
      <c r="C92" s="54">
        <f t="array" ref="C92">population!C86</f>
        <v/>
      </c>
      <c r="D92" s="54">
        <f t="array" ref="D92">population!D86</f>
        <v/>
      </c>
      <c r="E92" s="54">
        <f t="array" ref="E92">population!E86</f>
        <v/>
      </c>
      <c r="F92" s="54">
        <f t="array" ref="F92">population!F86</f>
        <v/>
      </c>
      <c r="G92" s="54">
        <f t="array" ref="G92">population!G86</f>
        <v/>
      </c>
      <c r="H92" s="54">
        <f t="array" ref="H92">population!H86</f>
        <v/>
      </c>
      <c r="I92" s="54">
        <f t="array" ref="I92">population!I86</f>
        <v/>
      </c>
      <c r="J92" s="54">
        <f t="array" ref="J92">population!J86</f>
        <v/>
      </c>
      <c r="K92" s="54">
        <f t="array" ref="K92">population!K86</f>
        <v/>
      </c>
      <c r="L92" s="54" t="n"/>
    </row>
    <row r="93" ht="20.1" customHeight="1" s="206">
      <c r="A93" s="156">
        <f t="array" ref="A93">population!$A87</f>
        <v/>
      </c>
      <c r="B93" s="54" t="n"/>
      <c r="C93" s="54">
        <f t="array" ref="C93">population!C87</f>
        <v/>
      </c>
      <c r="D93" s="54">
        <f t="array" ref="D93">population!D87</f>
        <v/>
      </c>
      <c r="E93" s="54">
        <f t="array" ref="E93">population!E87</f>
        <v/>
      </c>
      <c r="F93" s="54">
        <f t="array" ref="F93">population!F87</f>
        <v/>
      </c>
      <c r="G93" s="54">
        <f t="array" ref="G93">population!G87</f>
        <v/>
      </c>
      <c r="H93" s="54">
        <f t="array" ref="H93">population!H87</f>
        <v/>
      </c>
      <c r="I93" s="54">
        <f t="array" ref="I93">population!I87</f>
        <v/>
      </c>
      <c r="J93" s="54">
        <f t="array" ref="J93">population!J87</f>
        <v/>
      </c>
      <c r="K93" s="54">
        <f t="array" ref="K93">population!K87</f>
        <v/>
      </c>
      <c r="L93" s="54" t="n"/>
    </row>
    <row r="94" ht="20.1" customHeight="1" s="206">
      <c r="A94" s="156">
        <f t="array" ref="A94">population!$A88</f>
        <v/>
      </c>
      <c r="B94" s="54" t="n"/>
      <c r="C94" s="54">
        <f t="array" ref="C94">population!C88</f>
        <v/>
      </c>
      <c r="D94" s="54">
        <f t="array" ref="D94">population!D88</f>
        <v/>
      </c>
      <c r="E94" s="54">
        <f t="array" ref="E94">population!E88</f>
        <v/>
      </c>
      <c r="F94" s="54">
        <f t="array" ref="F94">population!F88</f>
        <v/>
      </c>
      <c r="G94" s="54">
        <f t="array" ref="G94">population!G88</f>
        <v/>
      </c>
      <c r="H94" s="54">
        <f t="array" ref="H94">population!H88</f>
        <v/>
      </c>
      <c r="I94" s="54">
        <f t="array" ref="I94">population!I88</f>
        <v/>
      </c>
      <c r="J94" s="54">
        <f t="array" ref="J94">population!J88</f>
        <v/>
      </c>
      <c r="K94" s="54">
        <f t="array" ref="K94">population!K88</f>
        <v/>
      </c>
      <c r="L94" s="54" t="n"/>
    </row>
    <row r="95" ht="20.1" customHeight="1" s="206">
      <c r="A95" s="156">
        <f t="array" ref="A95">population!$A89</f>
        <v/>
      </c>
      <c r="B95" s="54" t="n"/>
      <c r="C95" s="54">
        <f t="array" ref="C95">population!C89</f>
        <v/>
      </c>
      <c r="D95" s="54">
        <f t="array" ref="D95">population!D89</f>
        <v/>
      </c>
      <c r="E95" s="54">
        <f t="array" ref="E95">population!E89</f>
        <v/>
      </c>
      <c r="F95" s="54">
        <f t="array" ref="F95">population!F89</f>
        <v/>
      </c>
      <c r="G95" s="54">
        <f t="array" ref="G95">population!G89</f>
        <v/>
      </c>
      <c r="H95" s="54">
        <f t="array" ref="H95">population!H89</f>
        <v/>
      </c>
      <c r="I95" s="54">
        <f t="array" ref="I95">population!I89</f>
        <v/>
      </c>
      <c r="J95" s="54">
        <f t="array" ref="J95">population!J89</f>
        <v/>
      </c>
      <c r="K95" s="54">
        <f t="array" ref="K95">population!K89</f>
        <v/>
      </c>
      <c r="L95" s="54" t="n"/>
    </row>
    <row r="96" ht="20.1" customHeight="1" s="206">
      <c r="A96" s="156">
        <f t="array" ref="A96">population!$A90</f>
        <v/>
      </c>
      <c r="B96" s="54" t="n"/>
      <c r="C96" s="54">
        <f t="array" ref="C96">population!C90</f>
        <v/>
      </c>
      <c r="D96" s="54">
        <f t="array" ref="D96">population!D90</f>
        <v/>
      </c>
      <c r="E96" s="54">
        <f t="array" ref="E96">population!E90</f>
        <v/>
      </c>
      <c r="F96" s="54">
        <f t="array" ref="F96">population!F90</f>
        <v/>
      </c>
      <c r="G96" s="54">
        <f t="array" ref="G96">population!G90</f>
        <v/>
      </c>
      <c r="H96" s="54">
        <f t="array" ref="H96">population!H90</f>
        <v/>
      </c>
      <c r="I96" s="54">
        <f t="array" ref="I96">population!I90</f>
        <v/>
      </c>
      <c r="J96" s="54">
        <f t="array" ref="J96">population!J90</f>
        <v/>
      </c>
      <c r="K96" s="54">
        <f t="array" ref="K96">population!K90</f>
        <v/>
      </c>
      <c r="L96" s="54" t="n"/>
    </row>
    <row r="97" ht="20.1" customHeight="1" s="206">
      <c r="A97" s="156">
        <f t="array" ref="A97">population!$A91</f>
        <v/>
      </c>
      <c r="B97" s="54" t="n"/>
      <c r="C97" s="54">
        <f t="array" ref="C97">population!C91</f>
        <v/>
      </c>
      <c r="D97" s="54">
        <f t="array" ref="D97">population!D91</f>
        <v/>
      </c>
      <c r="E97" s="54">
        <f t="array" ref="E97">population!E91</f>
        <v/>
      </c>
      <c r="F97" s="54">
        <f t="array" ref="F97">population!F91</f>
        <v/>
      </c>
      <c r="G97" s="54">
        <f t="array" ref="G97">population!G91</f>
        <v/>
      </c>
      <c r="H97" s="54">
        <f t="array" ref="H97">population!H91</f>
        <v/>
      </c>
      <c r="I97" s="54">
        <f t="array" ref="I97">population!I91</f>
        <v/>
      </c>
      <c r="J97" s="54">
        <f t="array" ref="J97">population!J91</f>
        <v/>
      </c>
      <c r="K97" s="54">
        <f t="array" ref="K97">population!K91</f>
        <v/>
      </c>
      <c r="L97" s="54" t="n"/>
    </row>
    <row r="98" ht="20.1" customHeight="1" s="206">
      <c r="A98" s="156">
        <f t="array" ref="A98">population!$A92</f>
        <v/>
      </c>
      <c r="B98" s="54" t="n"/>
      <c r="C98" s="54">
        <f t="array" ref="C98">population!C92</f>
        <v/>
      </c>
      <c r="D98" s="54">
        <f t="array" ref="D98">population!D92</f>
        <v/>
      </c>
      <c r="E98" s="54">
        <f t="array" ref="E98">population!E92</f>
        <v/>
      </c>
      <c r="F98" s="54">
        <f t="array" ref="F98">population!F92</f>
        <v/>
      </c>
      <c r="G98" s="54">
        <f t="array" ref="G98">population!G92</f>
        <v/>
      </c>
      <c r="H98" s="54">
        <f t="array" ref="H98">population!H92</f>
        <v/>
      </c>
      <c r="I98" s="54">
        <f t="array" ref="I98">population!I92</f>
        <v/>
      </c>
      <c r="J98" s="54">
        <f t="array" ref="J98">population!J92</f>
        <v/>
      </c>
      <c r="K98" s="54">
        <f t="array" ref="K98">population!K92</f>
        <v/>
      </c>
      <c r="L98" s="54" t="n"/>
    </row>
    <row r="99" ht="20.1" customHeight="1" s="206">
      <c r="A99" s="156">
        <f t="array" ref="A99">population!$A93</f>
        <v/>
      </c>
      <c r="B99" s="54" t="n"/>
      <c r="C99" s="54">
        <f t="array" ref="C99">population!C93</f>
        <v/>
      </c>
      <c r="D99" s="54">
        <f t="array" ref="D99">population!D93</f>
        <v/>
      </c>
      <c r="E99" s="54">
        <f t="array" ref="E99">population!E93</f>
        <v/>
      </c>
      <c r="F99" s="54">
        <f t="array" ref="F99">population!F93</f>
        <v/>
      </c>
      <c r="G99" s="54">
        <f t="array" ref="G99">population!G93</f>
        <v/>
      </c>
      <c r="H99" s="54">
        <f t="array" ref="H99">population!H93</f>
        <v/>
      </c>
      <c r="I99" s="54">
        <f t="array" ref="I99">population!I93</f>
        <v/>
      </c>
      <c r="J99" s="54">
        <f t="array" ref="J99">population!J93</f>
        <v/>
      </c>
      <c r="K99" s="54">
        <f t="array" ref="K99">population!K93</f>
        <v/>
      </c>
      <c r="L99" s="54" t="n"/>
    </row>
    <row r="100" ht="20.1" customHeight="1" s="206">
      <c r="A100" s="156">
        <f t="array" ref="A100">population!$A94</f>
        <v/>
      </c>
      <c r="B100" s="54" t="n"/>
      <c r="C100" s="54">
        <f t="array" ref="C100">population!C94</f>
        <v/>
      </c>
      <c r="D100" s="54">
        <f t="array" ref="D100">population!D94</f>
        <v/>
      </c>
      <c r="E100" s="54">
        <f t="array" ref="E100">population!E94</f>
        <v/>
      </c>
      <c r="F100" s="54">
        <f t="array" ref="F100">population!F94</f>
        <v/>
      </c>
      <c r="G100" s="54">
        <f t="array" ref="G100">population!G94</f>
        <v/>
      </c>
      <c r="H100" s="54">
        <f t="array" ref="H100">population!H94</f>
        <v/>
      </c>
      <c r="I100" s="54">
        <f t="array" ref="I100">population!I94</f>
        <v/>
      </c>
      <c r="J100" s="54">
        <f t="array" ref="J100">population!J94</f>
        <v/>
      </c>
      <c r="K100" s="54">
        <f t="array" ref="K100">population!K94</f>
        <v/>
      </c>
      <c r="L100" s="54" t="n"/>
    </row>
    <row r="101" ht="20.1" customHeight="1" s="206">
      <c r="A101" s="156">
        <f t="array" ref="A101">population!$A95</f>
        <v/>
      </c>
      <c r="B101" s="54" t="n"/>
      <c r="C101" s="54">
        <f t="array" ref="C101">population!C95</f>
        <v/>
      </c>
      <c r="D101" s="54">
        <f t="array" ref="D101">population!D95</f>
        <v/>
      </c>
      <c r="E101" s="54">
        <f t="array" ref="E101">population!E95</f>
        <v/>
      </c>
      <c r="F101" s="54">
        <f t="array" ref="F101">population!F95</f>
        <v/>
      </c>
      <c r="G101" s="54">
        <f t="array" ref="G101">population!G95</f>
        <v/>
      </c>
      <c r="H101" s="54">
        <f t="array" ref="H101">population!H95</f>
        <v/>
      </c>
      <c r="I101" s="54">
        <f t="array" ref="I101">population!I95</f>
        <v/>
      </c>
      <c r="J101" s="54">
        <f t="array" ref="J101">population!J95</f>
        <v/>
      </c>
      <c r="K101" s="54">
        <f t="array" ref="K101">population!K95</f>
        <v/>
      </c>
      <c r="L101" s="54" t="n"/>
    </row>
    <row r="102" ht="20.1" customHeight="1" s="206">
      <c r="A102" s="156">
        <f t="array" ref="A102">population!$A96</f>
        <v/>
      </c>
      <c r="B102" s="54" t="n"/>
      <c r="C102" s="54">
        <f t="array" ref="C102">population!C96</f>
        <v/>
      </c>
      <c r="D102" s="54">
        <f t="array" ref="D102">population!D96</f>
        <v/>
      </c>
      <c r="E102" s="54">
        <f t="array" ref="E102">population!E96</f>
        <v/>
      </c>
      <c r="F102" s="54">
        <f t="array" ref="F102">population!F96</f>
        <v/>
      </c>
      <c r="G102" s="54">
        <f t="array" ref="G102">population!G96</f>
        <v/>
      </c>
      <c r="H102" s="54">
        <f t="array" ref="H102">population!H96</f>
        <v/>
      </c>
      <c r="I102" s="54">
        <f t="array" ref="I102">population!I96</f>
        <v/>
      </c>
      <c r="J102" s="54">
        <f t="array" ref="J102">population!J96</f>
        <v/>
      </c>
      <c r="K102" s="54">
        <f t="array" ref="K102">population!K96</f>
        <v/>
      </c>
      <c r="L102" s="54" t="n"/>
    </row>
    <row r="103" ht="20.1" customHeight="1" s="206">
      <c r="A103" s="156">
        <f t="array" ref="A103">population!$A97</f>
        <v/>
      </c>
      <c r="B103" s="54" t="n"/>
      <c r="C103" s="54">
        <f t="array" ref="C103">population!C97</f>
        <v/>
      </c>
      <c r="D103" s="54">
        <f t="array" ref="D103">population!D97</f>
        <v/>
      </c>
      <c r="E103" s="54">
        <f t="array" ref="E103">population!E97</f>
        <v/>
      </c>
      <c r="F103" s="54">
        <f t="array" ref="F103">population!F97</f>
        <v/>
      </c>
      <c r="G103" s="54">
        <f t="array" ref="G103">population!G97</f>
        <v/>
      </c>
      <c r="H103" s="54">
        <f t="array" ref="H103">population!H97</f>
        <v/>
      </c>
      <c r="I103" s="54">
        <f t="array" ref="I103">population!I97</f>
        <v/>
      </c>
      <c r="J103" s="54">
        <f t="array" ref="J103">population!J97</f>
        <v/>
      </c>
      <c r="K103" s="54">
        <f t="array" ref="K103">population!K97</f>
        <v/>
      </c>
      <c r="L103" s="54" t="n"/>
    </row>
    <row r="104" ht="20.1" customHeight="1" s="206">
      <c r="A104" s="156">
        <f t="array" ref="A104">population!$A98</f>
        <v/>
      </c>
      <c r="B104" s="54" t="n"/>
      <c r="C104" s="54">
        <f t="array" ref="C104">population!C98</f>
        <v/>
      </c>
      <c r="D104" s="54">
        <f t="array" ref="D104">population!D98</f>
        <v/>
      </c>
      <c r="E104" s="54">
        <f t="array" ref="E104">population!E98</f>
        <v/>
      </c>
      <c r="F104" s="54">
        <f t="array" ref="F104">population!F98</f>
        <v/>
      </c>
      <c r="G104" s="54">
        <f t="array" ref="G104">population!G98</f>
        <v/>
      </c>
      <c r="H104" s="54">
        <f t="array" ref="H104">population!H98</f>
        <v/>
      </c>
      <c r="I104" s="54">
        <f t="array" ref="I104">population!I98</f>
        <v/>
      </c>
      <c r="J104" s="54">
        <f t="array" ref="J104">population!J98</f>
        <v/>
      </c>
      <c r="K104" s="54">
        <f t="array" ref="K104">population!K98</f>
        <v/>
      </c>
      <c r="L104" s="54" t="n"/>
    </row>
    <row r="105" ht="20.1" customHeight="1" s="206">
      <c r="A105" s="156">
        <f t="array" ref="A105">population!$A99</f>
        <v/>
      </c>
      <c r="B105" s="54" t="n"/>
      <c r="C105" s="54">
        <f t="array" ref="C105">population!C99</f>
        <v/>
      </c>
      <c r="D105" s="54">
        <f t="array" ref="D105">population!D99</f>
        <v/>
      </c>
      <c r="E105" s="54">
        <f t="array" ref="E105">population!E99</f>
        <v/>
      </c>
      <c r="F105" s="54">
        <f t="array" ref="F105">population!F99</f>
        <v/>
      </c>
      <c r="G105" s="54">
        <f t="array" ref="G105">population!G99</f>
        <v/>
      </c>
      <c r="H105" s="54">
        <f t="array" ref="H105">population!H99</f>
        <v/>
      </c>
      <c r="I105" s="54">
        <f t="array" ref="I105">population!I99</f>
        <v/>
      </c>
      <c r="J105" s="54">
        <f t="array" ref="J105">population!J99</f>
        <v/>
      </c>
      <c r="K105" s="54">
        <f t="array" ref="K105">population!K99</f>
        <v/>
      </c>
      <c r="L105" s="54" t="n"/>
    </row>
    <row r="106" ht="20.1" customHeight="1" s="206">
      <c r="A106" s="156">
        <f t="array" ref="A106">population!$A100</f>
        <v/>
      </c>
      <c r="B106" s="54" t="n"/>
      <c r="C106" s="54">
        <f t="array" ref="C106">population!C100</f>
        <v/>
      </c>
      <c r="D106" s="54">
        <f t="array" ref="D106">population!D100</f>
        <v/>
      </c>
      <c r="E106" s="54">
        <f t="array" ref="E106">population!E100</f>
        <v/>
      </c>
      <c r="F106" s="54">
        <f t="array" ref="F106">population!F100</f>
        <v/>
      </c>
      <c r="G106" s="54">
        <f t="array" ref="G106">population!G100</f>
        <v/>
      </c>
      <c r="H106" s="54">
        <f t="array" ref="H106">population!H100</f>
        <v/>
      </c>
      <c r="I106" s="54">
        <f t="array" ref="I106">population!I100</f>
        <v/>
      </c>
      <c r="J106" s="54">
        <f t="array" ref="J106">population!J100</f>
        <v/>
      </c>
      <c r="K106" s="54">
        <f t="array" ref="K106">population!K100</f>
        <v/>
      </c>
      <c r="L106" s="54" t="n"/>
    </row>
    <row r="107" ht="20.1" customHeight="1" s="206">
      <c r="A107" s="156">
        <f t="array" ref="A107">population!$A101</f>
        <v/>
      </c>
      <c r="B107" s="54" t="n"/>
      <c r="C107" s="54">
        <f t="array" ref="C107">population!C101</f>
        <v/>
      </c>
      <c r="D107" s="54">
        <f t="array" ref="D107">population!D101</f>
        <v/>
      </c>
      <c r="E107" s="54">
        <f t="array" ref="E107">population!E101</f>
        <v/>
      </c>
      <c r="F107" s="54">
        <f t="array" ref="F107">population!F101</f>
        <v/>
      </c>
      <c r="G107" s="54">
        <f t="array" ref="G107">population!G101</f>
        <v/>
      </c>
      <c r="H107" s="54">
        <f t="array" ref="H107">population!H101</f>
        <v/>
      </c>
      <c r="I107" s="54">
        <f t="array" ref="I107">population!I101</f>
        <v/>
      </c>
      <c r="J107" s="54">
        <f t="array" ref="J107">population!J101</f>
        <v/>
      </c>
      <c r="K107" s="54">
        <f t="array" ref="K107">population!K101</f>
        <v/>
      </c>
      <c r="L107" s="54" t="n"/>
    </row>
    <row r="108" ht="20.1" customHeight="1" s="206">
      <c r="A108" s="156">
        <f t="array" ref="A108">population!$A102</f>
        <v/>
      </c>
      <c r="B108" s="54" t="n"/>
      <c r="C108" s="54">
        <f t="array" ref="C108">population!C102</f>
        <v/>
      </c>
      <c r="D108" s="54">
        <f t="array" ref="D108">population!D102</f>
        <v/>
      </c>
      <c r="E108" s="54">
        <f t="array" ref="E108">population!E102</f>
        <v/>
      </c>
      <c r="F108" s="54">
        <f t="array" ref="F108">population!F102</f>
        <v/>
      </c>
      <c r="G108" s="54">
        <f t="array" ref="G108">population!G102</f>
        <v/>
      </c>
      <c r="H108" s="54">
        <f t="array" ref="H108">population!H102</f>
        <v/>
      </c>
      <c r="I108" s="54">
        <f t="array" ref="I108">population!I102</f>
        <v/>
      </c>
      <c r="J108" s="54">
        <f t="array" ref="J108">population!J102</f>
        <v/>
      </c>
      <c r="K108" s="54">
        <f t="array" ref="K108">population!K102</f>
        <v/>
      </c>
      <c r="L108" s="54" t="n"/>
    </row>
    <row r="109" ht="20.1" customHeight="1" s="206">
      <c r="A109" s="156">
        <f t="array" ref="A109">population!$A103</f>
        <v/>
      </c>
      <c r="B109" s="54" t="n"/>
      <c r="C109" s="54">
        <f t="array" ref="C109">population!C103</f>
        <v/>
      </c>
      <c r="D109" s="54">
        <f t="array" ref="D109">population!D103</f>
        <v/>
      </c>
      <c r="E109" s="54">
        <f t="array" ref="E109">population!E103</f>
        <v/>
      </c>
      <c r="F109" s="54">
        <f t="array" ref="F109">population!F103</f>
        <v/>
      </c>
      <c r="G109" s="54">
        <f t="array" ref="G109">population!G103</f>
        <v/>
      </c>
      <c r="H109" s="54">
        <f t="array" ref="H109">population!H103</f>
        <v/>
      </c>
      <c r="I109" s="54">
        <f t="array" ref="I109">population!I103</f>
        <v/>
      </c>
      <c r="J109" s="54">
        <f t="array" ref="J109">population!J103</f>
        <v/>
      </c>
      <c r="K109" s="54">
        <f t="array" ref="K109">population!K103</f>
        <v/>
      </c>
      <c r="L109" s="54" t="n"/>
    </row>
    <row r="110" ht="20.1" customHeight="1" s="206">
      <c r="A110" s="156">
        <f t="array" ref="A110">population!$A104</f>
        <v/>
      </c>
      <c r="B110" s="54" t="n"/>
      <c r="C110" s="54">
        <f t="array" ref="C110">population!C104</f>
        <v/>
      </c>
      <c r="D110" s="54">
        <f t="array" ref="D110">population!D104</f>
        <v/>
      </c>
      <c r="E110" s="54">
        <f t="array" ref="E110">population!E104</f>
        <v/>
      </c>
      <c r="F110" s="54">
        <f t="array" ref="F110">population!F104</f>
        <v/>
      </c>
      <c r="G110" s="54">
        <f t="array" ref="G110">population!G104</f>
        <v/>
      </c>
      <c r="H110" s="54">
        <f t="array" ref="H110">population!H104</f>
        <v/>
      </c>
      <c r="I110" s="54">
        <f t="array" ref="I110">population!I104</f>
        <v/>
      </c>
      <c r="J110" s="54">
        <f t="array" ref="J110">population!J104</f>
        <v/>
      </c>
      <c r="K110" s="54">
        <f t="array" ref="K110">population!K104</f>
        <v/>
      </c>
      <c r="L110" s="54" t="n"/>
    </row>
    <row r="111" ht="20.1" customHeight="1" s="206">
      <c r="A111" s="156">
        <f t="array" ref="A111">population!$A105</f>
        <v/>
      </c>
      <c r="B111" s="54" t="n"/>
      <c r="C111" s="54">
        <f t="array" ref="C111">population!C105</f>
        <v/>
      </c>
      <c r="D111" s="54">
        <f t="array" ref="D111">population!D105</f>
        <v/>
      </c>
      <c r="E111" s="54">
        <f t="array" ref="E111">population!E105</f>
        <v/>
      </c>
      <c r="F111" s="54">
        <f t="array" ref="F111">population!F105</f>
        <v/>
      </c>
      <c r="G111" s="54">
        <f t="array" ref="G111">population!G105</f>
        <v/>
      </c>
      <c r="H111" s="54">
        <f t="array" ref="H111">population!H105</f>
        <v/>
      </c>
      <c r="I111" s="54">
        <f t="array" ref="I111">population!I105</f>
        <v/>
      </c>
      <c r="J111" s="54">
        <f t="array" ref="J111">population!J105</f>
        <v/>
      </c>
      <c r="K111" s="54">
        <f t="array" ref="K111">population!K105</f>
        <v/>
      </c>
      <c r="L111" s="54" t="n"/>
    </row>
    <row r="112" ht="20.1" customHeight="1" s="206">
      <c r="A112" s="156">
        <f t="array" ref="A112">population!$A106</f>
        <v/>
      </c>
      <c r="B112" s="54" t="n"/>
      <c r="C112" s="54">
        <f t="array" ref="C112">population!C106</f>
        <v/>
      </c>
      <c r="D112" s="54">
        <f t="array" ref="D112">population!D106</f>
        <v/>
      </c>
      <c r="E112" s="54">
        <f t="array" ref="E112">population!E106</f>
        <v/>
      </c>
      <c r="F112" s="54">
        <f t="array" ref="F112">population!F106</f>
        <v/>
      </c>
      <c r="G112" s="54">
        <f t="array" ref="G112">population!G106</f>
        <v/>
      </c>
      <c r="H112" s="54">
        <f t="array" ref="H112">population!H106</f>
        <v/>
      </c>
      <c r="I112" s="54">
        <f t="array" ref="I112">population!I106</f>
        <v/>
      </c>
      <c r="J112" s="54">
        <f t="array" ref="J112">population!J106</f>
        <v/>
      </c>
      <c r="K112" s="54">
        <f t="array" ref="K112">population!K106</f>
        <v/>
      </c>
      <c r="L112" s="54" t="n"/>
    </row>
    <row r="113" ht="20.1" customHeight="1" s="206">
      <c r="A113" s="156">
        <f t="array" ref="A113">population!$A107</f>
        <v/>
      </c>
      <c r="B113" s="54" t="n"/>
      <c r="C113" s="54">
        <f t="array" ref="C113">population!C107</f>
        <v/>
      </c>
      <c r="D113" s="54">
        <f t="array" ref="D113">population!D107</f>
        <v/>
      </c>
      <c r="E113" s="54">
        <f t="array" ref="E113">population!E107</f>
        <v/>
      </c>
      <c r="F113" s="54">
        <f t="array" ref="F113">population!F107</f>
        <v/>
      </c>
      <c r="G113" s="54">
        <f t="array" ref="G113">population!G107</f>
        <v/>
      </c>
      <c r="H113" s="54">
        <f t="array" ref="H113">population!H107</f>
        <v/>
      </c>
      <c r="I113" s="54">
        <f t="array" ref="I113">population!I107</f>
        <v/>
      </c>
      <c r="J113" s="54">
        <f t="array" ref="J113">population!J107</f>
        <v/>
      </c>
      <c r="K113" s="54">
        <f t="array" ref="K113">population!K107</f>
        <v/>
      </c>
      <c r="L113" s="54" t="n"/>
    </row>
    <row r="114" ht="20.1" customHeight="1" s="206">
      <c r="A114" s="156">
        <f t="array" ref="A114">population!$A108</f>
        <v/>
      </c>
      <c r="B114" s="54" t="n"/>
      <c r="C114" s="54">
        <f t="array" ref="C114">population!C108</f>
        <v/>
      </c>
      <c r="D114" s="54">
        <f t="array" ref="D114">population!D108</f>
        <v/>
      </c>
      <c r="E114" s="54">
        <f t="array" ref="E114">population!E108</f>
        <v/>
      </c>
      <c r="F114" s="54">
        <f t="array" ref="F114">population!F108</f>
        <v/>
      </c>
      <c r="G114" s="54">
        <f t="array" ref="G114">population!G108</f>
        <v/>
      </c>
      <c r="H114" s="54">
        <f t="array" ref="H114">population!H108</f>
        <v/>
      </c>
      <c r="I114" s="54">
        <f t="array" ref="I114">population!I108</f>
        <v/>
      </c>
      <c r="J114" s="54">
        <f t="array" ref="J114">population!J108</f>
        <v/>
      </c>
      <c r="K114" s="54">
        <f t="array" ref="K114">population!K108</f>
        <v/>
      </c>
      <c r="L114" s="54" t="n"/>
    </row>
    <row r="115" ht="20.1" customHeight="1" s="206">
      <c r="A115" s="156">
        <f t="array" ref="A115">population!$A109</f>
        <v/>
      </c>
      <c r="B115" s="54" t="n"/>
      <c r="C115" s="54">
        <f t="array" ref="C115">population!C109</f>
        <v/>
      </c>
      <c r="D115" s="54">
        <f t="array" ref="D115">population!D109</f>
        <v/>
      </c>
      <c r="E115" s="54">
        <f t="array" ref="E115">population!E109</f>
        <v/>
      </c>
      <c r="F115" s="54">
        <f t="array" ref="F115">population!F109</f>
        <v/>
      </c>
      <c r="G115" s="54">
        <f t="array" ref="G115">population!G109</f>
        <v/>
      </c>
      <c r="H115" s="54">
        <f t="array" ref="H115">population!H109</f>
        <v/>
      </c>
      <c r="I115" s="54">
        <f t="array" ref="I115">population!I109</f>
        <v/>
      </c>
      <c r="J115" s="54">
        <f t="array" ref="J115">population!J109</f>
        <v/>
      </c>
      <c r="K115" s="54">
        <f t="array" ref="K115">population!K109</f>
        <v/>
      </c>
      <c r="L115" s="54" t="n"/>
    </row>
    <row r="116" ht="44.1" customHeight="1" s="206">
      <c r="A116" s="156">
        <f t="array" ref="A116">population!$A111</f>
        <v/>
      </c>
      <c r="B116" s="54" t="n"/>
      <c r="C116" s="52">
        <f t="array" ref="C116">population!C111</f>
        <v/>
      </c>
      <c r="D116" s="54" t="n"/>
      <c r="E116" s="54" t="n"/>
      <c r="F116" s="54" t="n"/>
      <c r="G116" s="54" t="n"/>
      <c r="H116" s="54" t="n"/>
      <c r="I116" s="54" t="n"/>
      <c r="J116" s="54" t="n"/>
      <c r="K116" s="54" t="n"/>
      <c r="L116" s="54" t="n"/>
    </row>
    <row r="117" ht="20.1" customHeight="1" s="206">
      <c r="A117" s="156" t="n"/>
      <c r="B117" s="54" t="n"/>
      <c r="C117" s="54" t="n"/>
      <c r="D117" s="54" t="n"/>
      <c r="E117" s="54" t="n"/>
      <c r="F117" s="54" t="n"/>
      <c r="G117" s="54" t="n"/>
      <c r="H117" s="54" t="n"/>
      <c r="I117" s="54" t="n"/>
      <c r="J117" s="54" t="n"/>
      <c r="K117" s="54" t="n"/>
      <c r="L117" s="54" t="n"/>
    </row>
    <row r="118" ht="26.85" customHeight="1" s="206">
      <c r="A118" s="20" t="n"/>
      <c r="B118" s="21" t="inlineStr">
        <is>
          <t>Births</t>
        </is>
      </c>
      <c r="C118" s="178" t="n"/>
      <c r="D118" s="177" t="n"/>
      <c r="E118" s="177" t="n"/>
      <c r="F118" s="177" t="n"/>
      <c r="G118" s="177" t="n"/>
      <c r="H118" s="177" t="n"/>
      <c r="I118" s="177" t="n"/>
      <c r="J118" s="177" t="n"/>
      <c r="K118" s="177" t="n"/>
      <c r="L118" s="22" t="n"/>
    </row>
    <row r="119" ht="20.1" customHeight="1" s="206">
      <c r="A119" s="156">
        <f t="array" ref="A119">births!$A7</f>
        <v/>
      </c>
      <c r="B119" s="54" t="n"/>
      <c r="C119" s="54" t="n"/>
      <c r="D119" s="54" t="n"/>
      <c r="E119" s="54" t="n"/>
      <c r="F119" s="54" t="n"/>
      <c r="G119" s="54" t="n"/>
      <c r="H119" s="167">
        <f t="array" ref="H119">births!D7</f>
        <v/>
      </c>
      <c r="I119" s="167">
        <f t="array" ref="I119">births!F7</f>
        <v/>
      </c>
      <c r="J119" s="54" t="n"/>
      <c r="K119" s="54" t="n"/>
      <c r="L119" s="54" t="n"/>
    </row>
    <row r="120" ht="20.1" customHeight="1" s="206">
      <c r="A120" s="161">
        <f t="array" ref="A120">births!$A11</f>
        <v/>
      </c>
      <c r="B120" s="116" t="n"/>
      <c r="C120" s="116">
        <f t="array" ref="C120">births!C11</f>
        <v/>
      </c>
      <c r="D120" s="54">
        <f t="array" ref="D120">births!D11</f>
        <v/>
      </c>
      <c r="E120" s="54">
        <f t="array" ref="E120">births!E11</f>
        <v/>
      </c>
      <c r="F120" s="54">
        <f t="array" ref="F120">births!F11</f>
        <v/>
      </c>
      <c r="G120" s="54">
        <f t="array" ref="G120">births!G11</f>
        <v/>
      </c>
      <c r="H120" s="54">
        <f t="array" ref="H120">births!H11</f>
        <v/>
      </c>
      <c r="I120" s="54">
        <f t="array" ref="I120">births!I11</f>
        <v/>
      </c>
      <c r="J120" s="54">
        <f t="array" ref="J120">births!J11</f>
        <v/>
      </c>
      <c r="K120" s="54">
        <f t="array" ref="K120">births!K11</f>
        <v/>
      </c>
      <c r="L120" s="54" t="n"/>
    </row>
    <row r="121" ht="44.1" customHeight="1" s="206">
      <c r="A121" s="162">
        <f t="array" ref="A121">births!$A13</f>
        <v/>
      </c>
      <c r="B121" s="163" t="n"/>
      <c r="C121" s="143">
        <f t="array" ref="C121">births!C13</f>
        <v/>
      </c>
      <c r="D121" s="54" t="n"/>
      <c r="E121" s="54" t="n"/>
      <c r="F121" s="54" t="n"/>
      <c r="G121" s="54" t="n"/>
      <c r="H121" s="54" t="n"/>
      <c r="I121" s="54" t="n"/>
      <c r="J121" s="54" t="n"/>
      <c r="K121" s="54" t="n"/>
      <c r="L121" s="54" t="n"/>
    </row>
    <row r="122" ht="20.1" customHeight="1" s="206">
      <c r="A122" s="165">
        <f t="array" ref="A122">births!$A22</f>
        <v/>
      </c>
      <c r="B122" s="166" t="n"/>
      <c r="C122" s="166">
        <f t="array" ref="C122">births!C22</f>
        <v/>
      </c>
      <c r="D122" s="54">
        <f t="array" ref="D122">births!D22</f>
        <v/>
      </c>
      <c r="E122" s="54">
        <f t="array" ref="E122">births!E22</f>
        <v/>
      </c>
      <c r="F122" s="54">
        <f t="array" ref="F122">births!F22</f>
        <v/>
      </c>
      <c r="G122" s="54">
        <f t="array" ref="G122">births!G22</f>
        <v/>
      </c>
      <c r="H122" s="54">
        <f t="array" ref="H122">births!H22</f>
        <v/>
      </c>
      <c r="I122" s="54">
        <f t="array" ref="I122">births!I22</f>
        <v/>
      </c>
      <c r="J122" s="54">
        <f t="array" ref="J122">births!J22</f>
        <v/>
      </c>
      <c r="K122" s="54">
        <f t="array" ref="K122">births!K22</f>
        <v/>
      </c>
      <c r="L122" s="54" t="n"/>
    </row>
    <row r="123" ht="20.1" customHeight="1" s="206">
      <c r="A123" s="156">
        <f t="array" ref="A123">births!$A23</f>
        <v/>
      </c>
      <c r="B123" s="54" t="n"/>
      <c r="C123" s="54">
        <f t="array" ref="C123">births!C23</f>
        <v/>
      </c>
      <c r="D123" s="54">
        <f t="array" ref="D123">births!D23</f>
        <v/>
      </c>
      <c r="E123" s="54">
        <f t="array" ref="E123">births!E23</f>
        <v/>
      </c>
      <c r="F123" s="54">
        <f t="array" ref="F123">births!F23</f>
        <v/>
      </c>
      <c r="G123" s="54">
        <f t="array" ref="G123">births!G23</f>
        <v/>
      </c>
      <c r="H123" s="54">
        <f t="array" ref="H123">births!H23</f>
        <v/>
      </c>
      <c r="I123" s="54">
        <f t="array" ref="I123">births!I23</f>
        <v/>
      </c>
      <c r="J123" s="54">
        <f t="array" ref="J123">births!J23</f>
        <v/>
      </c>
      <c r="K123" s="54">
        <f t="array" ref="K123">births!K23</f>
        <v/>
      </c>
      <c r="L123" s="54" t="n"/>
    </row>
    <row r="124" ht="20.1" customHeight="1" s="206">
      <c r="A124" s="156">
        <f t="array" ref="A124">births!$A24</f>
        <v/>
      </c>
      <c r="B124" s="54" t="n"/>
      <c r="C124" s="54">
        <f t="array" ref="C124">births!C24</f>
        <v/>
      </c>
      <c r="D124" s="54">
        <f t="array" ref="D124">births!D24</f>
        <v/>
      </c>
      <c r="E124" s="54">
        <f t="array" ref="E124">births!E24</f>
        <v/>
      </c>
      <c r="F124" s="54">
        <f t="array" ref="F124">births!F24</f>
        <v/>
      </c>
      <c r="G124" s="54">
        <f t="array" ref="G124">births!G24</f>
        <v/>
      </c>
      <c r="H124" s="54">
        <f t="array" ref="H124">births!H24</f>
        <v/>
      </c>
      <c r="I124" s="54">
        <f t="array" ref="I124">births!I24</f>
        <v/>
      </c>
      <c r="J124" s="54">
        <f t="array" ref="J124">births!J24</f>
        <v/>
      </c>
      <c r="K124" s="54">
        <f t="array" ref="K124">births!K24</f>
        <v/>
      </c>
      <c r="L124" s="54" t="n"/>
    </row>
    <row r="125" ht="20.1" customHeight="1" s="206">
      <c r="A125" s="156">
        <f t="array" ref="A125">births!$A25</f>
        <v/>
      </c>
      <c r="B125" s="54" t="n"/>
      <c r="C125" s="54">
        <f t="array" ref="C125">births!C25</f>
        <v/>
      </c>
      <c r="D125" s="54">
        <f t="array" ref="D125">births!D25</f>
        <v/>
      </c>
      <c r="E125" s="54">
        <f t="array" ref="E125">births!E25</f>
        <v/>
      </c>
      <c r="F125" s="54">
        <f t="array" ref="F125">births!F25</f>
        <v/>
      </c>
      <c r="G125" s="54">
        <f t="array" ref="G125">births!G25</f>
        <v/>
      </c>
      <c r="H125" s="54">
        <f t="array" ref="H125">births!H25</f>
        <v/>
      </c>
      <c r="I125" s="54">
        <f t="array" ref="I125">births!I25</f>
        <v/>
      </c>
      <c r="J125" s="54">
        <f t="array" ref="J125">births!J25</f>
        <v/>
      </c>
      <c r="K125" s="54">
        <f t="array" ref="K125">births!K25</f>
        <v/>
      </c>
      <c r="L125" s="54" t="n"/>
    </row>
    <row r="126" ht="20.1" customHeight="1" s="206">
      <c r="A126" s="156">
        <f t="array" ref="A126">births!$A26</f>
        <v/>
      </c>
      <c r="B126" s="54" t="n"/>
      <c r="C126" s="54">
        <f t="array" ref="C126">births!C26</f>
        <v/>
      </c>
      <c r="D126" s="54">
        <f t="array" ref="D126">births!D26</f>
        <v/>
      </c>
      <c r="E126" s="54">
        <f t="array" ref="E126">births!E26</f>
        <v/>
      </c>
      <c r="F126" s="54">
        <f t="array" ref="F126">births!F26</f>
        <v/>
      </c>
      <c r="G126" s="54">
        <f t="array" ref="G126">births!G26</f>
        <v/>
      </c>
      <c r="H126" s="54">
        <f t="array" ref="H126">births!H26</f>
        <v/>
      </c>
      <c r="I126" s="54">
        <f t="array" ref="I126">births!I26</f>
        <v/>
      </c>
      <c r="J126" s="54">
        <f t="array" ref="J126">births!J26</f>
        <v/>
      </c>
      <c r="K126" s="54">
        <f t="array" ref="K126">births!K26</f>
        <v/>
      </c>
      <c r="L126" s="54" t="n"/>
    </row>
    <row r="127" ht="20.1" customHeight="1" s="206">
      <c r="A127" s="156">
        <f t="array" ref="A127">births!$A27</f>
        <v/>
      </c>
      <c r="B127" s="54" t="n"/>
      <c r="C127" s="54">
        <f t="array" ref="C127">births!C27</f>
        <v/>
      </c>
      <c r="D127" s="54">
        <f t="array" ref="D127">births!D27</f>
        <v/>
      </c>
      <c r="E127" s="54">
        <f t="array" ref="E127">births!E27</f>
        <v/>
      </c>
      <c r="F127" s="54">
        <f t="array" ref="F127">births!F27</f>
        <v/>
      </c>
      <c r="G127" s="54">
        <f t="array" ref="G127">births!G27</f>
        <v/>
      </c>
      <c r="H127" s="54">
        <f t="array" ref="H127">births!H27</f>
        <v/>
      </c>
      <c r="I127" s="54">
        <f t="array" ref="I127">births!I27</f>
        <v/>
      </c>
      <c r="J127" s="54">
        <f t="array" ref="J127">births!J27</f>
        <v/>
      </c>
      <c r="K127" s="54">
        <f t="array" ref="K127">births!K27</f>
        <v/>
      </c>
      <c r="L127" s="54" t="n"/>
    </row>
    <row r="128" ht="20.1" customHeight="1" s="206">
      <c r="A128" s="156">
        <f t="array" ref="A128">births!$A28</f>
        <v/>
      </c>
      <c r="B128" s="54" t="n"/>
      <c r="C128" s="54">
        <f t="array" ref="C128">births!C28</f>
        <v/>
      </c>
      <c r="D128" s="54">
        <f t="array" ref="D128">births!D28</f>
        <v/>
      </c>
      <c r="E128" s="54">
        <f t="array" ref="E128">births!E28</f>
        <v/>
      </c>
      <c r="F128" s="54">
        <f t="array" ref="F128">births!F28</f>
        <v/>
      </c>
      <c r="G128" s="54">
        <f t="array" ref="G128">births!G28</f>
        <v/>
      </c>
      <c r="H128" s="54">
        <f t="array" ref="H128">births!H28</f>
        <v/>
      </c>
      <c r="I128" s="54">
        <f t="array" ref="I128">births!I28</f>
        <v/>
      </c>
      <c r="J128" s="54">
        <f t="array" ref="J128">births!J28</f>
        <v/>
      </c>
      <c r="K128" s="54">
        <f t="array" ref="K128">births!K28</f>
        <v/>
      </c>
      <c r="L128" s="54" t="n"/>
    </row>
    <row r="129" ht="20.1" customHeight="1" s="206">
      <c r="A129" s="156">
        <f t="array" ref="A129">births!$A29</f>
        <v/>
      </c>
      <c r="B129" s="54" t="n"/>
      <c r="C129" s="54">
        <f t="array" ref="C129">births!C29</f>
        <v/>
      </c>
      <c r="D129" s="54">
        <f t="array" ref="D129">births!D29</f>
        <v/>
      </c>
      <c r="E129" s="54">
        <f t="array" ref="E129">births!E29</f>
        <v/>
      </c>
      <c r="F129" s="54">
        <f t="array" ref="F129">births!F29</f>
        <v/>
      </c>
      <c r="G129" s="54">
        <f t="array" ref="G129">births!G29</f>
        <v/>
      </c>
      <c r="H129" s="54">
        <f t="array" ref="H129">births!H29</f>
        <v/>
      </c>
      <c r="I129" s="54">
        <f t="array" ref="I129">births!I29</f>
        <v/>
      </c>
      <c r="J129" s="54">
        <f t="array" ref="J129">births!J29</f>
        <v/>
      </c>
      <c r="K129" s="54">
        <f t="array" ref="K129">births!K29</f>
        <v/>
      </c>
      <c r="L129" s="54" t="n"/>
    </row>
    <row r="130" ht="20.1" customHeight="1" s="206">
      <c r="A130" s="156">
        <f t="array" ref="A130">births!$A30</f>
        <v/>
      </c>
      <c r="B130" s="54" t="n"/>
      <c r="C130" s="54">
        <f t="array" ref="C130">births!C30</f>
        <v/>
      </c>
      <c r="D130" s="54">
        <f t="array" ref="D130">births!D30</f>
        <v/>
      </c>
      <c r="E130" s="54">
        <f t="array" ref="E130">births!E30</f>
        <v/>
      </c>
      <c r="F130" s="54">
        <f t="array" ref="F130">births!F30</f>
        <v/>
      </c>
      <c r="G130" s="54">
        <f t="array" ref="G130">births!G30</f>
        <v/>
      </c>
      <c r="H130" s="54">
        <f t="array" ref="H130">births!H30</f>
        <v/>
      </c>
      <c r="I130" s="54">
        <f t="array" ref="I130">births!I30</f>
        <v/>
      </c>
      <c r="J130" s="54">
        <f t="array" ref="J130">births!J30</f>
        <v/>
      </c>
      <c r="K130" s="54">
        <f t="array" ref="K130">births!K30</f>
        <v/>
      </c>
      <c r="L130" s="54" t="n"/>
    </row>
    <row r="131" ht="20.1" customHeight="1" s="206">
      <c r="A131" s="156">
        <f t="array" ref="A131">births!$A31</f>
        <v/>
      </c>
      <c r="B131" s="54" t="n"/>
      <c r="C131" s="54">
        <f t="array" ref="C131">births!C31</f>
        <v/>
      </c>
      <c r="D131" s="54">
        <f t="array" ref="D131">births!D31</f>
        <v/>
      </c>
      <c r="E131" s="54">
        <f t="array" ref="E131">births!E31</f>
        <v/>
      </c>
      <c r="F131" s="54">
        <f t="array" ref="F131">births!F31</f>
        <v/>
      </c>
      <c r="G131" s="54">
        <f t="array" ref="G131">births!G31</f>
        <v/>
      </c>
      <c r="H131" s="54">
        <f t="array" ref="H131">births!H31</f>
        <v/>
      </c>
      <c r="I131" s="54">
        <f t="array" ref="I131">births!I31</f>
        <v/>
      </c>
      <c r="J131" s="54">
        <f t="array" ref="J131">births!J31</f>
        <v/>
      </c>
      <c r="K131" s="54">
        <f t="array" ref="K131">births!K31</f>
        <v/>
      </c>
      <c r="L131" s="54" t="n"/>
    </row>
    <row r="132" ht="20.1" customHeight="1" s="206">
      <c r="A132" s="156">
        <f t="array" ref="A132">births!$A32</f>
        <v/>
      </c>
      <c r="B132" s="54" t="n"/>
      <c r="C132" s="54">
        <f t="array" ref="C132">births!C32</f>
        <v/>
      </c>
      <c r="D132" s="54">
        <f t="array" ref="D132">births!D32</f>
        <v/>
      </c>
      <c r="E132" s="54">
        <f t="array" ref="E132">births!E32</f>
        <v/>
      </c>
      <c r="F132" s="54">
        <f t="array" ref="F132">births!F32</f>
        <v/>
      </c>
      <c r="G132" s="54">
        <f t="array" ref="G132">births!G32</f>
        <v/>
      </c>
      <c r="H132" s="54">
        <f t="array" ref="H132">births!H32</f>
        <v/>
      </c>
      <c r="I132" s="54">
        <f t="array" ref="I132">births!I32</f>
        <v/>
      </c>
      <c r="J132" s="54">
        <f t="array" ref="J132">births!J32</f>
        <v/>
      </c>
      <c r="K132" s="54">
        <f t="array" ref="K132">births!K32</f>
        <v/>
      </c>
      <c r="L132" s="54" t="n"/>
    </row>
    <row r="133" ht="20.1" customHeight="1" s="206">
      <c r="A133" s="156">
        <f t="array" ref="A133">births!$A33</f>
        <v/>
      </c>
      <c r="B133" s="54" t="n"/>
      <c r="C133" s="54">
        <f t="array" ref="C133">births!C33</f>
        <v/>
      </c>
      <c r="D133" s="54">
        <f t="array" ref="D133">births!D33</f>
        <v/>
      </c>
      <c r="E133" s="54">
        <f t="array" ref="E133">births!E33</f>
        <v/>
      </c>
      <c r="F133" s="54">
        <f t="array" ref="F133">births!F33</f>
        <v/>
      </c>
      <c r="G133" s="54">
        <f t="array" ref="G133">births!G33</f>
        <v/>
      </c>
      <c r="H133" s="54">
        <f t="array" ref="H133">births!H33</f>
        <v/>
      </c>
      <c r="I133" s="54">
        <f t="array" ref="I133">births!I33</f>
        <v/>
      </c>
      <c r="J133" s="54">
        <f t="array" ref="J133">births!J33</f>
        <v/>
      </c>
      <c r="K133" s="54">
        <f t="array" ref="K133">births!K33</f>
        <v/>
      </c>
      <c r="L133" s="54" t="n"/>
    </row>
    <row r="134" ht="20.1" customHeight="1" s="206">
      <c r="A134" s="156">
        <f t="array" ref="A134">births!$A34</f>
        <v/>
      </c>
      <c r="B134" s="54" t="n"/>
      <c r="C134" s="54">
        <f t="array" ref="C134">births!C34</f>
        <v/>
      </c>
      <c r="D134" s="54">
        <f t="array" ref="D134">births!D34</f>
        <v/>
      </c>
      <c r="E134" s="54">
        <f t="array" ref="E134">births!E34</f>
        <v/>
      </c>
      <c r="F134" s="54">
        <f t="array" ref="F134">births!F34</f>
        <v/>
      </c>
      <c r="G134" s="54">
        <f t="array" ref="G134">births!G34</f>
        <v/>
      </c>
      <c r="H134" s="54">
        <f t="array" ref="H134">births!H34</f>
        <v/>
      </c>
      <c r="I134" s="54">
        <f t="array" ref="I134">births!I34</f>
        <v/>
      </c>
      <c r="J134" s="54">
        <f t="array" ref="J134">births!J34</f>
        <v/>
      </c>
      <c r="K134" s="54">
        <f t="array" ref="K134">births!K34</f>
        <v/>
      </c>
      <c r="L134" s="54" t="n"/>
    </row>
    <row r="135" ht="20.1" customHeight="1" s="206">
      <c r="A135" s="156">
        <f t="array" ref="A135">births!$A35</f>
        <v/>
      </c>
      <c r="B135" s="54" t="n"/>
      <c r="C135" s="54">
        <f t="array" ref="C135">births!C35</f>
        <v/>
      </c>
      <c r="D135" s="54">
        <f t="array" ref="D135">births!D35</f>
        <v/>
      </c>
      <c r="E135" s="54">
        <f t="array" ref="E135">births!E35</f>
        <v/>
      </c>
      <c r="F135" s="54">
        <f t="array" ref="F135">births!F35</f>
        <v/>
      </c>
      <c r="G135" s="54">
        <f t="array" ref="G135">births!G35</f>
        <v/>
      </c>
      <c r="H135" s="54">
        <f t="array" ref="H135">births!H35</f>
        <v/>
      </c>
      <c r="I135" s="54">
        <f t="array" ref="I135">births!I35</f>
        <v/>
      </c>
      <c r="J135" s="54">
        <f t="array" ref="J135">births!J35</f>
        <v/>
      </c>
      <c r="K135" s="54">
        <f t="array" ref="K135">births!K35</f>
        <v/>
      </c>
      <c r="L135" s="54" t="n"/>
    </row>
    <row r="136" ht="20.1" customHeight="1" s="206">
      <c r="A136" s="156">
        <f t="array" ref="A136">births!$A36</f>
        <v/>
      </c>
      <c r="B136" s="54" t="n"/>
      <c r="C136" s="54">
        <f t="array" ref="C136">births!C36</f>
        <v/>
      </c>
      <c r="D136" s="54">
        <f t="array" ref="D136">births!D36</f>
        <v/>
      </c>
      <c r="E136" s="54">
        <f t="array" ref="E136">births!E36</f>
        <v/>
      </c>
      <c r="F136" s="54">
        <f t="array" ref="F136">births!F36</f>
        <v/>
      </c>
      <c r="G136" s="54">
        <f t="array" ref="G136">births!G36</f>
        <v/>
      </c>
      <c r="H136" s="54">
        <f t="array" ref="H136">births!H36</f>
        <v/>
      </c>
      <c r="I136" s="54">
        <f t="array" ref="I136">births!I36</f>
        <v/>
      </c>
      <c r="J136" s="54">
        <f t="array" ref="J136">births!J36</f>
        <v/>
      </c>
      <c r="K136" s="54">
        <f t="array" ref="K136">births!K36</f>
        <v/>
      </c>
      <c r="L136" s="54" t="n"/>
    </row>
    <row r="137" ht="20.1" customHeight="1" s="206">
      <c r="A137" s="156">
        <f t="array" ref="A137">births!$A37</f>
        <v/>
      </c>
      <c r="B137" s="54" t="n"/>
      <c r="C137" s="54">
        <f t="array" ref="C137">births!C37</f>
        <v/>
      </c>
      <c r="D137" s="54">
        <f t="array" ref="D137">births!D37</f>
        <v/>
      </c>
      <c r="E137" s="54">
        <f t="array" ref="E137">births!E37</f>
        <v/>
      </c>
      <c r="F137" s="54">
        <f t="array" ref="F137">births!F37</f>
        <v/>
      </c>
      <c r="G137" s="54">
        <f t="array" ref="G137">births!G37</f>
        <v/>
      </c>
      <c r="H137" s="54">
        <f t="array" ref="H137">births!H37</f>
        <v/>
      </c>
      <c r="I137" s="54">
        <f t="array" ref="I137">births!I37</f>
        <v/>
      </c>
      <c r="J137" s="54">
        <f t="array" ref="J137">births!J37</f>
        <v/>
      </c>
      <c r="K137" s="54">
        <f t="array" ref="K137">births!K37</f>
        <v/>
      </c>
      <c r="L137" s="54" t="n"/>
    </row>
    <row r="138" ht="20.1" customHeight="1" s="206">
      <c r="A138" s="156">
        <f t="array" ref="A138">births!$A38</f>
        <v/>
      </c>
      <c r="B138" s="54" t="n"/>
      <c r="C138" s="54">
        <f t="array" ref="C138">births!C38</f>
        <v/>
      </c>
      <c r="D138" s="54">
        <f t="array" ref="D138">births!D38</f>
        <v/>
      </c>
      <c r="E138" s="54">
        <f t="array" ref="E138">births!E38</f>
        <v/>
      </c>
      <c r="F138" s="54">
        <f t="array" ref="F138">births!F38</f>
        <v/>
      </c>
      <c r="G138" s="54">
        <f t="array" ref="G138">births!G38</f>
        <v/>
      </c>
      <c r="H138" s="54">
        <f t="array" ref="H138">births!H38</f>
        <v/>
      </c>
      <c r="I138" s="54">
        <f t="array" ref="I138">births!I38</f>
        <v/>
      </c>
      <c r="J138" s="54">
        <f t="array" ref="J138">births!J38</f>
        <v/>
      </c>
      <c r="K138" s="54">
        <f t="array" ref="K138">births!K38</f>
        <v/>
      </c>
      <c r="L138" s="54" t="n"/>
    </row>
    <row r="139" ht="20.1" customHeight="1" s="206">
      <c r="A139" s="156">
        <f t="array" ref="A139">births!$A39</f>
        <v/>
      </c>
      <c r="B139" s="54" t="n"/>
      <c r="C139" s="54">
        <f t="array" ref="C139">births!C39</f>
        <v/>
      </c>
      <c r="D139" s="54">
        <f t="array" ref="D139">births!D39</f>
        <v/>
      </c>
      <c r="E139" s="54">
        <f t="array" ref="E139">births!E39</f>
        <v/>
      </c>
      <c r="F139" s="54">
        <f t="array" ref="F139">births!F39</f>
        <v/>
      </c>
      <c r="G139" s="54">
        <f t="array" ref="G139">births!G39</f>
        <v/>
      </c>
      <c r="H139" s="54">
        <f t="array" ref="H139">births!H39</f>
        <v/>
      </c>
      <c r="I139" s="54">
        <f t="array" ref="I139">births!I39</f>
        <v/>
      </c>
      <c r="J139" s="54">
        <f t="array" ref="J139">births!J39</f>
        <v/>
      </c>
      <c r="K139" s="54">
        <f t="array" ref="K139">births!K39</f>
        <v/>
      </c>
      <c r="L139" s="54" t="n"/>
    </row>
    <row r="140" ht="20.1" customHeight="1" s="206">
      <c r="A140" s="156">
        <f t="array" ref="A140">births!$A40</f>
        <v/>
      </c>
      <c r="B140" s="54" t="n"/>
      <c r="C140" s="54">
        <f t="array" ref="C140">births!C40</f>
        <v/>
      </c>
      <c r="D140" s="54">
        <f t="array" ref="D140">births!D40</f>
        <v/>
      </c>
      <c r="E140" s="54">
        <f t="array" ref="E140">births!E40</f>
        <v/>
      </c>
      <c r="F140" s="54">
        <f t="array" ref="F140">births!F40</f>
        <v/>
      </c>
      <c r="G140" s="54">
        <f t="array" ref="G140">births!G40</f>
        <v/>
      </c>
      <c r="H140" s="54">
        <f t="array" ref="H140">births!H40</f>
        <v/>
      </c>
      <c r="I140" s="54">
        <f t="array" ref="I140">births!I40</f>
        <v/>
      </c>
      <c r="J140" s="54">
        <f t="array" ref="J140">births!J40</f>
        <v/>
      </c>
      <c r="K140" s="54">
        <f t="array" ref="K140">births!K40</f>
        <v/>
      </c>
      <c r="L140" s="54" t="n"/>
    </row>
    <row r="141" ht="20.1" customHeight="1" s="206">
      <c r="A141" s="156">
        <f t="array" ref="A141">births!$A41</f>
        <v/>
      </c>
      <c r="B141" s="54" t="n"/>
      <c r="C141" s="54">
        <f t="array" ref="C141">births!C41</f>
        <v/>
      </c>
      <c r="D141" s="54">
        <f t="array" ref="D141">births!D41</f>
        <v/>
      </c>
      <c r="E141" s="54">
        <f t="array" ref="E141">births!E41</f>
        <v/>
      </c>
      <c r="F141" s="54">
        <f t="array" ref="F141">births!F41</f>
        <v/>
      </c>
      <c r="G141" s="54">
        <f t="array" ref="G141">births!G41</f>
        <v/>
      </c>
      <c r="H141" s="54">
        <f t="array" ref="H141">births!H41</f>
        <v/>
      </c>
      <c r="I141" s="54">
        <f t="array" ref="I141">births!I41</f>
        <v/>
      </c>
      <c r="J141" s="54">
        <f t="array" ref="J141">births!J41</f>
        <v/>
      </c>
      <c r="K141" s="54">
        <f t="array" ref="K141">births!K41</f>
        <v/>
      </c>
      <c r="L141" s="54" t="n"/>
    </row>
    <row r="142" ht="20.1" customHeight="1" s="206">
      <c r="A142" s="156">
        <f t="array" ref="A142">births!$A42</f>
        <v/>
      </c>
      <c r="B142" s="54" t="n"/>
      <c r="C142" s="54">
        <f t="array" ref="C142">births!C42</f>
        <v/>
      </c>
      <c r="D142" s="54">
        <f t="array" ref="D142">births!D42</f>
        <v/>
      </c>
      <c r="E142" s="54">
        <f t="array" ref="E142">births!E42</f>
        <v/>
      </c>
      <c r="F142" s="54">
        <f t="array" ref="F142">births!F42</f>
        <v/>
      </c>
      <c r="G142" s="54">
        <f t="array" ref="G142">births!G42</f>
        <v/>
      </c>
      <c r="H142" s="54">
        <f t="array" ref="H142">births!H42</f>
        <v/>
      </c>
      <c r="I142" s="54">
        <f t="array" ref="I142">births!I42</f>
        <v/>
      </c>
      <c r="J142" s="54">
        <f t="array" ref="J142">births!J42</f>
        <v/>
      </c>
      <c r="K142" s="54">
        <f t="array" ref="K142">births!K42</f>
        <v/>
      </c>
      <c r="L142" s="54" t="n"/>
    </row>
    <row r="143" ht="20.1" customHeight="1" s="206">
      <c r="A143" s="156">
        <f t="array" ref="A143">births!$A43</f>
        <v/>
      </c>
      <c r="B143" s="54" t="n"/>
      <c r="C143" s="54">
        <f t="array" ref="C143">births!C43</f>
        <v/>
      </c>
      <c r="D143" s="54">
        <f t="array" ref="D143">births!D43</f>
        <v/>
      </c>
      <c r="E143" s="54">
        <f t="array" ref="E143">births!E43</f>
        <v/>
      </c>
      <c r="F143" s="54">
        <f t="array" ref="F143">births!F43</f>
        <v/>
      </c>
      <c r="G143" s="54">
        <f t="array" ref="G143">births!G43</f>
        <v/>
      </c>
      <c r="H143" s="54">
        <f t="array" ref="H143">births!H43</f>
        <v/>
      </c>
      <c r="I143" s="54">
        <f t="array" ref="I143">births!I43</f>
        <v/>
      </c>
      <c r="J143" s="54">
        <f t="array" ref="J143">births!J43</f>
        <v/>
      </c>
      <c r="K143" s="54">
        <f t="array" ref="K143">births!K43</f>
        <v/>
      </c>
      <c r="L143" s="54" t="n"/>
    </row>
    <row r="144" ht="20.1" customHeight="1" s="206">
      <c r="A144" s="156">
        <f t="array" ref="A144">births!$A44</f>
        <v/>
      </c>
      <c r="B144" s="54" t="n"/>
      <c r="C144" s="54">
        <f t="array" ref="C144">births!C44</f>
        <v/>
      </c>
      <c r="D144" s="54">
        <f t="array" ref="D144">births!D44</f>
        <v/>
      </c>
      <c r="E144" s="54">
        <f t="array" ref="E144">births!E44</f>
        <v/>
      </c>
      <c r="F144" s="54">
        <f t="array" ref="F144">births!F44</f>
        <v/>
      </c>
      <c r="G144" s="54">
        <f t="array" ref="G144">births!G44</f>
        <v/>
      </c>
      <c r="H144" s="54">
        <f t="array" ref="H144">births!H44</f>
        <v/>
      </c>
      <c r="I144" s="54">
        <f t="array" ref="I144">births!I44</f>
        <v/>
      </c>
      <c r="J144" s="54">
        <f t="array" ref="J144">births!J44</f>
        <v/>
      </c>
      <c r="K144" s="54">
        <f t="array" ref="K144">births!K44</f>
        <v/>
      </c>
      <c r="L144" s="54" t="n"/>
    </row>
    <row r="145" ht="20.1" customHeight="1" s="206">
      <c r="A145" s="156">
        <f t="array" ref="A145">births!$A45</f>
        <v/>
      </c>
      <c r="B145" s="54" t="n"/>
      <c r="C145" s="54">
        <f t="array" ref="C145">births!C45</f>
        <v/>
      </c>
      <c r="D145" s="54">
        <f t="array" ref="D145">births!D45</f>
        <v/>
      </c>
      <c r="E145" s="54">
        <f t="array" ref="E145">births!E45</f>
        <v/>
      </c>
      <c r="F145" s="54">
        <f t="array" ref="F145">births!F45</f>
        <v/>
      </c>
      <c r="G145" s="54">
        <f t="array" ref="G145">births!G45</f>
        <v/>
      </c>
      <c r="H145" s="54">
        <f t="array" ref="H145">births!H45</f>
        <v/>
      </c>
      <c r="I145" s="54">
        <f t="array" ref="I145">births!I45</f>
        <v/>
      </c>
      <c r="J145" s="54">
        <f t="array" ref="J145">births!J45</f>
        <v/>
      </c>
      <c r="K145" s="54">
        <f t="array" ref="K145">births!K45</f>
        <v/>
      </c>
      <c r="L145" s="54" t="n"/>
    </row>
    <row r="146" ht="20.1" customHeight="1" s="206">
      <c r="A146" s="156">
        <f t="array" ref="A146">births!$A46</f>
        <v/>
      </c>
      <c r="B146" s="54" t="n"/>
      <c r="C146" s="54">
        <f t="array" ref="C146">births!C46</f>
        <v/>
      </c>
      <c r="D146" s="54">
        <f t="array" ref="D146">births!D46</f>
        <v/>
      </c>
      <c r="E146" s="54">
        <f t="array" ref="E146">births!E46</f>
        <v/>
      </c>
      <c r="F146" s="54">
        <f t="array" ref="F146">births!F46</f>
        <v/>
      </c>
      <c r="G146" s="54">
        <f t="array" ref="G146">births!G46</f>
        <v/>
      </c>
      <c r="H146" s="54">
        <f t="array" ref="H146">births!H46</f>
        <v/>
      </c>
      <c r="I146" s="54">
        <f t="array" ref="I146">births!I46</f>
        <v/>
      </c>
      <c r="J146" s="54">
        <f t="array" ref="J146">births!J46</f>
        <v/>
      </c>
      <c r="K146" s="54">
        <f t="array" ref="K146">births!K46</f>
        <v/>
      </c>
      <c r="L146" s="54" t="n"/>
    </row>
    <row r="147" ht="20.1" customHeight="1" s="206">
      <c r="A147" s="156">
        <f t="array" ref="A147">births!$A47</f>
        <v/>
      </c>
      <c r="B147" s="54" t="n"/>
      <c r="C147" s="54">
        <f t="array" ref="C147">births!C47</f>
        <v/>
      </c>
      <c r="D147" s="54">
        <f t="array" ref="D147">births!D47</f>
        <v/>
      </c>
      <c r="E147" s="54">
        <f t="array" ref="E147">births!E47</f>
        <v/>
      </c>
      <c r="F147" s="54">
        <f t="array" ref="F147">births!F47</f>
        <v/>
      </c>
      <c r="G147" s="54">
        <f t="array" ref="G147">births!G47</f>
        <v/>
      </c>
      <c r="H147" s="54">
        <f t="array" ref="H147">births!H47</f>
        <v/>
      </c>
      <c r="I147" s="54">
        <f t="array" ref="I147">births!I47</f>
        <v/>
      </c>
      <c r="J147" s="54">
        <f t="array" ref="J147">births!J47</f>
        <v/>
      </c>
      <c r="K147" s="54">
        <f t="array" ref="K147">births!K47</f>
        <v/>
      </c>
      <c r="L147" s="54" t="n"/>
    </row>
    <row r="148" ht="20.1" customHeight="1" s="206">
      <c r="A148" s="156">
        <f t="array" ref="A148">births!$A48</f>
        <v/>
      </c>
      <c r="B148" s="54" t="n"/>
      <c r="C148" s="54">
        <f t="array" ref="C148">births!C48</f>
        <v/>
      </c>
      <c r="D148" s="54">
        <f t="array" ref="D148">births!D48</f>
        <v/>
      </c>
      <c r="E148" s="54">
        <f t="array" ref="E148">births!E48</f>
        <v/>
      </c>
      <c r="F148" s="54">
        <f t="array" ref="F148">births!F48</f>
        <v/>
      </c>
      <c r="G148" s="54">
        <f t="array" ref="G148">births!G48</f>
        <v/>
      </c>
      <c r="H148" s="54">
        <f t="array" ref="H148">births!H48</f>
        <v/>
      </c>
      <c r="I148" s="54">
        <f t="array" ref="I148">births!I48</f>
        <v/>
      </c>
      <c r="J148" s="54">
        <f t="array" ref="J148">births!J48</f>
        <v/>
      </c>
      <c r="K148" s="54">
        <f t="array" ref="K148">births!K48</f>
        <v/>
      </c>
      <c r="L148" s="54" t="n"/>
    </row>
    <row r="149" ht="20.1" customHeight="1" s="206">
      <c r="A149" s="156">
        <f t="array" ref="A149">births!$A49</f>
        <v/>
      </c>
      <c r="B149" s="54" t="n"/>
      <c r="C149" s="54">
        <f t="array" ref="C149">births!C49</f>
        <v/>
      </c>
      <c r="D149" s="54">
        <f t="array" ref="D149">births!D49</f>
        <v/>
      </c>
      <c r="E149" s="54">
        <f t="array" ref="E149">births!E49</f>
        <v/>
      </c>
      <c r="F149" s="54">
        <f t="array" ref="F149">births!F49</f>
        <v/>
      </c>
      <c r="G149" s="54">
        <f t="array" ref="G149">births!G49</f>
        <v/>
      </c>
      <c r="H149" s="54">
        <f t="array" ref="H149">births!H49</f>
        <v/>
      </c>
      <c r="I149" s="54">
        <f t="array" ref="I149">births!I49</f>
        <v/>
      </c>
      <c r="J149" s="54">
        <f t="array" ref="J149">births!J49</f>
        <v/>
      </c>
      <c r="K149" s="54">
        <f t="array" ref="K149">births!K49</f>
        <v/>
      </c>
      <c r="L149" s="54" t="n"/>
    </row>
    <row r="150" ht="20.1" customHeight="1" s="206">
      <c r="A150" s="156">
        <f t="array" ref="A150">births!$A50</f>
        <v/>
      </c>
      <c r="B150" s="54" t="n"/>
      <c r="C150" s="54">
        <f t="array" ref="C150">births!C50</f>
        <v/>
      </c>
      <c r="D150" s="54">
        <f t="array" ref="D150">births!D50</f>
        <v/>
      </c>
      <c r="E150" s="54">
        <f t="array" ref="E150">births!E50</f>
        <v/>
      </c>
      <c r="F150" s="54">
        <f t="array" ref="F150">births!F50</f>
        <v/>
      </c>
      <c r="G150" s="54">
        <f t="array" ref="G150">births!G50</f>
        <v/>
      </c>
      <c r="H150" s="54">
        <f t="array" ref="H150">births!H50</f>
        <v/>
      </c>
      <c r="I150" s="54">
        <f t="array" ref="I150">births!I50</f>
        <v/>
      </c>
      <c r="J150" s="54">
        <f t="array" ref="J150">births!J50</f>
        <v/>
      </c>
      <c r="K150" s="54">
        <f t="array" ref="K150">births!K50</f>
        <v/>
      </c>
      <c r="L150" s="54" t="n"/>
    </row>
    <row r="151" ht="20.1" customHeight="1" s="206">
      <c r="A151" s="156">
        <f t="array" ref="A151">births!$A51</f>
        <v/>
      </c>
      <c r="B151" s="54" t="n"/>
      <c r="C151" s="54">
        <f t="array" ref="C151">births!C51</f>
        <v/>
      </c>
      <c r="D151" s="54">
        <f t="array" ref="D151">births!D51</f>
        <v/>
      </c>
      <c r="E151" s="54">
        <f t="array" ref="E151">births!E51</f>
        <v/>
      </c>
      <c r="F151" s="54">
        <f t="array" ref="F151">births!F51</f>
        <v/>
      </c>
      <c r="G151" s="54">
        <f t="array" ref="G151">births!G51</f>
        <v/>
      </c>
      <c r="H151" s="54">
        <f t="array" ref="H151">births!H51</f>
        <v/>
      </c>
      <c r="I151" s="54">
        <f t="array" ref="I151">births!I51</f>
        <v/>
      </c>
      <c r="J151" s="54">
        <f t="array" ref="J151">births!J51</f>
        <v/>
      </c>
      <c r="K151" s="54">
        <f t="array" ref="K151">births!K51</f>
        <v/>
      </c>
      <c r="L151" s="54" t="n"/>
    </row>
    <row r="152" ht="20.1" customHeight="1" s="206">
      <c r="A152" s="156">
        <f t="array" ref="A152">births!$A52</f>
        <v/>
      </c>
      <c r="B152" s="54" t="n"/>
      <c r="C152" s="54">
        <f t="array" ref="C152">births!C52</f>
        <v/>
      </c>
      <c r="D152" s="54">
        <f t="array" ref="D152">births!D52</f>
        <v/>
      </c>
      <c r="E152" s="54">
        <f t="array" ref="E152">births!E52</f>
        <v/>
      </c>
      <c r="F152" s="54">
        <f t="array" ref="F152">births!F52</f>
        <v/>
      </c>
      <c r="G152" s="54">
        <f t="array" ref="G152">births!G52</f>
        <v/>
      </c>
      <c r="H152" s="54">
        <f t="array" ref="H152">births!H52</f>
        <v/>
      </c>
      <c r="I152" s="54">
        <f t="array" ref="I152">births!I52</f>
        <v/>
      </c>
      <c r="J152" s="54">
        <f t="array" ref="J152">births!J52</f>
        <v/>
      </c>
      <c r="K152" s="54">
        <f t="array" ref="K152">births!K52</f>
        <v/>
      </c>
      <c r="L152" s="54" t="n"/>
    </row>
    <row r="153" ht="20.1" customHeight="1" s="206">
      <c r="A153" s="156">
        <f t="array" ref="A153">births!$A53</f>
        <v/>
      </c>
      <c r="B153" s="54" t="n"/>
      <c r="C153" s="54">
        <f t="array" ref="C153">births!C53</f>
        <v/>
      </c>
      <c r="D153" s="54">
        <f t="array" ref="D153">births!D53</f>
        <v/>
      </c>
      <c r="E153" s="54">
        <f t="array" ref="E153">births!E53</f>
        <v/>
      </c>
      <c r="F153" s="54">
        <f t="array" ref="F153">births!F53</f>
        <v/>
      </c>
      <c r="G153" s="54">
        <f t="array" ref="G153">births!G53</f>
        <v/>
      </c>
      <c r="H153" s="54">
        <f t="array" ref="H153">births!H53</f>
        <v/>
      </c>
      <c r="I153" s="54">
        <f t="array" ref="I153">births!I53</f>
        <v/>
      </c>
      <c r="J153" s="54">
        <f t="array" ref="J153">births!J53</f>
        <v/>
      </c>
      <c r="K153" s="54">
        <f t="array" ref="K153">births!K53</f>
        <v/>
      </c>
      <c r="L153" s="54" t="n"/>
    </row>
    <row r="154" ht="20.1" customHeight="1" s="206">
      <c r="A154" s="156">
        <f t="array" ref="A154">births!$A54</f>
        <v/>
      </c>
      <c r="B154" s="54" t="n"/>
      <c r="C154" s="54">
        <f t="array" ref="C154">births!C54</f>
        <v/>
      </c>
      <c r="D154" s="54">
        <f t="array" ref="D154">births!D54</f>
        <v/>
      </c>
      <c r="E154" s="54">
        <f t="array" ref="E154">births!E54</f>
        <v/>
      </c>
      <c r="F154" s="54">
        <f t="array" ref="F154">births!F54</f>
        <v/>
      </c>
      <c r="G154" s="54">
        <f t="array" ref="G154">births!G54</f>
        <v/>
      </c>
      <c r="H154" s="54">
        <f t="array" ref="H154">births!H54</f>
        <v/>
      </c>
      <c r="I154" s="54">
        <f t="array" ref="I154">births!I54</f>
        <v/>
      </c>
      <c r="J154" s="54">
        <f t="array" ref="J154">births!J54</f>
        <v/>
      </c>
      <c r="K154" s="54">
        <f t="array" ref="K154">births!K54</f>
        <v/>
      </c>
      <c r="L154" s="54" t="n"/>
    </row>
    <row r="155" ht="20.1" customHeight="1" s="206">
      <c r="A155" s="156">
        <f t="array" ref="A155">births!$A55</f>
        <v/>
      </c>
      <c r="B155" s="54" t="n"/>
      <c r="C155" s="54">
        <f t="array" ref="C155">births!C55</f>
        <v/>
      </c>
      <c r="D155" s="54">
        <f t="array" ref="D155">births!D55</f>
        <v/>
      </c>
      <c r="E155" s="54">
        <f t="array" ref="E155">births!E55</f>
        <v/>
      </c>
      <c r="F155" s="54">
        <f t="array" ref="F155">births!F55</f>
        <v/>
      </c>
      <c r="G155" s="54">
        <f t="array" ref="G155">births!G55</f>
        <v/>
      </c>
      <c r="H155" s="54">
        <f t="array" ref="H155">births!H55</f>
        <v/>
      </c>
      <c r="I155" s="54">
        <f t="array" ref="I155">births!I55</f>
        <v/>
      </c>
      <c r="J155" s="54">
        <f t="array" ref="J155">births!J55</f>
        <v/>
      </c>
      <c r="K155" s="54">
        <f t="array" ref="K155">births!K55</f>
        <v/>
      </c>
      <c r="L155" s="54" t="n"/>
    </row>
    <row r="156" ht="20.1" customHeight="1" s="206">
      <c r="A156" s="156">
        <f t="array" ref="A156">births!$A56</f>
        <v/>
      </c>
      <c r="B156" s="54" t="n"/>
      <c r="C156" s="54">
        <f t="array" ref="C156">births!C56</f>
        <v/>
      </c>
      <c r="D156" s="54">
        <f t="array" ref="D156">births!D56</f>
        <v/>
      </c>
      <c r="E156" s="54">
        <f t="array" ref="E156">births!E56</f>
        <v/>
      </c>
      <c r="F156" s="54">
        <f t="array" ref="F156">births!F56</f>
        <v/>
      </c>
      <c r="G156" s="54">
        <f t="array" ref="G156">births!G56</f>
        <v/>
      </c>
      <c r="H156" s="54">
        <f t="array" ref="H156">births!H56</f>
        <v/>
      </c>
      <c r="I156" s="54">
        <f t="array" ref="I156">births!I56</f>
        <v/>
      </c>
      <c r="J156" s="54">
        <f t="array" ref="J156">births!J56</f>
        <v/>
      </c>
      <c r="K156" s="54">
        <f t="array" ref="K156">births!K56</f>
        <v/>
      </c>
      <c r="L156" s="54" t="n"/>
    </row>
    <row r="157" ht="20.1" customHeight="1" s="206">
      <c r="A157" s="161">
        <f t="array" ref="A157">births!$A57</f>
        <v/>
      </c>
      <c r="B157" s="116" t="n"/>
      <c r="C157" s="116">
        <f t="array" ref="C157">births!C57</f>
        <v/>
      </c>
      <c r="D157" s="54">
        <f t="array" ref="D157">births!D57</f>
        <v/>
      </c>
      <c r="E157" s="54">
        <f t="array" ref="E157">births!E57</f>
        <v/>
      </c>
      <c r="F157" s="54">
        <f t="array" ref="F157">births!F57</f>
        <v/>
      </c>
      <c r="G157" s="54">
        <f t="array" ref="G157">births!G57</f>
        <v/>
      </c>
      <c r="H157" s="54">
        <f t="array" ref="H157">births!H57</f>
        <v/>
      </c>
      <c r="I157" s="54">
        <f t="array" ref="I157">births!I57</f>
        <v/>
      </c>
      <c r="J157" s="54">
        <f t="array" ref="J157">births!J57</f>
        <v/>
      </c>
      <c r="K157" s="54">
        <f t="array" ref="K157">births!K57</f>
        <v/>
      </c>
      <c r="L157" s="54" t="n"/>
    </row>
    <row r="158" ht="44.1" customHeight="1" s="206">
      <c r="A158" s="162">
        <f t="array" ref="A158">births!$A59</f>
        <v/>
      </c>
      <c r="B158" s="163" t="n"/>
      <c r="C158" s="143">
        <f t="array" ref="C158">births!C59</f>
        <v/>
      </c>
      <c r="D158" s="54" t="n"/>
      <c r="E158" s="54" t="n"/>
      <c r="F158" s="54" t="n"/>
      <c r="G158" s="54" t="n"/>
      <c r="H158" s="54" t="n"/>
      <c r="I158" s="54" t="n"/>
      <c r="J158" s="54" t="n"/>
      <c r="K158" s="54" t="n"/>
      <c r="L158" s="54" t="n"/>
    </row>
    <row r="159" ht="20.1" customHeight="1" s="206">
      <c r="A159" s="165" t="n"/>
      <c r="B159" s="166" t="n"/>
      <c r="C159" s="166" t="n"/>
      <c r="D159" s="54" t="n"/>
      <c r="E159" s="54" t="n"/>
      <c r="F159" s="54" t="n"/>
      <c r="G159" s="54" t="n"/>
      <c r="H159" s="54" t="n"/>
      <c r="I159" s="54" t="n"/>
      <c r="J159" s="54" t="n"/>
      <c r="K159" s="54" t="n"/>
      <c r="L159" s="54" t="n"/>
    </row>
    <row r="160" ht="26.85" customHeight="1" s="206">
      <c r="A160" s="20" t="n"/>
      <c r="B160" s="21" t="inlineStr">
        <is>
          <t>Deaths</t>
        </is>
      </c>
      <c r="C160" s="178" t="n"/>
      <c r="D160" s="177" t="n"/>
      <c r="E160" s="177" t="n"/>
      <c r="F160" s="177" t="n"/>
      <c r="G160" s="177" t="n"/>
      <c r="H160" s="177" t="n"/>
      <c r="I160" s="177" t="n"/>
      <c r="J160" s="177" t="n"/>
      <c r="K160" s="177" t="n"/>
      <c r="L160" s="22" t="n"/>
    </row>
    <row r="161" ht="20.1" customHeight="1" s="206">
      <c r="A161" s="156">
        <f t="array" ref="A161">deaths!$A7</f>
        <v/>
      </c>
      <c r="B161" s="54" t="n"/>
      <c r="C161" s="54">
        <f t="array" ref="C161">deaths!C7</f>
        <v/>
      </c>
      <c r="D161" s="54">
        <f t="array" ref="D161">deaths!D7</f>
        <v/>
      </c>
      <c r="E161" s="54">
        <f t="array" ref="E161">deaths!E7</f>
        <v/>
      </c>
      <c r="F161" s="54">
        <f t="array" ref="F161">deaths!F7</f>
        <v/>
      </c>
      <c r="G161" s="54">
        <f t="array" ref="G161">deaths!G7</f>
        <v/>
      </c>
      <c r="H161" s="54">
        <f t="array" ref="H161">deaths!H7</f>
        <v/>
      </c>
      <c r="I161" s="54">
        <f t="array" ref="I161">deaths!I7</f>
        <v/>
      </c>
      <c r="J161" s="54">
        <f t="array" ref="J161">deaths!J7</f>
        <v/>
      </c>
      <c r="K161" s="54">
        <f t="array" ref="K161">deaths!K7</f>
        <v/>
      </c>
      <c r="L161" s="54" t="n"/>
    </row>
    <row r="162" ht="20.1" customHeight="1" s="206">
      <c r="A162" s="156">
        <f t="array" ref="A162">deaths!$A8</f>
        <v/>
      </c>
      <c r="B162" s="54" t="n"/>
      <c r="C162" s="54">
        <f t="array" ref="C162">deaths!C8</f>
        <v/>
      </c>
      <c r="D162" s="54">
        <f t="array" ref="D162">deaths!D8</f>
        <v/>
      </c>
      <c r="E162" s="54">
        <f t="array" ref="E162">deaths!E8</f>
        <v/>
      </c>
      <c r="F162" s="54">
        <f t="array" ref="F162">deaths!F8</f>
        <v/>
      </c>
      <c r="G162" s="54">
        <f t="array" ref="G162">deaths!G8</f>
        <v/>
      </c>
      <c r="H162" s="54">
        <f t="array" ref="H162">deaths!H8</f>
        <v/>
      </c>
      <c r="I162" s="54">
        <f t="array" ref="I162">deaths!I8</f>
        <v/>
      </c>
      <c r="J162" s="54">
        <f t="array" ref="J162">deaths!J8</f>
        <v/>
      </c>
      <c r="K162" s="54">
        <f t="array" ref="K162">deaths!K8</f>
        <v/>
      </c>
      <c r="L162" s="54" t="n"/>
    </row>
    <row r="163" ht="20.1" customHeight="1" s="206">
      <c r="A163" s="156">
        <f t="array" ref="A163">deaths!$A9</f>
        <v/>
      </c>
      <c r="B163" s="54" t="n"/>
      <c r="C163" s="54">
        <f t="array" ref="C163">deaths!C9</f>
        <v/>
      </c>
      <c r="D163" s="54">
        <f t="array" ref="D163">deaths!D9</f>
        <v/>
      </c>
      <c r="E163" s="54">
        <f t="array" ref="E163">deaths!E9</f>
        <v/>
      </c>
      <c r="F163" s="54">
        <f t="array" ref="F163">deaths!F9</f>
        <v/>
      </c>
      <c r="G163" s="54">
        <f t="array" ref="G163">deaths!G9</f>
        <v/>
      </c>
      <c r="H163" s="54">
        <f t="array" ref="H163">deaths!H9</f>
        <v/>
      </c>
      <c r="I163" s="54">
        <f t="array" ref="I163">deaths!I9</f>
        <v/>
      </c>
      <c r="J163" s="54">
        <f t="array" ref="J163">deaths!J9</f>
        <v/>
      </c>
      <c r="K163" s="54">
        <f t="array" ref="K163">deaths!K9</f>
        <v/>
      </c>
      <c r="L163" s="54" t="n"/>
    </row>
    <row r="164" ht="20.1" customHeight="1" s="206">
      <c r="A164" s="156">
        <f t="array" ref="A164">deaths!$A10</f>
        <v/>
      </c>
      <c r="B164" s="54" t="n"/>
      <c r="C164" s="54">
        <f t="array" ref="C164">deaths!C10</f>
        <v/>
      </c>
      <c r="D164" s="54">
        <f t="array" ref="D164">deaths!D10</f>
        <v/>
      </c>
      <c r="E164" s="54">
        <f t="array" ref="E164">deaths!E10</f>
        <v/>
      </c>
      <c r="F164" s="54">
        <f t="array" ref="F164">deaths!F10</f>
        <v/>
      </c>
      <c r="G164" s="54">
        <f t="array" ref="G164">deaths!G10</f>
        <v/>
      </c>
      <c r="H164" s="54">
        <f t="array" ref="H164">deaths!H10</f>
        <v/>
      </c>
      <c r="I164" s="54">
        <f t="array" ref="I164">deaths!I10</f>
        <v/>
      </c>
      <c r="J164" s="54">
        <f t="array" ref="J164">deaths!J10</f>
        <v/>
      </c>
      <c r="K164" s="54">
        <f t="array" ref="K164">deaths!K10</f>
        <v/>
      </c>
      <c r="L164" s="54" t="n"/>
    </row>
    <row r="165" ht="20.1" customHeight="1" s="206">
      <c r="A165" s="156">
        <f t="array" ref="A165">deaths!$A11</f>
        <v/>
      </c>
      <c r="B165" s="54" t="n"/>
      <c r="C165" s="54">
        <f t="array" ref="C165">deaths!C11</f>
        <v/>
      </c>
      <c r="D165" s="54">
        <f t="array" ref="D165">deaths!D11</f>
        <v/>
      </c>
      <c r="E165" s="54">
        <f t="array" ref="E165">deaths!E11</f>
        <v/>
      </c>
      <c r="F165" s="54">
        <f t="array" ref="F165">deaths!F11</f>
        <v/>
      </c>
      <c r="G165" s="54">
        <f t="array" ref="G165">deaths!G11</f>
        <v/>
      </c>
      <c r="H165" s="54">
        <f t="array" ref="H165">deaths!H11</f>
        <v/>
      </c>
      <c r="I165" s="54">
        <f t="array" ref="I165">deaths!I11</f>
        <v/>
      </c>
      <c r="J165" s="54">
        <f t="array" ref="J165">deaths!J11</f>
        <v/>
      </c>
      <c r="K165" s="54">
        <f t="array" ref="K165">deaths!K11</f>
        <v/>
      </c>
      <c r="L165" s="54" t="n"/>
    </row>
    <row r="166" ht="20.1" customHeight="1" s="206">
      <c r="A166" s="156">
        <f t="array" ref="A166">deaths!$A12</f>
        <v/>
      </c>
      <c r="B166" s="54" t="n"/>
      <c r="C166" s="54">
        <f t="array" ref="C166">deaths!C12</f>
        <v/>
      </c>
      <c r="D166" s="54">
        <f t="array" ref="D166">deaths!D12</f>
        <v/>
      </c>
      <c r="E166" s="54">
        <f t="array" ref="E166">deaths!E12</f>
        <v/>
      </c>
      <c r="F166" s="54">
        <f t="array" ref="F166">deaths!F12</f>
        <v/>
      </c>
      <c r="G166" s="54">
        <f t="array" ref="G166">deaths!G12</f>
        <v/>
      </c>
      <c r="H166" s="54">
        <f t="array" ref="H166">deaths!H12</f>
        <v/>
      </c>
      <c r="I166" s="54">
        <f t="array" ref="I166">deaths!I12</f>
        <v/>
      </c>
      <c r="J166" s="54">
        <f t="array" ref="J166">deaths!J12</f>
        <v/>
      </c>
      <c r="K166" s="54">
        <f t="array" ref="K166">deaths!K12</f>
        <v/>
      </c>
      <c r="L166" s="54" t="n"/>
    </row>
    <row r="167" ht="20.1" customHeight="1" s="206">
      <c r="A167" s="156">
        <f t="array" ref="A167">deaths!$A13</f>
        <v/>
      </c>
      <c r="B167" s="54" t="n"/>
      <c r="C167" s="54">
        <f t="array" ref="C167">deaths!C13</f>
        <v/>
      </c>
      <c r="D167" s="54">
        <f t="array" ref="D167">deaths!D13</f>
        <v/>
      </c>
      <c r="E167" s="54">
        <f t="array" ref="E167">deaths!E13</f>
        <v/>
      </c>
      <c r="F167" s="54">
        <f t="array" ref="F167">deaths!F13</f>
        <v/>
      </c>
      <c r="G167" s="54">
        <f t="array" ref="G167">deaths!G13</f>
        <v/>
      </c>
      <c r="H167" s="54">
        <f t="array" ref="H167">deaths!H13</f>
        <v/>
      </c>
      <c r="I167" s="54">
        <f t="array" ref="I167">deaths!I13</f>
        <v/>
      </c>
      <c r="J167" s="54">
        <f t="array" ref="J167">deaths!J13</f>
        <v/>
      </c>
      <c r="K167" s="54">
        <f t="array" ref="K167">deaths!K13</f>
        <v/>
      </c>
      <c r="L167" s="54" t="n"/>
    </row>
    <row r="168" ht="20.1" customHeight="1" s="206">
      <c r="A168" s="156">
        <f t="array" ref="A168">deaths!$A14</f>
        <v/>
      </c>
      <c r="B168" s="54" t="n"/>
      <c r="C168" s="54">
        <f t="array" ref="C168">deaths!C14</f>
        <v/>
      </c>
      <c r="D168" s="54">
        <f t="array" ref="D168">deaths!D14</f>
        <v/>
      </c>
      <c r="E168" s="54">
        <f t="array" ref="E168">deaths!E14</f>
        <v/>
      </c>
      <c r="F168" s="54">
        <f t="array" ref="F168">deaths!F14</f>
        <v/>
      </c>
      <c r="G168" s="54">
        <f t="array" ref="G168">deaths!G14</f>
        <v/>
      </c>
      <c r="H168" s="54">
        <f t="array" ref="H168">deaths!H14</f>
        <v/>
      </c>
      <c r="I168" s="54">
        <f t="array" ref="I168">deaths!I14</f>
        <v/>
      </c>
      <c r="J168" s="54">
        <f t="array" ref="J168">deaths!J14</f>
        <v/>
      </c>
      <c r="K168" s="54">
        <f t="array" ref="K168">deaths!K14</f>
        <v/>
      </c>
      <c r="L168" s="54" t="n"/>
    </row>
    <row r="169" ht="20.1" customHeight="1" s="206">
      <c r="A169" s="156">
        <f t="array" ref="A169">deaths!$A15</f>
        <v/>
      </c>
      <c r="B169" s="54" t="n"/>
      <c r="C169" s="54">
        <f t="array" ref="C169">deaths!C15</f>
        <v/>
      </c>
      <c r="D169" s="54">
        <f t="array" ref="D169">deaths!D15</f>
        <v/>
      </c>
      <c r="E169" s="54">
        <f t="array" ref="E169">deaths!E15</f>
        <v/>
      </c>
      <c r="F169" s="54">
        <f t="array" ref="F169">deaths!F15</f>
        <v/>
      </c>
      <c r="G169" s="54">
        <f t="array" ref="G169">deaths!G15</f>
        <v/>
      </c>
      <c r="H169" s="54">
        <f t="array" ref="H169">deaths!H15</f>
        <v/>
      </c>
      <c r="I169" s="54">
        <f t="array" ref="I169">deaths!I15</f>
        <v/>
      </c>
      <c r="J169" s="54">
        <f t="array" ref="J169">deaths!J15</f>
        <v/>
      </c>
      <c r="K169" s="54">
        <f t="array" ref="K169">deaths!K15</f>
        <v/>
      </c>
      <c r="L169" s="54" t="n"/>
    </row>
    <row r="170" ht="20.1" customHeight="1" s="206">
      <c r="A170" s="156">
        <f t="array" ref="A170">deaths!$A16</f>
        <v/>
      </c>
      <c r="B170" s="54" t="n"/>
      <c r="C170" s="54">
        <f t="array" ref="C170">deaths!C16</f>
        <v/>
      </c>
      <c r="D170" s="54">
        <f t="array" ref="D170">deaths!D16</f>
        <v/>
      </c>
      <c r="E170" s="54">
        <f t="array" ref="E170">deaths!E16</f>
        <v/>
      </c>
      <c r="F170" s="54">
        <f t="array" ref="F170">deaths!F16</f>
        <v/>
      </c>
      <c r="G170" s="54">
        <f t="array" ref="G170">deaths!G16</f>
        <v/>
      </c>
      <c r="H170" s="54">
        <f t="array" ref="H170">deaths!H16</f>
        <v/>
      </c>
      <c r="I170" s="54">
        <f t="array" ref="I170">deaths!I16</f>
        <v/>
      </c>
      <c r="J170" s="54">
        <f t="array" ref="J170">deaths!J16</f>
        <v/>
      </c>
      <c r="K170" s="54">
        <f t="array" ref="K170">deaths!K16</f>
        <v/>
      </c>
      <c r="L170" s="54" t="n"/>
    </row>
    <row r="171" ht="20.1" customHeight="1" s="206">
      <c r="A171" s="156">
        <f t="array" ref="A171">deaths!$A17</f>
        <v/>
      </c>
      <c r="B171" s="54" t="n"/>
      <c r="C171" s="54">
        <f t="array" ref="C171">deaths!C17</f>
        <v/>
      </c>
      <c r="D171" s="54">
        <f t="array" ref="D171">deaths!D17</f>
        <v/>
      </c>
      <c r="E171" s="54">
        <f t="array" ref="E171">deaths!E17</f>
        <v/>
      </c>
      <c r="F171" s="54">
        <f t="array" ref="F171">deaths!F17</f>
        <v/>
      </c>
      <c r="G171" s="54">
        <f t="array" ref="G171">deaths!G17</f>
        <v/>
      </c>
      <c r="H171" s="54">
        <f t="array" ref="H171">deaths!H17</f>
        <v/>
      </c>
      <c r="I171" s="54">
        <f t="array" ref="I171">deaths!I17</f>
        <v/>
      </c>
      <c r="J171" s="54">
        <f t="array" ref="J171">deaths!J17</f>
        <v/>
      </c>
      <c r="K171" s="54">
        <f t="array" ref="K171">deaths!K17</f>
        <v/>
      </c>
      <c r="L171" s="54" t="n"/>
    </row>
    <row r="172" ht="20.1" customHeight="1" s="206">
      <c r="A172" s="156">
        <f t="array" ref="A172">deaths!$A18</f>
        <v/>
      </c>
      <c r="B172" s="54" t="n"/>
      <c r="C172" s="54">
        <f t="array" ref="C172">deaths!C18</f>
        <v/>
      </c>
      <c r="D172" s="54">
        <f t="array" ref="D172">deaths!D18</f>
        <v/>
      </c>
      <c r="E172" s="54">
        <f t="array" ref="E172">deaths!E18</f>
        <v/>
      </c>
      <c r="F172" s="54">
        <f t="array" ref="F172">deaths!F18</f>
        <v/>
      </c>
      <c r="G172" s="54">
        <f t="array" ref="G172">deaths!G18</f>
        <v/>
      </c>
      <c r="H172" s="54">
        <f t="array" ref="H172">deaths!H18</f>
        <v/>
      </c>
      <c r="I172" s="54">
        <f t="array" ref="I172">deaths!I18</f>
        <v/>
      </c>
      <c r="J172" s="54">
        <f t="array" ref="J172">deaths!J18</f>
        <v/>
      </c>
      <c r="K172" s="54">
        <f t="array" ref="K172">deaths!K18</f>
        <v/>
      </c>
      <c r="L172" s="54" t="n"/>
    </row>
    <row r="173" ht="20.1" customHeight="1" s="206">
      <c r="A173" s="156">
        <f t="array" ref="A173">deaths!$A19</f>
        <v/>
      </c>
      <c r="B173" s="54" t="n"/>
      <c r="C173" s="54">
        <f t="array" ref="C173">deaths!C19</f>
        <v/>
      </c>
      <c r="D173" s="54">
        <f t="array" ref="D173">deaths!D19</f>
        <v/>
      </c>
      <c r="E173" s="54">
        <f t="array" ref="E173">deaths!E19</f>
        <v/>
      </c>
      <c r="F173" s="54">
        <f t="array" ref="F173">deaths!F19</f>
        <v/>
      </c>
      <c r="G173" s="54">
        <f t="array" ref="G173">deaths!G19</f>
        <v/>
      </c>
      <c r="H173" s="54">
        <f t="array" ref="H173">deaths!H19</f>
        <v/>
      </c>
      <c r="I173" s="54">
        <f t="array" ref="I173">deaths!I19</f>
        <v/>
      </c>
      <c r="J173" s="54">
        <f t="array" ref="J173">deaths!J19</f>
        <v/>
      </c>
      <c r="K173" s="54">
        <f t="array" ref="K173">deaths!K19</f>
        <v/>
      </c>
      <c r="L173" s="54" t="n"/>
    </row>
    <row r="174" ht="20.1" customHeight="1" s="206">
      <c r="A174" s="156">
        <f t="array" ref="A174">deaths!$A20</f>
        <v/>
      </c>
      <c r="B174" s="54" t="n"/>
      <c r="C174" s="54">
        <f t="array" ref="C174">deaths!C20</f>
        <v/>
      </c>
      <c r="D174" s="54">
        <f t="array" ref="D174">deaths!D20</f>
        <v/>
      </c>
      <c r="E174" s="54">
        <f t="array" ref="E174">deaths!E20</f>
        <v/>
      </c>
      <c r="F174" s="54">
        <f t="array" ref="F174">deaths!F20</f>
        <v/>
      </c>
      <c r="G174" s="54">
        <f t="array" ref="G174">deaths!G20</f>
        <v/>
      </c>
      <c r="H174" s="54">
        <f t="array" ref="H174">deaths!H20</f>
        <v/>
      </c>
      <c r="I174" s="54">
        <f t="array" ref="I174">deaths!I20</f>
        <v/>
      </c>
      <c r="J174" s="54">
        <f t="array" ref="J174">deaths!J20</f>
        <v/>
      </c>
      <c r="K174" s="54">
        <f t="array" ref="K174">deaths!K20</f>
        <v/>
      </c>
      <c r="L174" s="54" t="n"/>
    </row>
    <row r="175" ht="20.1" customHeight="1" s="206">
      <c r="A175" s="156">
        <f t="array" ref="A175">deaths!$A21</f>
        <v/>
      </c>
      <c r="B175" s="54" t="n"/>
      <c r="C175" s="54">
        <f t="array" ref="C175">deaths!C21</f>
        <v/>
      </c>
      <c r="D175" s="54">
        <f t="array" ref="D175">deaths!D21</f>
        <v/>
      </c>
      <c r="E175" s="54">
        <f t="array" ref="E175">deaths!E21</f>
        <v/>
      </c>
      <c r="F175" s="54">
        <f t="array" ref="F175">deaths!F21</f>
        <v/>
      </c>
      <c r="G175" s="54">
        <f t="array" ref="G175">deaths!G21</f>
        <v/>
      </c>
      <c r="H175" s="54">
        <f t="array" ref="H175">deaths!H21</f>
        <v/>
      </c>
      <c r="I175" s="54">
        <f t="array" ref="I175">deaths!I21</f>
        <v/>
      </c>
      <c r="J175" s="54">
        <f t="array" ref="J175">deaths!J21</f>
        <v/>
      </c>
      <c r="K175" s="54">
        <f t="array" ref="K175">deaths!K21</f>
        <v/>
      </c>
      <c r="L175" s="54" t="n"/>
    </row>
    <row r="176" ht="20.1" customHeight="1" s="206">
      <c r="A176" s="156">
        <f t="array" ref="A176">deaths!$A22</f>
        <v/>
      </c>
      <c r="B176" s="54" t="n"/>
      <c r="C176" s="54">
        <f t="array" ref="C176">deaths!C22</f>
        <v/>
      </c>
      <c r="D176" s="54">
        <f t="array" ref="D176">deaths!D22</f>
        <v/>
      </c>
      <c r="E176" s="54">
        <f t="array" ref="E176">deaths!E22</f>
        <v/>
      </c>
      <c r="F176" s="54">
        <f t="array" ref="F176">deaths!F22</f>
        <v/>
      </c>
      <c r="G176" s="54">
        <f t="array" ref="G176">deaths!G22</f>
        <v/>
      </c>
      <c r="H176" s="54">
        <f t="array" ref="H176">deaths!H22</f>
        <v/>
      </c>
      <c r="I176" s="54">
        <f t="array" ref="I176">deaths!I22</f>
        <v/>
      </c>
      <c r="J176" s="54">
        <f t="array" ref="J176">deaths!J22</f>
        <v/>
      </c>
      <c r="K176" s="54">
        <f t="array" ref="K176">deaths!K22</f>
        <v/>
      </c>
      <c r="L176" s="54" t="n"/>
    </row>
    <row r="177" ht="20.1" customHeight="1" s="206">
      <c r="A177" s="156">
        <f t="array" ref="A177">deaths!$A23</f>
        <v/>
      </c>
      <c r="B177" s="54" t="n"/>
      <c r="C177" s="54">
        <f t="array" ref="C177">deaths!C23</f>
        <v/>
      </c>
      <c r="D177" s="54">
        <f t="array" ref="D177">deaths!D23</f>
        <v/>
      </c>
      <c r="E177" s="54">
        <f t="array" ref="E177">deaths!E23</f>
        <v/>
      </c>
      <c r="F177" s="54">
        <f t="array" ref="F177">deaths!F23</f>
        <v/>
      </c>
      <c r="G177" s="54">
        <f t="array" ref="G177">deaths!G23</f>
        <v/>
      </c>
      <c r="H177" s="54">
        <f t="array" ref="H177">deaths!H23</f>
        <v/>
      </c>
      <c r="I177" s="54">
        <f t="array" ref="I177">deaths!I23</f>
        <v/>
      </c>
      <c r="J177" s="54">
        <f t="array" ref="J177">deaths!J23</f>
        <v/>
      </c>
      <c r="K177" s="54">
        <f t="array" ref="K177">deaths!K23</f>
        <v/>
      </c>
      <c r="L177" s="54" t="n"/>
    </row>
    <row r="178" ht="20.1" customHeight="1" s="206">
      <c r="A178" s="156">
        <f t="array" ref="A178">deaths!$A24</f>
        <v/>
      </c>
      <c r="B178" s="54" t="n"/>
      <c r="C178" s="54">
        <f t="array" ref="C178">deaths!C24</f>
        <v/>
      </c>
      <c r="D178" s="54">
        <f t="array" ref="D178">deaths!D24</f>
        <v/>
      </c>
      <c r="E178" s="54">
        <f t="array" ref="E178">deaths!E24</f>
        <v/>
      </c>
      <c r="F178" s="54">
        <f t="array" ref="F178">deaths!F24</f>
        <v/>
      </c>
      <c r="G178" s="54">
        <f t="array" ref="G178">deaths!G24</f>
        <v/>
      </c>
      <c r="H178" s="54">
        <f t="array" ref="H178">deaths!H24</f>
        <v/>
      </c>
      <c r="I178" s="54">
        <f t="array" ref="I178">deaths!I24</f>
        <v/>
      </c>
      <c r="J178" s="54">
        <f t="array" ref="J178">deaths!J24</f>
        <v/>
      </c>
      <c r="K178" s="54">
        <f t="array" ref="K178">deaths!K24</f>
        <v/>
      </c>
      <c r="L178" s="54" t="n"/>
    </row>
    <row r="179" ht="20.1" customHeight="1" s="206">
      <c r="A179" s="156">
        <f t="array" ref="A179">deaths!$A25</f>
        <v/>
      </c>
      <c r="B179" s="54" t="n"/>
      <c r="C179" s="54">
        <f t="array" ref="C179">deaths!C25</f>
        <v/>
      </c>
      <c r="D179" s="54">
        <f t="array" ref="D179">deaths!D25</f>
        <v/>
      </c>
      <c r="E179" s="54">
        <f t="array" ref="E179">deaths!E25</f>
        <v/>
      </c>
      <c r="F179" s="54">
        <f t="array" ref="F179">deaths!F25</f>
        <v/>
      </c>
      <c r="G179" s="54">
        <f t="array" ref="G179">deaths!G25</f>
        <v/>
      </c>
      <c r="H179" s="54">
        <f t="array" ref="H179">deaths!H25</f>
        <v/>
      </c>
      <c r="I179" s="54">
        <f t="array" ref="I179">deaths!I25</f>
        <v/>
      </c>
      <c r="J179" s="54">
        <f t="array" ref="J179">deaths!J25</f>
        <v/>
      </c>
      <c r="K179" s="54">
        <f t="array" ref="K179">deaths!K25</f>
        <v/>
      </c>
      <c r="L179" s="54" t="n"/>
    </row>
    <row r="180" ht="20.1" customHeight="1" s="206">
      <c r="A180" s="156">
        <f t="array" ref="A180">deaths!$A26</f>
        <v/>
      </c>
      <c r="B180" s="54" t="n"/>
      <c r="C180" s="54">
        <f t="array" ref="C180">deaths!C26</f>
        <v/>
      </c>
      <c r="D180" s="54">
        <f t="array" ref="D180">deaths!D26</f>
        <v/>
      </c>
      <c r="E180" s="54">
        <f t="array" ref="E180">deaths!E26</f>
        <v/>
      </c>
      <c r="F180" s="54">
        <f t="array" ref="F180">deaths!F26</f>
        <v/>
      </c>
      <c r="G180" s="54">
        <f t="array" ref="G180">deaths!G26</f>
        <v/>
      </c>
      <c r="H180" s="54">
        <f t="array" ref="H180">deaths!H26</f>
        <v/>
      </c>
      <c r="I180" s="54">
        <f t="array" ref="I180">deaths!I26</f>
        <v/>
      </c>
      <c r="J180" s="54">
        <f t="array" ref="J180">deaths!J26</f>
        <v/>
      </c>
      <c r="K180" s="54">
        <f t="array" ref="K180">deaths!K26</f>
        <v/>
      </c>
      <c r="L180" s="54" t="n"/>
    </row>
    <row r="181" ht="20.1" customHeight="1" s="206">
      <c r="A181" s="156">
        <f t="array" ref="A181">deaths!$A27</f>
        <v/>
      </c>
      <c r="B181" s="54" t="n"/>
      <c r="C181" s="54">
        <f t="array" ref="C181">deaths!C27</f>
        <v/>
      </c>
      <c r="D181" s="54">
        <f t="array" ref="D181">deaths!D27</f>
        <v/>
      </c>
      <c r="E181" s="54">
        <f t="array" ref="E181">deaths!E27</f>
        <v/>
      </c>
      <c r="F181" s="54">
        <f t="array" ref="F181">deaths!F27</f>
        <v/>
      </c>
      <c r="G181" s="54">
        <f t="array" ref="G181">deaths!G27</f>
        <v/>
      </c>
      <c r="H181" s="54">
        <f t="array" ref="H181">deaths!H27</f>
        <v/>
      </c>
      <c r="I181" s="54">
        <f t="array" ref="I181">deaths!I27</f>
        <v/>
      </c>
      <c r="J181" s="54">
        <f t="array" ref="J181">deaths!J27</f>
        <v/>
      </c>
      <c r="K181" s="54">
        <f t="array" ref="K181">deaths!K27</f>
        <v/>
      </c>
      <c r="L181" s="54" t="n"/>
    </row>
    <row r="182" ht="20.1" customHeight="1" s="206">
      <c r="A182" s="156">
        <f t="array" ref="A182">deaths!$A28</f>
        <v/>
      </c>
      <c r="B182" s="54" t="n"/>
      <c r="C182" s="54">
        <f t="array" ref="C182">deaths!C28</f>
        <v/>
      </c>
      <c r="D182" s="54">
        <f t="array" ref="D182">deaths!D28</f>
        <v/>
      </c>
      <c r="E182" s="54">
        <f t="array" ref="E182">deaths!E28</f>
        <v/>
      </c>
      <c r="F182" s="54">
        <f t="array" ref="F182">deaths!F28</f>
        <v/>
      </c>
      <c r="G182" s="54">
        <f t="array" ref="G182">deaths!G28</f>
        <v/>
      </c>
      <c r="H182" s="54">
        <f t="array" ref="H182">deaths!H28</f>
        <v/>
      </c>
      <c r="I182" s="54">
        <f t="array" ref="I182">deaths!I28</f>
        <v/>
      </c>
      <c r="J182" s="54">
        <f t="array" ref="J182">deaths!J28</f>
        <v/>
      </c>
      <c r="K182" s="54">
        <f t="array" ref="K182">deaths!K28</f>
        <v/>
      </c>
      <c r="L182" s="54" t="n"/>
    </row>
    <row r="183" ht="20.1" customHeight="1" s="206">
      <c r="A183" s="156">
        <f t="array" ref="A183">deaths!$A29</f>
        <v/>
      </c>
      <c r="B183" s="54" t="n"/>
      <c r="C183" s="54">
        <f t="array" ref="C183">deaths!C29</f>
        <v/>
      </c>
      <c r="D183" s="54">
        <f t="array" ref="D183">deaths!D29</f>
        <v/>
      </c>
      <c r="E183" s="54">
        <f t="array" ref="E183">deaths!E29</f>
        <v/>
      </c>
      <c r="F183" s="54">
        <f t="array" ref="F183">deaths!F29</f>
        <v/>
      </c>
      <c r="G183" s="54">
        <f t="array" ref="G183">deaths!G29</f>
        <v/>
      </c>
      <c r="H183" s="54">
        <f t="array" ref="H183">deaths!H29</f>
        <v/>
      </c>
      <c r="I183" s="54">
        <f t="array" ref="I183">deaths!I29</f>
        <v/>
      </c>
      <c r="J183" s="54">
        <f t="array" ref="J183">deaths!J29</f>
        <v/>
      </c>
      <c r="K183" s="54">
        <f t="array" ref="K183">deaths!K29</f>
        <v/>
      </c>
      <c r="L183" s="54" t="n"/>
    </row>
    <row r="184" ht="20.1" customHeight="1" s="206">
      <c r="A184" s="156">
        <f t="array" ref="A184">deaths!$A30</f>
        <v/>
      </c>
      <c r="B184" s="54" t="n"/>
      <c r="C184" s="54">
        <f t="array" ref="C184">deaths!C30</f>
        <v/>
      </c>
      <c r="D184" s="54">
        <f t="array" ref="D184">deaths!D30</f>
        <v/>
      </c>
      <c r="E184" s="54">
        <f t="array" ref="E184">deaths!E30</f>
        <v/>
      </c>
      <c r="F184" s="54">
        <f t="array" ref="F184">deaths!F30</f>
        <v/>
      </c>
      <c r="G184" s="54">
        <f t="array" ref="G184">deaths!G30</f>
        <v/>
      </c>
      <c r="H184" s="54">
        <f t="array" ref="H184">deaths!H30</f>
        <v/>
      </c>
      <c r="I184" s="54">
        <f t="array" ref="I184">deaths!I30</f>
        <v/>
      </c>
      <c r="J184" s="54">
        <f t="array" ref="J184">deaths!J30</f>
        <v/>
      </c>
      <c r="K184" s="54">
        <f t="array" ref="K184">deaths!K30</f>
        <v/>
      </c>
      <c r="L184" s="54" t="n"/>
    </row>
    <row r="185" ht="20.1" customHeight="1" s="206">
      <c r="A185" s="156">
        <f t="array" ref="A185">deaths!$A31</f>
        <v/>
      </c>
      <c r="B185" s="54" t="n"/>
      <c r="C185" s="54">
        <f t="array" ref="C185">deaths!C31</f>
        <v/>
      </c>
      <c r="D185" s="54">
        <f t="array" ref="D185">deaths!D31</f>
        <v/>
      </c>
      <c r="E185" s="54">
        <f t="array" ref="E185">deaths!E31</f>
        <v/>
      </c>
      <c r="F185" s="54">
        <f t="array" ref="F185">deaths!F31</f>
        <v/>
      </c>
      <c r="G185" s="54">
        <f t="array" ref="G185">deaths!G31</f>
        <v/>
      </c>
      <c r="H185" s="54">
        <f t="array" ref="H185">deaths!H31</f>
        <v/>
      </c>
      <c r="I185" s="54">
        <f t="array" ref="I185">deaths!I31</f>
        <v/>
      </c>
      <c r="J185" s="54">
        <f t="array" ref="J185">deaths!J31</f>
        <v/>
      </c>
      <c r="K185" s="54">
        <f t="array" ref="K185">deaths!K31</f>
        <v/>
      </c>
      <c r="L185" s="54" t="n"/>
    </row>
    <row r="186" ht="20.1" customHeight="1" s="206">
      <c r="A186" s="156">
        <f t="array" ref="A186">deaths!$A32</f>
        <v/>
      </c>
      <c r="B186" s="54" t="n"/>
      <c r="C186" s="54">
        <f t="array" ref="C186">deaths!C32</f>
        <v/>
      </c>
      <c r="D186" s="54">
        <f t="array" ref="D186">deaths!D32</f>
        <v/>
      </c>
      <c r="E186" s="54">
        <f t="array" ref="E186">deaths!E32</f>
        <v/>
      </c>
      <c r="F186" s="54">
        <f t="array" ref="F186">deaths!F32</f>
        <v/>
      </c>
      <c r="G186" s="54">
        <f t="array" ref="G186">deaths!G32</f>
        <v/>
      </c>
      <c r="H186" s="54">
        <f t="array" ref="H186">deaths!H32</f>
        <v/>
      </c>
      <c r="I186" s="54">
        <f t="array" ref="I186">deaths!I32</f>
        <v/>
      </c>
      <c r="J186" s="54">
        <f t="array" ref="J186">deaths!J32</f>
        <v/>
      </c>
      <c r="K186" s="54">
        <f t="array" ref="K186">deaths!K32</f>
        <v/>
      </c>
      <c r="L186" s="54" t="n"/>
    </row>
    <row r="187" ht="20.1" customHeight="1" s="206">
      <c r="A187" s="156">
        <f t="array" ref="A187">deaths!$A33</f>
        <v/>
      </c>
      <c r="B187" s="54" t="n"/>
      <c r="C187" s="54">
        <f t="array" ref="C187">deaths!C33</f>
        <v/>
      </c>
      <c r="D187" s="54">
        <f t="array" ref="D187">deaths!D33</f>
        <v/>
      </c>
      <c r="E187" s="54">
        <f t="array" ref="E187">deaths!E33</f>
        <v/>
      </c>
      <c r="F187" s="54">
        <f t="array" ref="F187">deaths!F33</f>
        <v/>
      </c>
      <c r="G187" s="54">
        <f t="array" ref="G187">deaths!G33</f>
        <v/>
      </c>
      <c r="H187" s="54">
        <f t="array" ref="H187">deaths!H33</f>
        <v/>
      </c>
      <c r="I187" s="54">
        <f t="array" ref="I187">deaths!I33</f>
        <v/>
      </c>
      <c r="J187" s="54">
        <f t="array" ref="J187">deaths!J33</f>
        <v/>
      </c>
      <c r="K187" s="54">
        <f t="array" ref="K187">deaths!K33</f>
        <v/>
      </c>
      <c r="L187" s="54" t="n"/>
    </row>
    <row r="188" ht="20.1" customHeight="1" s="206">
      <c r="A188" s="156">
        <f t="array" ref="A188">deaths!$A34</f>
        <v/>
      </c>
      <c r="B188" s="54" t="n"/>
      <c r="C188" s="54">
        <f t="array" ref="C188">deaths!C34</f>
        <v/>
      </c>
      <c r="D188" s="54">
        <f t="array" ref="D188">deaths!D34</f>
        <v/>
      </c>
      <c r="E188" s="54">
        <f t="array" ref="E188">deaths!E34</f>
        <v/>
      </c>
      <c r="F188" s="54">
        <f t="array" ref="F188">deaths!F34</f>
        <v/>
      </c>
      <c r="G188" s="54">
        <f t="array" ref="G188">deaths!G34</f>
        <v/>
      </c>
      <c r="H188" s="54">
        <f t="array" ref="H188">deaths!H34</f>
        <v/>
      </c>
      <c r="I188" s="54">
        <f t="array" ref="I188">deaths!I34</f>
        <v/>
      </c>
      <c r="J188" s="54">
        <f t="array" ref="J188">deaths!J34</f>
        <v/>
      </c>
      <c r="K188" s="54">
        <f t="array" ref="K188">deaths!K34</f>
        <v/>
      </c>
      <c r="L188" s="54" t="n"/>
    </row>
    <row r="189" ht="20.1" customHeight="1" s="206">
      <c r="A189" s="156">
        <f t="array" ref="A189">deaths!$A35</f>
        <v/>
      </c>
      <c r="B189" s="54" t="n"/>
      <c r="C189" s="54">
        <f t="array" ref="C189">deaths!C35</f>
        <v/>
      </c>
      <c r="D189" s="54">
        <f t="array" ref="D189">deaths!D35</f>
        <v/>
      </c>
      <c r="E189" s="54">
        <f t="array" ref="E189">deaths!E35</f>
        <v/>
      </c>
      <c r="F189" s="54">
        <f t="array" ref="F189">deaths!F35</f>
        <v/>
      </c>
      <c r="G189" s="54">
        <f t="array" ref="G189">deaths!G35</f>
        <v/>
      </c>
      <c r="H189" s="54">
        <f t="array" ref="H189">deaths!H35</f>
        <v/>
      </c>
      <c r="I189" s="54">
        <f t="array" ref="I189">deaths!I35</f>
        <v/>
      </c>
      <c r="J189" s="54">
        <f t="array" ref="J189">deaths!J35</f>
        <v/>
      </c>
      <c r="K189" s="54">
        <f t="array" ref="K189">deaths!K35</f>
        <v/>
      </c>
      <c r="L189" s="54" t="n"/>
    </row>
    <row r="190" ht="20.1" customHeight="1" s="206">
      <c r="A190" s="156">
        <f t="array" ref="A190">deaths!$A36</f>
        <v/>
      </c>
      <c r="B190" s="54" t="n"/>
      <c r="C190" s="54">
        <f t="array" ref="C190">deaths!C36</f>
        <v/>
      </c>
      <c r="D190" s="54">
        <f t="array" ref="D190">deaths!D36</f>
        <v/>
      </c>
      <c r="E190" s="54">
        <f t="array" ref="E190">deaths!E36</f>
        <v/>
      </c>
      <c r="F190" s="54">
        <f t="array" ref="F190">deaths!F36</f>
        <v/>
      </c>
      <c r="G190" s="54">
        <f t="array" ref="G190">deaths!G36</f>
        <v/>
      </c>
      <c r="H190" s="54">
        <f t="array" ref="H190">deaths!H36</f>
        <v/>
      </c>
      <c r="I190" s="54">
        <f t="array" ref="I190">deaths!I36</f>
        <v/>
      </c>
      <c r="J190" s="54">
        <f t="array" ref="J190">deaths!J36</f>
        <v/>
      </c>
      <c r="K190" s="54">
        <f t="array" ref="K190">deaths!K36</f>
        <v/>
      </c>
      <c r="L190" s="54" t="n"/>
    </row>
    <row r="191" ht="20.1" customHeight="1" s="206">
      <c r="A191" s="156">
        <f t="array" ref="A191">deaths!$A37</f>
        <v/>
      </c>
      <c r="B191" s="54" t="n"/>
      <c r="C191" s="54">
        <f t="array" ref="C191">deaths!C37</f>
        <v/>
      </c>
      <c r="D191" s="54">
        <f t="array" ref="D191">deaths!D37</f>
        <v/>
      </c>
      <c r="E191" s="54">
        <f t="array" ref="E191">deaths!E37</f>
        <v/>
      </c>
      <c r="F191" s="54">
        <f t="array" ref="F191">deaths!F37</f>
        <v/>
      </c>
      <c r="G191" s="54">
        <f t="array" ref="G191">deaths!G37</f>
        <v/>
      </c>
      <c r="H191" s="54">
        <f t="array" ref="H191">deaths!H37</f>
        <v/>
      </c>
      <c r="I191" s="54">
        <f t="array" ref="I191">deaths!I37</f>
        <v/>
      </c>
      <c r="J191" s="54">
        <f t="array" ref="J191">deaths!J37</f>
        <v/>
      </c>
      <c r="K191" s="54">
        <f t="array" ref="K191">deaths!K37</f>
        <v/>
      </c>
      <c r="L191" s="54" t="n"/>
    </row>
    <row r="192" ht="20.1" customHeight="1" s="206">
      <c r="A192" s="156">
        <f t="array" ref="A192">deaths!$A38</f>
        <v/>
      </c>
      <c r="B192" s="54" t="n"/>
      <c r="C192" s="54">
        <f t="array" ref="C192">deaths!C38</f>
        <v/>
      </c>
      <c r="D192" s="54">
        <f t="array" ref="D192">deaths!D38</f>
        <v/>
      </c>
      <c r="E192" s="54">
        <f t="array" ref="E192">deaths!E38</f>
        <v/>
      </c>
      <c r="F192" s="54">
        <f t="array" ref="F192">deaths!F38</f>
        <v/>
      </c>
      <c r="G192" s="54">
        <f t="array" ref="G192">deaths!G38</f>
        <v/>
      </c>
      <c r="H192" s="54">
        <f t="array" ref="H192">deaths!H38</f>
        <v/>
      </c>
      <c r="I192" s="54">
        <f t="array" ref="I192">deaths!I38</f>
        <v/>
      </c>
      <c r="J192" s="54">
        <f t="array" ref="J192">deaths!J38</f>
        <v/>
      </c>
      <c r="K192" s="54">
        <f t="array" ref="K192">deaths!K38</f>
        <v/>
      </c>
      <c r="L192" s="54" t="n"/>
    </row>
    <row r="193" ht="20.1" customHeight="1" s="206">
      <c r="A193" s="156">
        <f t="array" ref="A193">deaths!$A39</f>
        <v/>
      </c>
      <c r="B193" s="54" t="n"/>
      <c r="C193" s="54">
        <f t="array" ref="C193">deaths!C39</f>
        <v/>
      </c>
      <c r="D193" s="54">
        <f t="array" ref="D193">deaths!D39</f>
        <v/>
      </c>
      <c r="E193" s="54">
        <f t="array" ref="E193">deaths!E39</f>
        <v/>
      </c>
      <c r="F193" s="54">
        <f t="array" ref="F193">deaths!F39</f>
        <v/>
      </c>
      <c r="G193" s="54">
        <f t="array" ref="G193">deaths!G39</f>
        <v/>
      </c>
      <c r="H193" s="54">
        <f t="array" ref="H193">deaths!H39</f>
        <v/>
      </c>
      <c r="I193" s="54">
        <f t="array" ref="I193">deaths!I39</f>
        <v/>
      </c>
      <c r="J193" s="54">
        <f t="array" ref="J193">deaths!J39</f>
        <v/>
      </c>
      <c r="K193" s="54">
        <f t="array" ref="K193">deaths!K39</f>
        <v/>
      </c>
      <c r="L193" s="54" t="n"/>
    </row>
    <row r="194" ht="20.1" customHeight="1" s="206">
      <c r="A194" s="156">
        <f t="array" ref="A194">deaths!$A40</f>
        <v/>
      </c>
      <c r="B194" s="54" t="n"/>
      <c r="C194" s="54">
        <f t="array" ref="C194">deaths!C40</f>
        <v/>
      </c>
      <c r="D194" s="54">
        <f t="array" ref="D194">deaths!D40</f>
        <v/>
      </c>
      <c r="E194" s="54">
        <f t="array" ref="E194">deaths!E40</f>
        <v/>
      </c>
      <c r="F194" s="54">
        <f t="array" ref="F194">deaths!F40</f>
        <v/>
      </c>
      <c r="G194" s="54">
        <f t="array" ref="G194">deaths!G40</f>
        <v/>
      </c>
      <c r="H194" s="54">
        <f t="array" ref="H194">deaths!H40</f>
        <v/>
      </c>
      <c r="I194" s="54">
        <f t="array" ref="I194">deaths!I40</f>
        <v/>
      </c>
      <c r="J194" s="54">
        <f t="array" ref="J194">deaths!J40</f>
        <v/>
      </c>
      <c r="K194" s="54">
        <f t="array" ref="K194">deaths!K40</f>
        <v/>
      </c>
      <c r="L194" s="54" t="n"/>
    </row>
    <row r="195" ht="20.1" customHeight="1" s="206">
      <c r="A195" s="156">
        <f t="array" ref="A195">deaths!$A41</f>
        <v/>
      </c>
      <c r="B195" s="54" t="n"/>
      <c r="C195" s="54">
        <f t="array" ref="C195">deaths!C41</f>
        <v/>
      </c>
      <c r="D195" s="54">
        <f t="array" ref="D195">deaths!D41</f>
        <v/>
      </c>
      <c r="E195" s="54">
        <f t="array" ref="E195">deaths!E41</f>
        <v/>
      </c>
      <c r="F195" s="54">
        <f t="array" ref="F195">deaths!F41</f>
        <v/>
      </c>
      <c r="G195" s="54">
        <f t="array" ref="G195">deaths!G41</f>
        <v/>
      </c>
      <c r="H195" s="54">
        <f t="array" ref="H195">deaths!H41</f>
        <v/>
      </c>
      <c r="I195" s="54">
        <f t="array" ref="I195">deaths!I41</f>
        <v/>
      </c>
      <c r="J195" s="54">
        <f t="array" ref="J195">deaths!J41</f>
        <v/>
      </c>
      <c r="K195" s="54">
        <f t="array" ref="K195">deaths!K41</f>
        <v/>
      </c>
      <c r="L195" s="54" t="n"/>
    </row>
    <row r="196" ht="20.1" customHeight="1" s="206">
      <c r="A196" s="156">
        <f t="array" ref="A196">deaths!$A42</f>
        <v/>
      </c>
      <c r="B196" s="54" t="n"/>
      <c r="C196" s="54">
        <f t="array" ref="C196">deaths!C42</f>
        <v/>
      </c>
      <c r="D196" s="54">
        <f t="array" ref="D196">deaths!D42</f>
        <v/>
      </c>
      <c r="E196" s="54">
        <f t="array" ref="E196">deaths!E42</f>
        <v/>
      </c>
      <c r="F196" s="54">
        <f t="array" ref="F196">deaths!F42</f>
        <v/>
      </c>
      <c r="G196" s="54">
        <f t="array" ref="G196">deaths!G42</f>
        <v/>
      </c>
      <c r="H196" s="54">
        <f t="array" ref="H196">deaths!H42</f>
        <v/>
      </c>
      <c r="I196" s="54">
        <f t="array" ref="I196">deaths!I42</f>
        <v/>
      </c>
      <c r="J196" s="54">
        <f t="array" ref="J196">deaths!J42</f>
        <v/>
      </c>
      <c r="K196" s="54">
        <f t="array" ref="K196">deaths!K42</f>
        <v/>
      </c>
      <c r="L196" s="54" t="n"/>
    </row>
    <row r="197" ht="20.1" customHeight="1" s="206">
      <c r="A197" s="156">
        <f t="array" ref="A197">deaths!$A43</f>
        <v/>
      </c>
      <c r="B197" s="54" t="n"/>
      <c r="C197" s="54">
        <f t="array" ref="C197">deaths!C43</f>
        <v/>
      </c>
      <c r="D197" s="54">
        <f t="array" ref="D197">deaths!D43</f>
        <v/>
      </c>
      <c r="E197" s="54">
        <f t="array" ref="E197">deaths!E43</f>
        <v/>
      </c>
      <c r="F197" s="54">
        <f t="array" ref="F197">deaths!F43</f>
        <v/>
      </c>
      <c r="G197" s="54">
        <f t="array" ref="G197">deaths!G43</f>
        <v/>
      </c>
      <c r="H197" s="54">
        <f t="array" ref="H197">deaths!H43</f>
        <v/>
      </c>
      <c r="I197" s="54">
        <f t="array" ref="I197">deaths!I43</f>
        <v/>
      </c>
      <c r="J197" s="54">
        <f t="array" ref="J197">deaths!J43</f>
        <v/>
      </c>
      <c r="K197" s="54">
        <f t="array" ref="K197">deaths!K43</f>
        <v/>
      </c>
      <c r="L197" s="54" t="n"/>
    </row>
    <row r="198" ht="20.1" customHeight="1" s="206">
      <c r="A198" s="156">
        <f t="array" ref="A198">deaths!$A44</f>
        <v/>
      </c>
      <c r="B198" s="54" t="n"/>
      <c r="C198" s="54">
        <f t="array" ref="C198">deaths!C44</f>
        <v/>
      </c>
      <c r="D198" s="54">
        <f t="array" ref="D198">deaths!D44</f>
        <v/>
      </c>
      <c r="E198" s="54">
        <f t="array" ref="E198">deaths!E44</f>
        <v/>
      </c>
      <c r="F198" s="54">
        <f t="array" ref="F198">deaths!F44</f>
        <v/>
      </c>
      <c r="G198" s="54">
        <f t="array" ref="G198">deaths!G44</f>
        <v/>
      </c>
      <c r="H198" s="54">
        <f t="array" ref="H198">deaths!H44</f>
        <v/>
      </c>
      <c r="I198" s="54">
        <f t="array" ref="I198">deaths!I44</f>
        <v/>
      </c>
      <c r="J198" s="54">
        <f t="array" ref="J198">deaths!J44</f>
        <v/>
      </c>
      <c r="K198" s="54">
        <f t="array" ref="K198">deaths!K44</f>
        <v/>
      </c>
      <c r="L198" s="54" t="n"/>
    </row>
    <row r="199" ht="20.1" customHeight="1" s="206">
      <c r="A199" s="156">
        <f t="array" ref="A199">deaths!$A45</f>
        <v/>
      </c>
      <c r="B199" s="54" t="n"/>
      <c r="C199" s="54">
        <f t="array" ref="C199">deaths!C45</f>
        <v/>
      </c>
      <c r="D199" s="54">
        <f t="array" ref="D199">deaths!D45</f>
        <v/>
      </c>
      <c r="E199" s="54">
        <f t="array" ref="E199">deaths!E45</f>
        <v/>
      </c>
      <c r="F199" s="54">
        <f t="array" ref="F199">deaths!F45</f>
        <v/>
      </c>
      <c r="G199" s="54">
        <f t="array" ref="G199">deaths!G45</f>
        <v/>
      </c>
      <c r="H199" s="54">
        <f t="array" ref="H199">deaths!H45</f>
        <v/>
      </c>
      <c r="I199" s="54">
        <f t="array" ref="I199">deaths!I45</f>
        <v/>
      </c>
      <c r="J199" s="54">
        <f t="array" ref="J199">deaths!J45</f>
        <v/>
      </c>
      <c r="K199" s="54">
        <f t="array" ref="K199">deaths!K45</f>
        <v/>
      </c>
      <c r="L199" s="54" t="n"/>
    </row>
    <row r="200" ht="20.1" customHeight="1" s="206">
      <c r="A200" s="156">
        <f t="array" ref="A200">deaths!$A46</f>
        <v/>
      </c>
      <c r="B200" s="54" t="n"/>
      <c r="C200" s="54">
        <f t="array" ref="C200">deaths!C46</f>
        <v/>
      </c>
      <c r="D200" s="54">
        <f t="array" ref="D200">deaths!D46</f>
        <v/>
      </c>
      <c r="E200" s="54">
        <f t="array" ref="E200">deaths!E46</f>
        <v/>
      </c>
      <c r="F200" s="54">
        <f t="array" ref="F200">deaths!F46</f>
        <v/>
      </c>
      <c r="G200" s="54">
        <f t="array" ref="G200">deaths!G46</f>
        <v/>
      </c>
      <c r="H200" s="54">
        <f t="array" ref="H200">deaths!H46</f>
        <v/>
      </c>
      <c r="I200" s="54">
        <f t="array" ref="I200">deaths!I46</f>
        <v/>
      </c>
      <c r="J200" s="54">
        <f t="array" ref="J200">deaths!J46</f>
        <v/>
      </c>
      <c r="K200" s="54">
        <f t="array" ref="K200">deaths!K46</f>
        <v/>
      </c>
      <c r="L200" s="54" t="n"/>
    </row>
    <row r="201" ht="20.1" customHeight="1" s="206">
      <c r="A201" s="156">
        <f t="array" ref="A201">deaths!$A47</f>
        <v/>
      </c>
      <c r="B201" s="54" t="n"/>
      <c r="C201" s="54">
        <f t="array" ref="C201">deaths!C47</f>
        <v/>
      </c>
      <c r="D201" s="54">
        <f t="array" ref="D201">deaths!D47</f>
        <v/>
      </c>
      <c r="E201" s="54">
        <f t="array" ref="E201">deaths!E47</f>
        <v/>
      </c>
      <c r="F201" s="54">
        <f t="array" ref="F201">deaths!F47</f>
        <v/>
      </c>
      <c r="G201" s="54">
        <f t="array" ref="G201">deaths!G47</f>
        <v/>
      </c>
      <c r="H201" s="54">
        <f t="array" ref="H201">deaths!H47</f>
        <v/>
      </c>
      <c r="I201" s="54">
        <f t="array" ref="I201">deaths!I47</f>
        <v/>
      </c>
      <c r="J201" s="54">
        <f t="array" ref="J201">deaths!J47</f>
        <v/>
      </c>
      <c r="K201" s="54">
        <f t="array" ref="K201">deaths!K47</f>
        <v/>
      </c>
      <c r="L201" s="54" t="n"/>
    </row>
    <row r="202" ht="20.1" customHeight="1" s="206">
      <c r="A202" s="156">
        <f t="array" ref="A202">deaths!$A48</f>
        <v/>
      </c>
      <c r="B202" s="54" t="n"/>
      <c r="C202" s="54">
        <f t="array" ref="C202">deaths!C48</f>
        <v/>
      </c>
      <c r="D202" s="54">
        <f t="array" ref="D202">deaths!D48</f>
        <v/>
      </c>
      <c r="E202" s="54">
        <f t="array" ref="E202">deaths!E48</f>
        <v/>
      </c>
      <c r="F202" s="54">
        <f t="array" ref="F202">deaths!F48</f>
        <v/>
      </c>
      <c r="G202" s="54">
        <f t="array" ref="G202">deaths!G48</f>
        <v/>
      </c>
      <c r="H202" s="54">
        <f t="array" ref="H202">deaths!H48</f>
        <v/>
      </c>
      <c r="I202" s="54">
        <f t="array" ref="I202">deaths!I48</f>
        <v/>
      </c>
      <c r="J202" s="54">
        <f t="array" ref="J202">deaths!J48</f>
        <v/>
      </c>
      <c r="K202" s="54">
        <f t="array" ref="K202">deaths!K48</f>
        <v/>
      </c>
      <c r="L202" s="54" t="n"/>
    </row>
    <row r="203" ht="20.1" customHeight="1" s="206">
      <c r="A203" s="156">
        <f t="array" ref="A203">deaths!$A49</f>
        <v/>
      </c>
      <c r="B203" s="54" t="n"/>
      <c r="C203" s="54">
        <f t="array" ref="C203">deaths!C49</f>
        <v/>
      </c>
      <c r="D203" s="54">
        <f t="array" ref="D203">deaths!D49</f>
        <v/>
      </c>
      <c r="E203" s="54">
        <f t="array" ref="E203">deaths!E49</f>
        <v/>
      </c>
      <c r="F203" s="54">
        <f t="array" ref="F203">deaths!F49</f>
        <v/>
      </c>
      <c r="G203" s="54">
        <f t="array" ref="G203">deaths!G49</f>
        <v/>
      </c>
      <c r="H203" s="54">
        <f t="array" ref="H203">deaths!H49</f>
        <v/>
      </c>
      <c r="I203" s="54">
        <f t="array" ref="I203">deaths!I49</f>
        <v/>
      </c>
      <c r="J203" s="54">
        <f t="array" ref="J203">deaths!J49</f>
        <v/>
      </c>
      <c r="K203" s="54">
        <f t="array" ref="K203">deaths!K49</f>
        <v/>
      </c>
      <c r="L203" s="54" t="n"/>
    </row>
    <row r="204" ht="20.1" customHeight="1" s="206">
      <c r="A204" s="156">
        <f t="array" ref="A204">deaths!$A50</f>
        <v/>
      </c>
      <c r="B204" s="54" t="n"/>
      <c r="C204" s="54">
        <f t="array" ref="C204">deaths!C50</f>
        <v/>
      </c>
      <c r="D204" s="54">
        <f t="array" ref="D204">deaths!D50</f>
        <v/>
      </c>
      <c r="E204" s="54">
        <f t="array" ref="E204">deaths!E50</f>
        <v/>
      </c>
      <c r="F204" s="54">
        <f t="array" ref="F204">deaths!F50</f>
        <v/>
      </c>
      <c r="G204" s="54">
        <f t="array" ref="G204">deaths!G50</f>
        <v/>
      </c>
      <c r="H204" s="54">
        <f t="array" ref="H204">deaths!H50</f>
        <v/>
      </c>
      <c r="I204" s="54">
        <f t="array" ref="I204">deaths!I50</f>
        <v/>
      </c>
      <c r="J204" s="54">
        <f t="array" ref="J204">deaths!J50</f>
        <v/>
      </c>
      <c r="K204" s="54">
        <f t="array" ref="K204">deaths!K50</f>
        <v/>
      </c>
      <c r="L204" s="54" t="n"/>
    </row>
    <row r="205" ht="20.1" customHeight="1" s="206">
      <c r="A205" s="156">
        <f t="array" ref="A205">deaths!$A51</f>
        <v/>
      </c>
      <c r="B205" s="54" t="n"/>
      <c r="C205" s="54">
        <f t="array" ref="C205">deaths!C51</f>
        <v/>
      </c>
      <c r="D205" s="54">
        <f t="array" ref="D205">deaths!D51</f>
        <v/>
      </c>
      <c r="E205" s="54">
        <f t="array" ref="E205">deaths!E51</f>
        <v/>
      </c>
      <c r="F205" s="54">
        <f t="array" ref="F205">deaths!F51</f>
        <v/>
      </c>
      <c r="G205" s="54">
        <f t="array" ref="G205">deaths!G51</f>
        <v/>
      </c>
      <c r="H205" s="54">
        <f t="array" ref="H205">deaths!H51</f>
        <v/>
      </c>
      <c r="I205" s="54">
        <f t="array" ref="I205">deaths!I51</f>
        <v/>
      </c>
      <c r="J205" s="54">
        <f t="array" ref="J205">deaths!J51</f>
        <v/>
      </c>
      <c r="K205" s="54">
        <f t="array" ref="K205">deaths!K51</f>
        <v/>
      </c>
      <c r="L205" s="54" t="n"/>
    </row>
    <row r="206" ht="20.1" customHeight="1" s="206">
      <c r="A206" s="156">
        <f t="array" ref="A206">deaths!$A52</f>
        <v/>
      </c>
      <c r="B206" s="54" t="n"/>
      <c r="C206" s="54">
        <f t="array" ref="C206">deaths!C52</f>
        <v/>
      </c>
      <c r="D206" s="54">
        <f t="array" ref="D206">deaths!D52</f>
        <v/>
      </c>
      <c r="E206" s="54">
        <f t="array" ref="E206">deaths!E52</f>
        <v/>
      </c>
      <c r="F206" s="54">
        <f t="array" ref="F206">deaths!F52</f>
        <v/>
      </c>
      <c r="G206" s="54">
        <f t="array" ref="G206">deaths!G52</f>
        <v/>
      </c>
      <c r="H206" s="54">
        <f t="array" ref="H206">deaths!H52</f>
        <v/>
      </c>
      <c r="I206" s="54">
        <f t="array" ref="I206">deaths!I52</f>
        <v/>
      </c>
      <c r="J206" s="54">
        <f t="array" ref="J206">deaths!J52</f>
        <v/>
      </c>
      <c r="K206" s="54">
        <f t="array" ref="K206">deaths!K52</f>
        <v/>
      </c>
      <c r="L206" s="54" t="n"/>
    </row>
    <row r="207" ht="20.1" customHeight="1" s="206">
      <c r="A207" s="156">
        <f t="array" ref="A207">deaths!$A53</f>
        <v/>
      </c>
      <c r="B207" s="54" t="n"/>
      <c r="C207" s="54">
        <f t="array" ref="C207">deaths!C53</f>
        <v/>
      </c>
      <c r="D207" s="54">
        <f t="array" ref="D207">deaths!D53</f>
        <v/>
      </c>
      <c r="E207" s="54">
        <f t="array" ref="E207">deaths!E53</f>
        <v/>
      </c>
      <c r="F207" s="54">
        <f t="array" ref="F207">deaths!F53</f>
        <v/>
      </c>
      <c r="G207" s="54">
        <f t="array" ref="G207">deaths!G53</f>
        <v/>
      </c>
      <c r="H207" s="54">
        <f t="array" ref="H207">deaths!H53</f>
        <v/>
      </c>
      <c r="I207" s="54">
        <f t="array" ref="I207">deaths!I53</f>
        <v/>
      </c>
      <c r="J207" s="54">
        <f t="array" ref="J207">deaths!J53</f>
        <v/>
      </c>
      <c r="K207" s="54">
        <f t="array" ref="K207">deaths!K53</f>
        <v/>
      </c>
      <c r="L207" s="54" t="n"/>
    </row>
    <row r="208" ht="20.1" customHeight="1" s="206">
      <c r="A208" s="156">
        <f t="array" ref="A208">deaths!$A54</f>
        <v/>
      </c>
      <c r="B208" s="54" t="n"/>
      <c r="C208" s="54">
        <f t="array" ref="C208">deaths!C54</f>
        <v/>
      </c>
      <c r="D208" s="54">
        <f t="array" ref="D208">deaths!D54</f>
        <v/>
      </c>
      <c r="E208" s="54">
        <f t="array" ref="E208">deaths!E54</f>
        <v/>
      </c>
      <c r="F208" s="54">
        <f t="array" ref="F208">deaths!F54</f>
        <v/>
      </c>
      <c r="G208" s="54">
        <f t="array" ref="G208">deaths!G54</f>
        <v/>
      </c>
      <c r="H208" s="54">
        <f t="array" ref="H208">deaths!H54</f>
        <v/>
      </c>
      <c r="I208" s="54">
        <f t="array" ref="I208">deaths!I54</f>
        <v/>
      </c>
      <c r="J208" s="54">
        <f t="array" ref="J208">deaths!J54</f>
        <v/>
      </c>
      <c r="K208" s="54">
        <f t="array" ref="K208">deaths!K54</f>
        <v/>
      </c>
      <c r="L208" s="54" t="n"/>
    </row>
    <row r="209" ht="20.1" customHeight="1" s="206">
      <c r="A209" s="156">
        <f t="array" ref="A209">deaths!$A55</f>
        <v/>
      </c>
      <c r="B209" s="54" t="n"/>
      <c r="C209" s="54">
        <f t="array" ref="C209">deaths!C55</f>
        <v/>
      </c>
      <c r="D209" s="54">
        <f t="array" ref="D209">deaths!D55</f>
        <v/>
      </c>
      <c r="E209" s="54">
        <f t="array" ref="E209">deaths!E55</f>
        <v/>
      </c>
      <c r="F209" s="54">
        <f t="array" ref="F209">deaths!F55</f>
        <v/>
      </c>
      <c r="G209" s="54">
        <f t="array" ref="G209">deaths!G55</f>
        <v/>
      </c>
      <c r="H209" s="54">
        <f t="array" ref="H209">deaths!H55</f>
        <v/>
      </c>
      <c r="I209" s="54">
        <f t="array" ref="I209">deaths!I55</f>
        <v/>
      </c>
      <c r="J209" s="54">
        <f t="array" ref="J209">deaths!J55</f>
        <v/>
      </c>
      <c r="K209" s="54">
        <f t="array" ref="K209">deaths!K55</f>
        <v/>
      </c>
      <c r="L209" s="54" t="n"/>
    </row>
    <row r="210" ht="20.1" customHeight="1" s="206">
      <c r="A210" s="156">
        <f t="array" ref="A210">deaths!$A56</f>
        <v/>
      </c>
      <c r="B210" s="54" t="n"/>
      <c r="C210" s="54">
        <f t="array" ref="C210">deaths!C56</f>
        <v/>
      </c>
      <c r="D210" s="54">
        <f t="array" ref="D210">deaths!D56</f>
        <v/>
      </c>
      <c r="E210" s="54">
        <f t="array" ref="E210">deaths!E56</f>
        <v/>
      </c>
      <c r="F210" s="54">
        <f t="array" ref="F210">deaths!F56</f>
        <v/>
      </c>
      <c r="G210" s="54">
        <f t="array" ref="G210">deaths!G56</f>
        <v/>
      </c>
      <c r="H210" s="54">
        <f t="array" ref="H210">deaths!H56</f>
        <v/>
      </c>
      <c r="I210" s="54">
        <f t="array" ref="I210">deaths!I56</f>
        <v/>
      </c>
      <c r="J210" s="54">
        <f t="array" ref="J210">deaths!J56</f>
        <v/>
      </c>
      <c r="K210" s="54">
        <f t="array" ref="K210">deaths!K56</f>
        <v/>
      </c>
      <c r="L210" s="54" t="n"/>
    </row>
    <row r="211" ht="20.1" customHeight="1" s="206">
      <c r="A211" s="156">
        <f t="array" ref="A211">deaths!$A57</f>
        <v/>
      </c>
      <c r="B211" s="54" t="n"/>
      <c r="C211" s="54">
        <f t="array" ref="C211">deaths!C57</f>
        <v/>
      </c>
      <c r="D211" s="54">
        <f t="array" ref="D211">deaths!D57</f>
        <v/>
      </c>
      <c r="E211" s="54">
        <f t="array" ref="E211">deaths!E57</f>
        <v/>
      </c>
      <c r="F211" s="54">
        <f t="array" ref="F211">deaths!F57</f>
        <v/>
      </c>
      <c r="G211" s="54">
        <f t="array" ref="G211">deaths!G57</f>
        <v/>
      </c>
      <c r="H211" s="54">
        <f t="array" ref="H211">deaths!H57</f>
        <v/>
      </c>
      <c r="I211" s="54">
        <f t="array" ref="I211">deaths!I57</f>
        <v/>
      </c>
      <c r="J211" s="54">
        <f t="array" ref="J211">deaths!J57</f>
        <v/>
      </c>
      <c r="K211" s="54">
        <f t="array" ref="K211">deaths!K57</f>
        <v/>
      </c>
      <c r="L211" s="54" t="n"/>
    </row>
    <row r="212" ht="20.1" customHeight="1" s="206">
      <c r="A212" s="156">
        <f t="array" ref="A212">deaths!$A58</f>
        <v/>
      </c>
      <c r="B212" s="54" t="n"/>
      <c r="C212" s="54">
        <f t="array" ref="C212">deaths!C58</f>
        <v/>
      </c>
      <c r="D212" s="54">
        <f t="array" ref="D212">deaths!D58</f>
        <v/>
      </c>
      <c r="E212" s="54">
        <f t="array" ref="E212">deaths!E58</f>
        <v/>
      </c>
      <c r="F212" s="54">
        <f t="array" ref="F212">deaths!F58</f>
        <v/>
      </c>
      <c r="G212" s="54">
        <f t="array" ref="G212">deaths!G58</f>
        <v/>
      </c>
      <c r="H212" s="54">
        <f t="array" ref="H212">deaths!H58</f>
        <v/>
      </c>
      <c r="I212" s="54">
        <f t="array" ref="I212">deaths!I58</f>
        <v/>
      </c>
      <c r="J212" s="54">
        <f t="array" ref="J212">deaths!J58</f>
        <v/>
      </c>
      <c r="K212" s="54">
        <f t="array" ref="K212">deaths!K58</f>
        <v/>
      </c>
      <c r="L212" s="54" t="n"/>
    </row>
    <row r="213" ht="20.1" customHeight="1" s="206">
      <c r="A213" s="156">
        <f t="array" ref="A213">deaths!$A59</f>
        <v/>
      </c>
      <c r="B213" s="54" t="n"/>
      <c r="C213" s="54">
        <f t="array" ref="C213">deaths!C59</f>
        <v/>
      </c>
      <c r="D213" s="54">
        <f t="array" ref="D213">deaths!D59</f>
        <v/>
      </c>
      <c r="E213" s="54">
        <f t="array" ref="E213">deaths!E59</f>
        <v/>
      </c>
      <c r="F213" s="54">
        <f t="array" ref="F213">deaths!F59</f>
        <v/>
      </c>
      <c r="G213" s="54">
        <f t="array" ref="G213">deaths!G59</f>
        <v/>
      </c>
      <c r="H213" s="54">
        <f t="array" ref="H213">deaths!H59</f>
        <v/>
      </c>
      <c r="I213" s="54">
        <f t="array" ref="I213">deaths!I59</f>
        <v/>
      </c>
      <c r="J213" s="54">
        <f t="array" ref="J213">deaths!J59</f>
        <v/>
      </c>
      <c r="K213" s="54">
        <f t="array" ref="K213">deaths!K59</f>
        <v/>
      </c>
      <c r="L213" s="54" t="n"/>
    </row>
    <row r="214" ht="20.1" customHeight="1" s="206">
      <c r="A214" s="156">
        <f t="array" ref="A214">deaths!$A60</f>
        <v/>
      </c>
      <c r="B214" s="54" t="n"/>
      <c r="C214" s="54">
        <f t="array" ref="C214">deaths!C60</f>
        <v/>
      </c>
      <c r="D214" s="54">
        <f t="array" ref="D214">deaths!D60</f>
        <v/>
      </c>
      <c r="E214" s="54">
        <f t="array" ref="E214">deaths!E60</f>
        <v/>
      </c>
      <c r="F214" s="54">
        <f t="array" ref="F214">deaths!F60</f>
        <v/>
      </c>
      <c r="G214" s="54">
        <f t="array" ref="G214">deaths!G60</f>
        <v/>
      </c>
      <c r="H214" s="54">
        <f t="array" ref="H214">deaths!H60</f>
        <v/>
      </c>
      <c r="I214" s="54">
        <f t="array" ref="I214">deaths!I60</f>
        <v/>
      </c>
      <c r="J214" s="54">
        <f t="array" ref="J214">deaths!J60</f>
        <v/>
      </c>
      <c r="K214" s="54">
        <f t="array" ref="K214">deaths!K60</f>
        <v/>
      </c>
      <c r="L214" s="54" t="n"/>
    </row>
    <row r="215" ht="20.1" customHeight="1" s="206">
      <c r="A215" s="156">
        <f t="array" ref="A215">deaths!$A61</f>
        <v/>
      </c>
      <c r="B215" s="54" t="n"/>
      <c r="C215" s="54">
        <f t="array" ref="C215">deaths!C61</f>
        <v/>
      </c>
      <c r="D215" s="54">
        <f t="array" ref="D215">deaths!D61</f>
        <v/>
      </c>
      <c r="E215" s="54">
        <f t="array" ref="E215">deaths!E61</f>
        <v/>
      </c>
      <c r="F215" s="54">
        <f t="array" ref="F215">deaths!F61</f>
        <v/>
      </c>
      <c r="G215" s="54">
        <f t="array" ref="G215">deaths!G61</f>
        <v/>
      </c>
      <c r="H215" s="54">
        <f t="array" ref="H215">deaths!H61</f>
        <v/>
      </c>
      <c r="I215" s="54">
        <f t="array" ref="I215">deaths!I61</f>
        <v/>
      </c>
      <c r="J215" s="54">
        <f t="array" ref="J215">deaths!J61</f>
        <v/>
      </c>
      <c r="K215" s="54">
        <f t="array" ref="K215">deaths!K61</f>
        <v/>
      </c>
      <c r="L215" s="54" t="n"/>
    </row>
    <row r="216" ht="20.1" customHeight="1" s="206">
      <c r="A216" s="156">
        <f t="array" ref="A216">deaths!$A62</f>
        <v/>
      </c>
      <c r="B216" s="54" t="n"/>
      <c r="C216" s="54">
        <f t="array" ref="C216">deaths!C62</f>
        <v/>
      </c>
      <c r="D216" s="54">
        <f t="array" ref="D216">deaths!D62</f>
        <v/>
      </c>
      <c r="E216" s="54">
        <f t="array" ref="E216">deaths!E62</f>
        <v/>
      </c>
      <c r="F216" s="54">
        <f t="array" ref="F216">deaths!F62</f>
        <v/>
      </c>
      <c r="G216" s="54">
        <f t="array" ref="G216">deaths!G62</f>
        <v/>
      </c>
      <c r="H216" s="54">
        <f t="array" ref="H216">deaths!H62</f>
        <v/>
      </c>
      <c r="I216" s="54">
        <f t="array" ref="I216">deaths!I62</f>
        <v/>
      </c>
      <c r="J216" s="54">
        <f t="array" ref="J216">deaths!J62</f>
        <v/>
      </c>
      <c r="K216" s="54">
        <f t="array" ref="K216">deaths!K62</f>
        <v/>
      </c>
      <c r="L216" s="54" t="n"/>
    </row>
    <row r="217" ht="20.1" customHeight="1" s="206">
      <c r="A217" s="156">
        <f t="array" ref="A217">deaths!$A63</f>
        <v/>
      </c>
      <c r="B217" s="54" t="n"/>
      <c r="C217" s="54">
        <f t="array" ref="C217">deaths!C63</f>
        <v/>
      </c>
      <c r="D217" s="54">
        <f t="array" ref="D217">deaths!D63</f>
        <v/>
      </c>
      <c r="E217" s="54">
        <f t="array" ref="E217">deaths!E63</f>
        <v/>
      </c>
      <c r="F217" s="54">
        <f t="array" ref="F217">deaths!F63</f>
        <v/>
      </c>
      <c r="G217" s="54">
        <f t="array" ref="G217">deaths!G63</f>
        <v/>
      </c>
      <c r="H217" s="54">
        <f t="array" ref="H217">deaths!H63</f>
        <v/>
      </c>
      <c r="I217" s="54">
        <f t="array" ref="I217">deaths!I63</f>
        <v/>
      </c>
      <c r="J217" s="54">
        <f t="array" ref="J217">deaths!J63</f>
        <v/>
      </c>
      <c r="K217" s="54">
        <f t="array" ref="K217">deaths!K63</f>
        <v/>
      </c>
      <c r="L217" s="54" t="n"/>
    </row>
    <row r="218" ht="20.1" customHeight="1" s="206">
      <c r="A218" s="156">
        <f t="array" ref="A218">deaths!$A64</f>
        <v/>
      </c>
      <c r="B218" s="54" t="n"/>
      <c r="C218" s="54">
        <f t="array" ref="C218">deaths!C64</f>
        <v/>
      </c>
      <c r="D218" s="54">
        <f t="array" ref="D218">deaths!D64</f>
        <v/>
      </c>
      <c r="E218" s="54">
        <f t="array" ref="E218">deaths!E64</f>
        <v/>
      </c>
      <c r="F218" s="54">
        <f t="array" ref="F218">deaths!F64</f>
        <v/>
      </c>
      <c r="G218" s="54">
        <f t="array" ref="G218">deaths!G64</f>
        <v/>
      </c>
      <c r="H218" s="54">
        <f t="array" ref="H218">deaths!H64</f>
        <v/>
      </c>
      <c r="I218" s="54">
        <f t="array" ref="I218">deaths!I64</f>
        <v/>
      </c>
      <c r="J218" s="54">
        <f t="array" ref="J218">deaths!J64</f>
        <v/>
      </c>
      <c r="K218" s="54">
        <f t="array" ref="K218">deaths!K64</f>
        <v/>
      </c>
      <c r="L218" s="54" t="n"/>
    </row>
    <row r="219" ht="20.1" customHeight="1" s="206">
      <c r="A219" s="156">
        <f t="array" ref="A219">deaths!$A65</f>
        <v/>
      </c>
      <c r="B219" s="54" t="n"/>
      <c r="C219" s="54">
        <f t="array" ref="C219">deaths!C65</f>
        <v/>
      </c>
      <c r="D219" s="54">
        <f t="array" ref="D219">deaths!D65</f>
        <v/>
      </c>
      <c r="E219" s="54">
        <f t="array" ref="E219">deaths!E65</f>
        <v/>
      </c>
      <c r="F219" s="54">
        <f t="array" ref="F219">deaths!F65</f>
        <v/>
      </c>
      <c r="G219" s="54">
        <f t="array" ref="G219">deaths!G65</f>
        <v/>
      </c>
      <c r="H219" s="54">
        <f t="array" ref="H219">deaths!H65</f>
        <v/>
      </c>
      <c r="I219" s="54">
        <f t="array" ref="I219">deaths!I65</f>
        <v/>
      </c>
      <c r="J219" s="54">
        <f t="array" ref="J219">deaths!J65</f>
        <v/>
      </c>
      <c r="K219" s="54">
        <f t="array" ref="K219">deaths!K65</f>
        <v/>
      </c>
      <c r="L219" s="54" t="n"/>
    </row>
    <row r="220" ht="20.1" customHeight="1" s="206">
      <c r="A220" s="156">
        <f t="array" ref="A220">deaths!$A66</f>
        <v/>
      </c>
      <c r="B220" s="54" t="n"/>
      <c r="C220" s="54">
        <f t="array" ref="C220">deaths!C66</f>
        <v/>
      </c>
      <c r="D220" s="54">
        <f t="array" ref="D220">deaths!D66</f>
        <v/>
      </c>
      <c r="E220" s="54">
        <f t="array" ref="E220">deaths!E66</f>
        <v/>
      </c>
      <c r="F220" s="54">
        <f t="array" ref="F220">deaths!F66</f>
        <v/>
      </c>
      <c r="G220" s="54">
        <f t="array" ref="G220">deaths!G66</f>
        <v/>
      </c>
      <c r="H220" s="54">
        <f t="array" ref="H220">deaths!H66</f>
        <v/>
      </c>
      <c r="I220" s="54">
        <f t="array" ref="I220">deaths!I66</f>
        <v/>
      </c>
      <c r="J220" s="54">
        <f t="array" ref="J220">deaths!J66</f>
        <v/>
      </c>
      <c r="K220" s="54">
        <f t="array" ref="K220">deaths!K66</f>
        <v/>
      </c>
      <c r="L220" s="54" t="n"/>
    </row>
    <row r="221" ht="20.1" customHeight="1" s="206">
      <c r="A221" s="156">
        <f t="array" ref="A221">deaths!$A67</f>
        <v/>
      </c>
      <c r="B221" s="54" t="n"/>
      <c r="C221" s="54">
        <f t="array" ref="C221">deaths!C67</f>
        <v/>
      </c>
      <c r="D221" s="54">
        <f t="array" ref="D221">deaths!D67</f>
        <v/>
      </c>
      <c r="E221" s="54">
        <f t="array" ref="E221">deaths!E67</f>
        <v/>
      </c>
      <c r="F221" s="54">
        <f t="array" ref="F221">deaths!F67</f>
        <v/>
      </c>
      <c r="G221" s="54">
        <f t="array" ref="G221">deaths!G67</f>
        <v/>
      </c>
      <c r="H221" s="54">
        <f t="array" ref="H221">deaths!H67</f>
        <v/>
      </c>
      <c r="I221" s="54">
        <f t="array" ref="I221">deaths!I67</f>
        <v/>
      </c>
      <c r="J221" s="54">
        <f t="array" ref="J221">deaths!J67</f>
        <v/>
      </c>
      <c r="K221" s="54">
        <f t="array" ref="K221">deaths!K67</f>
        <v/>
      </c>
      <c r="L221" s="54" t="n"/>
    </row>
    <row r="222" ht="20.1" customHeight="1" s="206">
      <c r="A222" s="156">
        <f t="array" ref="A222">deaths!$A68</f>
        <v/>
      </c>
      <c r="B222" s="54" t="n"/>
      <c r="C222" s="54">
        <f t="array" ref="C222">deaths!C68</f>
        <v/>
      </c>
      <c r="D222" s="54">
        <f t="array" ref="D222">deaths!D68</f>
        <v/>
      </c>
      <c r="E222" s="54">
        <f t="array" ref="E222">deaths!E68</f>
        <v/>
      </c>
      <c r="F222" s="54">
        <f t="array" ref="F222">deaths!F68</f>
        <v/>
      </c>
      <c r="G222" s="54">
        <f t="array" ref="G222">deaths!G68</f>
        <v/>
      </c>
      <c r="H222" s="54">
        <f t="array" ref="H222">deaths!H68</f>
        <v/>
      </c>
      <c r="I222" s="54">
        <f t="array" ref="I222">deaths!I68</f>
        <v/>
      </c>
      <c r="J222" s="54">
        <f t="array" ref="J222">deaths!J68</f>
        <v/>
      </c>
      <c r="K222" s="54">
        <f t="array" ref="K222">deaths!K68</f>
        <v/>
      </c>
      <c r="L222" s="54" t="n"/>
    </row>
    <row r="223" ht="20.1" customHeight="1" s="206">
      <c r="A223" s="156">
        <f t="array" ref="A223">deaths!$A69</f>
        <v/>
      </c>
      <c r="B223" s="54" t="n"/>
      <c r="C223" s="54">
        <f t="array" ref="C223">deaths!C69</f>
        <v/>
      </c>
      <c r="D223" s="54">
        <f t="array" ref="D223">deaths!D69</f>
        <v/>
      </c>
      <c r="E223" s="54">
        <f t="array" ref="E223">deaths!E69</f>
        <v/>
      </c>
      <c r="F223" s="54">
        <f t="array" ref="F223">deaths!F69</f>
        <v/>
      </c>
      <c r="G223" s="54">
        <f t="array" ref="G223">deaths!G69</f>
        <v/>
      </c>
      <c r="H223" s="54">
        <f t="array" ref="H223">deaths!H69</f>
        <v/>
      </c>
      <c r="I223" s="54">
        <f t="array" ref="I223">deaths!I69</f>
        <v/>
      </c>
      <c r="J223" s="54">
        <f t="array" ref="J223">deaths!J69</f>
        <v/>
      </c>
      <c r="K223" s="54">
        <f t="array" ref="K223">deaths!K69</f>
        <v/>
      </c>
      <c r="L223" s="54" t="n"/>
    </row>
    <row r="224" ht="20.1" customHeight="1" s="206">
      <c r="A224" s="156">
        <f t="array" ref="A224">deaths!$A70</f>
        <v/>
      </c>
      <c r="B224" s="54" t="n"/>
      <c r="C224" s="54">
        <f t="array" ref="C224">deaths!C70</f>
        <v/>
      </c>
      <c r="D224" s="54">
        <f t="array" ref="D224">deaths!D70</f>
        <v/>
      </c>
      <c r="E224" s="54">
        <f t="array" ref="E224">deaths!E70</f>
        <v/>
      </c>
      <c r="F224" s="54">
        <f t="array" ref="F224">deaths!F70</f>
        <v/>
      </c>
      <c r="G224" s="54">
        <f t="array" ref="G224">deaths!G70</f>
        <v/>
      </c>
      <c r="H224" s="54">
        <f t="array" ref="H224">deaths!H70</f>
        <v/>
      </c>
      <c r="I224" s="54">
        <f t="array" ref="I224">deaths!I70</f>
        <v/>
      </c>
      <c r="J224" s="54">
        <f t="array" ref="J224">deaths!J70</f>
        <v/>
      </c>
      <c r="K224" s="54">
        <f t="array" ref="K224">deaths!K70</f>
        <v/>
      </c>
      <c r="L224" s="54" t="n"/>
    </row>
    <row r="225" ht="20.1" customHeight="1" s="206">
      <c r="A225" s="156">
        <f t="array" ref="A225">deaths!$A71</f>
        <v/>
      </c>
      <c r="B225" s="54" t="n"/>
      <c r="C225" s="54">
        <f t="array" ref="C225">deaths!C71</f>
        <v/>
      </c>
      <c r="D225" s="54">
        <f t="array" ref="D225">deaths!D71</f>
        <v/>
      </c>
      <c r="E225" s="54">
        <f t="array" ref="E225">deaths!E71</f>
        <v/>
      </c>
      <c r="F225" s="54">
        <f t="array" ref="F225">deaths!F71</f>
        <v/>
      </c>
      <c r="G225" s="54">
        <f t="array" ref="G225">deaths!G71</f>
        <v/>
      </c>
      <c r="H225" s="54">
        <f t="array" ref="H225">deaths!H71</f>
        <v/>
      </c>
      <c r="I225" s="54">
        <f t="array" ref="I225">deaths!I71</f>
        <v/>
      </c>
      <c r="J225" s="54">
        <f t="array" ref="J225">deaths!J71</f>
        <v/>
      </c>
      <c r="K225" s="54">
        <f t="array" ref="K225">deaths!K71</f>
        <v/>
      </c>
      <c r="L225" s="54" t="n"/>
    </row>
    <row r="226" ht="20.1" customHeight="1" s="206">
      <c r="A226" s="156">
        <f t="array" ref="A226">deaths!$A72</f>
        <v/>
      </c>
      <c r="B226" s="54" t="n"/>
      <c r="C226" s="54">
        <f t="array" ref="C226">deaths!C72</f>
        <v/>
      </c>
      <c r="D226" s="54">
        <f t="array" ref="D226">deaths!D72</f>
        <v/>
      </c>
      <c r="E226" s="54">
        <f t="array" ref="E226">deaths!E72</f>
        <v/>
      </c>
      <c r="F226" s="54">
        <f t="array" ref="F226">deaths!F72</f>
        <v/>
      </c>
      <c r="G226" s="54">
        <f t="array" ref="G226">deaths!G72</f>
        <v/>
      </c>
      <c r="H226" s="54">
        <f t="array" ref="H226">deaths!H72</f>
        <v/>
      </c>
      <c r="I226" s="54">
        <f t="array" ref="I226">deaths!I72</f>
        <v/>
      </c>
      <c r="J226" s="54">
        <f t="array" ref="J226">deaths!J72</f>
        <v/>
      </c>
      <c r="K226" s="54">
        <f t="array" ref="K226">deaths!K72</f>
        <v/>
      </c>
      <c r="L226" s="54" t="n"/>
    </row>
    <row r="227" ht="20.1" customHeight="1" s="206">
      <c r="A227" s="156">
        <f t="array" ref="A227">deaths!$A73</f>
        <v/>
      </c>
      <c r="B227" s="54" t="n"/>
      <c r="C227" s="54">
        <f t="array" ref="C227">deaths!C73</f>
        <v/>
      </c>
      <c r="D227" s="54">
        <f t="array" ref="D227">deaths!D73</f>
        <v/>
      </c>
      <c r="E227" s="54">
        <f t="array" ref="E227">deaths!E73</f>
        <v/>
      </c>
      <c r="F227" s="54">
        <f t="array" ref="F227">deaths!F73</f>
        <v/>
      </c>
      <c r="G227" s="54">
        <f t="array" ref="G227">deaths!G73</f>
        <v/>
      </c>
      <c r="H227" s="54">
        <f t="array" ref="H227">deaths!H73</f>
        <v/>
      </c>
      <c r="I227" s="54">
        <f t="array" ref="I227">deaths!I73</f>
        <v/>
      </c>
      <c r="J227" s="54">
        <f t="array" ref="J227">deaths!J73</f>
        <v/>
      </c>
      <c r="K227" s="54">
        <f t="array" ref="K227">deaths!K73</f>
        <v/>
      </c>
      <c r="L227" s="54" t="n"/>
    </row>
    <row r="228" ht="20.1" customHeight="1" s="206">
      <c r="A228" s="156">
        <f t="array" ref="A228">deaths!$A74</f>
        <v/>
      </c>
      <c r="B228" s="54" t="n"/>
      <c r="C228" s="54">
        <f t="array" ref="C228">deaths!C74</f>
        <v/>
      </c>
      <c r="D228" s="54">
        <f t="array" ref="D228">deaths!D74</f>
        <v/>
      </c>
      <c r="E228" s="54">
        <f t="array" ref="E228">deaths!E74</f>
        <v/>
      </c>
      <c r="F228" s="54">
        <f t="array" ref="F228">deaths!F74</f>
        <v/>
      </c>
      <c r="G228" s="54">
        <f t="array" ref="G228">deaths!G74</f>
        <v/>
      </c>
      <c r="H228" s="54">
        <f t="array" ref="H228">deaths!H74</f>
        <v/>
      </c>
      <c r="I228" s="54">
        <f t="array" ref="I228">deaths!I74</f>
        <v/>
      </c>
      <c r="J228" s="54">
        <f t="array" ref="J228">deaths!J74</f>
        <v/>
      </c>
      <c r="K228" s="54">
        <f t="array" ref="K228">deaths!K74</f>
        <v/>
      </c>
      <c r="L228" s="54" t="n"/>
    </row>
    <row r="229" ht="20.1" customHeight="1" s="206">
      <c r="A229" s="156">
        <f t="array" ref="A229">deaths!$A75</f>
        <v/>
      </c>
      <c r="B229" s="54" t="n"/>
      <c r="C229" s="54">
        <f t="array" ref="C229">deaths!C75</f>
        <v/>
      </c>
      <c r="D229" s="54">
        <f t="array" ref="D229">deaths!D75</f>
        <v/>
      </c>
      <c r="E229" s="54">
        <f t="array" ref="E229">deaths!E75</f>
        <v/>
      </c>
      <c r="F229" s="54">
        <f t="array" ref="F229">deaths!F75</f>
        <v/>
      </c>
      <c r="G229" s="54">
        <f t="array" ref="G229">deaths!G75</f>
        <v/>
      </c>
      <c r="H229" s="54">
        <f t="array" ref="H229">deaths!H75</f>
        <v/>
      </c>
      <c r="I229" s="54">
        <f t="array" ref="I229">deaths!I75</f>
        <v/>
      </c>
      <c r="J229" s="54">
        <f t="array" ref="J229">deaths!J75</f>
        <v/>
      </c>
      <c r="K229" s="54">
        <f t="array" ref="K229">deaths!K75</f>
        <v/>
      </c>
      <c r="L229" s="54" t="n"/>
    </row>
    <row r="230" ht="20.1" customHeight="1" s="206">
      <c r="A230" s="156">
        <f t="array" ref="A230">deaths!$A76</f>
        <v/>
      </c>
      <c r="B230" s="54" t="n"/>
      <c r="C230" s="54">
        <f t="array" ref="C230">deaths!C76</f>
        <v/>
      </c>
      <c r="D230" s="54">
        <f t="array" ref="D230">deaths!D76</f>
        <v/>
      </c>
      <c r="E230" s="54">
        <f t="array" ref="E230">deaths!E76</f>
        <v/>
      </c>
      <c r="F230" s="54">
        <f t="array" ref="F230">deaths!F76</f>
        <v/>
      </c>
      <c r="G230" s="54">
        <f t="array" ref="G230">deaths!G76</f>
        <v/>
      </c>
      <c r="H230" s="54">
        <f t="array" ref="H230">deaths!H76</f>
        <v/>
      </c>
      <c r="I230" s="54">
        <f t="array" ref="I230">deaths!I76</f>
        <v/>
      </c>
      <c r="J230" s="54">
        <f t="array" ref="J230">deaths!J76</f>
        <v/>
      </c>
      <c r="K230" s="54">
        <f t="array" ref="K230">deaths!K76</f>
        <v/>
      </c>
      <c r="L230" s="54" t="n"/>
    </row>
    <row r="231" ht="20.1" customHeight="1" s="206">
      <c r="A231" s="156">
        <f t="array" ref="A231">deaths!$A77</f>
        <v/>
      </c>
      <c r="B231" s="54" t="n"/>
      <c r="C231" s="54">
        <f t="array" ref="C231">deaths!C77</f>
        <v/>
      </c>
      <c r="D231" s="54">
        <f t="array" ref="D231">deaths!D77</f>
        <v/>
      </c>
      <c r="E231" s="54">
        <f t="array" ref="E231">deaths!E77</f>
        <v/>
      </c>
      <c r="F231" s="54">
        <f t="array" ref="F231">deaths!F77</f>
        <v/>
      </c>
      <c r="G231" s="54">
        <f t="array" ref="G231">deaths!G77</f>
        <v/>
      </c>
      <c r="H231" s="54">
        <f t="array" ref="H231">deaths!H77</f>
        <v/>
      </c>
      <c r="I231" s="54">
        <f t="array" ref="I231">deaths!I77</f>
        <v/>
      </c>
      <c r="J231" s="54">
        <f t="array" ref="J231">deaths!J77</f>
        <v/>
      </c>
      <c r="K231" s="54">
        <f t="array" ref="K231">deaths!K77</f>
        <v/>
      </c>
      <c r="L231" s="54" t="n"/>
    </row>
    <row r="232" ht="20.1" customHeight="1" s="206">
      <c r="A232" s="156">
        <f t="array" ref="A232">deaths!$A78</f>
        <v/>
      </c>
      <c r="B232" s="54" t="n"/>
      <c r="C232" s="54">
        <f t="array" ref="C232">deaths!C78</f>
        <v/>
      </c>
      <c r="D232" s="54">
        <f t="array" ref="D232">deaths!D78</f>
        <v/>
      </c>
      <c r="E232" s="54">
        <f t="array" ref="E232">deaths!E78</f>
        <v/>
      </c>
      <c r="F232" s="54">
        <f t="array" ref="F232">deaths!F78</f>
        <v/>
      </c>
      <c r="G232" s="54">
        <f t="array" ref="G232">deaths!G78</f>
        <v/>
      </c>
      <c r="H232" s="54">
        <f t="array" ref="H232">deaths!H78</f>
        <v/>
      </c>
      <c r="I232" s="54">
        <f t="array" ref="I232">deaths!I78</f>
        <v/>
      </c>
      <c r="J232" s="54">
        <f t="array" ref="J232">deaths!J78</f>
        <v/>
      </c>
      <c r="K232" s="54">
        <f t="array" ref="K232">deaths!K78</f>
        <v/>
      </c>
      <c r="L232" s="54" t="n"/>
    </row>
    <row r="233" ht="20.1" customHeight="1" s="206">
      <c r="A233" s="156">
        <f t="array" ref="A233">deaths!$A79</f>
        <v/>
      </c>
      <c r="B233" s="54" t="n"/>
      <c r="C233" s="54">
        <f t="array" ref="C233">deaths!C79</f>
        <v/>
      </c>
      <c r="D233" s="54">
        <f t="array" ref="D233">deaths!D79</f>
        <v/>
      </c>
      <c r="E233" s="54">
        <f t="array" ref="E233">deaths!E79</f>
        <v/>
      </c>
      <c r="F233" s="54">
        <f t="array" ref="F233">deaths!F79</f>
        <v/>
      </c>
      <c r="G233" s="54">
        <f t="array" ref="G233">deaths!G79</f>
        <v/>
      </c>
      <c r="H233" s="54">
        <f t="array" ref="H233">deaths!H79</f>
        <v/>
      </c>
      <c r="I233" s="54">
        <f t="array" ref="I233">deaths!I79</f>
        <v/>
      </c>
      <c r="J233" s="54">
        <f t="array" ref="J233">deaths!J79</f>
        <v/>
      </c>
      <c r="K233" s="54">
        <f t="array" ref="K233">deaths!K79</f>
        <v/>
      </c>
      <c r="L233" s="54" t="n"/>
    </row>
    <row r="234" ht="20.1" customHeight="1" s="206">
      <c r="A234" s="156">
        <f t="array" ref="A234">deaths!$A80</f>
        <v/>
      </c>
      <c r="B234" s="54" t="n"/>
      <c r="C234" s="54">
        <f t="array" ref="C234">deaths!C80</f>
        <v/>
      </c>
      <c r="D234" s="54">
        <f t="array" ref="D234">deaths!D80</f>
        <v/>
      </c>
      <c r="E234" s="54">
        <f t="array" ref="E234">deaths!E80</f>
        <v/>
      </c>
      <c r="F234" s="54">
        <f t="array" ref="F234">deaths!F80</f>
        <v/>
      </c>
      <c r="G234" s="54">
        <f t="array" ref="G234">deaths!G80</f>
        <v/>
      </c>
      <c r="H234" s="54">
        <f t="array" ref="H234">deaths!H80</f>
        <v/>
      </c>
      <c r="I234" s="54">
        <f t="array" ref="I234">deaths!I80</f>
        <v/>
      </c>
      <c r="J234" s="54">
        <f t="array" ref="J234">deaths!J80</f>
        <v/>
      </c>
      <c r="K234" s="54">
        <f t="array" ref="K234">deaths!K80</f>
        <v/>
      </c>
      <c r="L234" s="54" t="n"/>
    </row>
    <row r="235" ht="20.1" customHeight="1" s="206">
      <c r="A235" s="156">
        <f t="array" ref="A235">deaths!$A81</f>
        <v/>
      </c>
      <c r="B235" s="54" t="n"/>
      <c r="C235" s="54">
        <f t="array" ref="C235">deaths!C81</f>
        <v/>
      </c>
      <c r="D235" s="54">
        <f t="array" ref="D235">deaths!D81</f>
        <v/>
      </c>
      <c r="E235" s="54">
        <f t="array" ref="E235">deaths!E81</f>
        <v/>
      </c>
      <c r="F235" s="54">
        <f t="array" ref="F235">deaths!F81</f>
        <v/>
      </c>
      <c r="G235" s="54">
        <f t="array" ref="G235">deaths!G81</f>
        <v/>
      </c>
      <c r="H235" s="54">
        <f t="array" ref="H235">deaths!H81</f>
        <v/>
      </c>
      <c r="I235" s="54">
        <f t="array" ref="I235">deaths!I81</f>
        <v/>
      </c>
      <c r="J235" s="54">
        <f t="array" ref="J235">deaths!J81</f>
        <v/>
      </c>
      <c r="K235" s="54">
        <f t="array" ref="K235">deaths!K81</f>
        <v/>
      </c>
      <c r="L235" s="54" t="n"/>
    </row>
    <row r="236" ht="20.1" customHeight="1" s="206">
      <c r="A236" s="156">
        <f t="array" ref="A236">deaths!$A82</f>
        <v/>
      </c>
      <c r="B236" s="54" t="n"/>
      <c r="C236" s="54">
        <f t="array" ref="C236">deaths!C82</f>
        <v/>
      </c>
      <c r="D236" s="54">
        <f t="array" ref="D236">deaths!D82</f>
        <v/>
      </c>
      <c r="E236" s="54">
        <f t="array" ref="E236">deaths!E82</f>
        <v/>
      </c>
      <c r="F236" s="54">
        <f t="array" ref="F236">deaths!F82</f>
        <v/>
      </c>
      <c r="G236" s="54">
        <f t="array" ref="G236">deaths!G82</f>
        <v/>
      </c>
      <c r="H236" s="54">
        <f t="array" ref="H236">deaths!H82</f>
        <v/>
      </c>
      <c r="I236" s="54">
        <f t="array" ref="I236">deaths!I82</f>
        <v/>
      </c>
      <c r="J236" s="54">
        <f t="array" ref="J236">deaths!J82</f>
        <v/>
      </c>
      <c r="K236" s="54">
        <f t="array" ref="K236">deaths!K82</f>
        <v/>
      </c>
      <c r="L236" s="54" t="n"/>
    </row>
    <row r="237" ht="20.1" customHeight="1" s="206">
      <c r="A237" s="156">
        <f t="array" ref="A237">deaths!$A83</f>
        <v/>
      </c>
      <c r="B237" s="54" t="n"/>
      <c r="C237" s="54">
        <f t="array" ref="C237">deaths!C83</f>
        <v/>
      </c>
      <c r="D237" s="54">
        <f t="array" ref="D237">deaths!D83</f>
        <v/>
      </c>
      <c r="E237" s="54">
        <f t="array" ref="E237">deaths!E83</f>
        <v/>
      </c>
      <c r="F237" s="54">
        <f t="array" ref="F237">deaths!F83</f>
        <v/>
      </c>
      <c r="G237" s="54">
        <f t="array" ref="G237">deaths!G83</f>
        <v/>
      </c>
      <c r="H237" s="54">
        <f t="array" ref="H237">deaths!H83</f>
        <v/>
      </c>
      <c r="I237" s="54">
        <f t="array" ref="I237">deaths!I83</f>
        <v/>
      </c>
      <c r="J237" s="54">
        <f t="array" ref="J237">deaths!J83</f>
        <v/>
      </c>
      <c r="K237" s="54">
        <f t="array" ref="K237">deaths!K83</f>
        <v/>
      </c>
      <c r="L237" s="54" t="n"/>
    </row>
    <row r="238" ht="20.1" customHeight="1" s="206">
      <c r="A238" s="156">
        <f t="array" ref="A238">deaths!$A84</f>
        <v/>
      </c>
      <c r="B238" s="54" t="n"/>
      <c r="C238" s="54">
        <f t="array" ref="C238">deaths!C84</f>
        <v/>
      </c>
      <c r="D238" s="54">
        <f t="array" ref="D238">deaths!D84</f>
        <v/>
      </c>
      <c r="E238" s="54">
        <f t="array" ref="E238">deaths!E84</f>
        <v/>
      </c>
      <c r="F238" s="54">
        <f t="array" ref="F238">deaths!F84</f>
        <v/>
      </c>
      <c r="G238" s="54">
        <f t="array" ref="G238">deaths!G84</f>
        <v/>
      </c>
      <c r="H238" s="54">
        <f t="array" ref="H238">deaths!H84</f>
        <v/>
      </c>
      <c r="I238" s="54">
        <f t="array" ref="I238">deaths!I84</f>
        <v/>
      </c>
      <c r="J238" s="54">
        <f t="array" ref="J238">deaths!J84</f>
        <v/>
      </c>
      <c r="K238" s="54">
        <f t="array" ref="K238">deaths!K84</f>
        <v/>
      </c>
      <c r="L238" s="54" t="n"/>
    </row>
    <row r="239" ht="20.1" customHeight="1" s="206">
      <c r="A239" s="156">
        <f t="array" ref="A239">deaths!$A85</f>
        <v/>
      </c>
      <c r="B239" s="54" t="n"/>
      <c r="C239" s="54">
        <f t="array" ref="C239">deaths!C85</f>
        <v/>
      </c>
      <c r="D239" s="54">
        <f t="array" ref="D239">deaths!D85</f>
        <v/>
      </c>
      <c r="E239" s="54">
        <f t="array" ref="E239">deaths!E85</f>
        <v/>
      </c>
      <c r="F239" s="54">
        <f t="array" ref="F239">deaths!F85</f>
        <v/>
      </c>
      <c r="G239" s="54">
        <f t="array" ref="G239">deaths!G85</f>
        <v/>
      </c>
      <c r="H239" s="54">
        <f t="array" ref="H239">deaths!H85</f>
        <v/>
      </c>
      <c r="I239" s="54">
        <f t="array" ref="I239">deaths!I85</f>
        <v/>
      </c>
      <c r="J239" s="54">
        <f t="array" ref="J239">deaths!J85</f>
        <v/>
      </c>
      <c r="K239" s="54">
        <f t="array" ref="K239">deaths!K85</f>
        <v/>
      </c>
      <c r="L239" s="54" t="n"/>
    </row>
    <row r="240" ht="20.1" customHeight="1" s="206">
      <c r="A240" s="156">
        <f t="array" ref="A240">deaths!$A86</f>
        <v/>
      </c>
      <c r="B240" s="54" t="n"/>
      <c r="C240" s="54">
        <f t="array" ref="C240">deaths!C86</f>
        <v/>
      </c>
      <c r="D240" s="54">
        <f t="array" ref="D240">deaths!D86</f>
        <v/>
      </c>
      <c r="E240" s="54">
        <f t="array" ref="E240">deaths!E86</f>
        <v/>
      </c>
      <c r="F240" s="54">
        <f t="array" ref="F240">deaths!F86</f>
        <v/>
      </c>
      <c r="G240" s="54">
        <f t="array" ref="G240">deaths!G86</f>
        <v/>
      </c>
      <c r="H240" s="54">
        <f t="array" ref="H240">deaths!H86</f>
        <v/>
      </c>
      <c r="I240" s="54">
        <f t="array" ref="I240">deaths!I86</f>
        <v/>
      </c>
      <c r="J240" s="54">
        <f t="array" ref="J240">deaths!J86</f>
        <v/>
      </c>
      <c r="K240" s="54">
        <f t="array" ref="K240">deaths!K86</f>
        <v/>
      </c>
      <c r="L240" s="54" t="n"/>
    </row>
    <row r="241" ht="20.1" customHeight="1" s="206">
      <c r="A241" s="156">
        <f t="array" ref="A241">deaths!$A87</f>
        <v/>
      </c>
      <c r="B241" s="54" t="n"/>
      <c r="C241" s="54">
        <f t="array" ref="C241">deaths!C87</f>
        <v/>
      </c>
      <c r="D241" s="54">
        <f t="array" ref="D241">deaths!D87</f>
        <v/>
      </c>
      <c r="E241" s="54">
        <f t="array" ref="E241">deaths!E87</f>
        <v/>
      </c>
      <c r="F241" s="54">
        <f t="array" ref="F241">deaths!F87</f>
        <v/>
      </c>
      <c r="G241" s="54">
        <f t="array" ref="G241">deaths!G87</f>
        <v/>
      </c>
      <c r="H241" s="54">
        <f t="array" ref="H241">deaths!H87</f>
        <v/>
      </c>
      <c r="I241" s="54">
        <f t="array" ref="I241">deaths!I87</f>
        <v/>
      </c>
      <c r="J241" s="54">
        <f t="array" ref="J241">deaths!J87</f>
        <v/>
      </c>
      <c r="K241" s="54">
        <f t="array" ref="K241">deaths!K87</f>
        <v/>
      </c>
      <c r="L241" s="54" t="n"/>
    </row>
    <row r="242" ht="20.1" customHeight="1" s="206">
      <c r="A242" s="156">
        <f t="array" ref="A242">deaths!$A88</f>
        <v/>
      </c>
      <c r="B242" s="54" t="n"/>
      <c r="C242" s="54">
        <f t="array" ref="C242">deaths!C88</f>
        <v/>
      </c>
      <c r="D242" s="54">
        <f t="array" ref="D242">deaths!D88</f>
        <v/>
      </c>
      <c r="E242" s="54">
        <f t="array" ref="E242">deaths!E88</f>
        <v/>
      </c>
      <c r="F242" s="54">
        <f t="array" ref="F242">deaths!F88</f>
        <v/>
      </c>
      <c r="G242" s="54">
        <f t="array" ref="G242">deaths!G88</f>
        <v/>
      </c>
      <c r="H242" s="54">
        <f t="array" ref="H242">deaths!H88</f>
        <v/>
      </c>
      <c r="I242" s="54">
        <f t="array" ref="I242">deaths!I88</f>
        <v/>
      </c>
      <c r="J242" s="54">
        <f t="array" ref="J242">deaths!J88</f>
        <v/>
      </c>
      <c r="K242" s="54">
        <f t="array" ref="K242">deaths!K88</f>
        <v/>
      </c>
      <c r="L242" s="54" t="n"/>
    </row>
    <row r="243" ht="20.1" customHeight="1" s="206">
      <c r="A243" s="156">
        <f t="array" ref="A243">deaths!$A89</f>
        <v/>
      </c>
      <c r="B243" s="54" t="n"/>
      <c r="C243" s="54">
        <f t="array" ref="C243">deaths!C89</f>
        <v/>
      </c>
      <c r="D243" s="54">
        <f t="array" ref="D243">deaths!D89</f>
        <v/>
      </c>
      <c r="E243" s="54">
        <f t="array" ref="E243">deaths!E89</f>
        <v/>
      </c>
      <c r="F243" s="54">
        <f t="array" ref="F243">deaths!F89</f>
        <v/>
      </c>
      <c r="G243" s="54">
        <f t="array" ref="G243">deaths!G89</f>
        <v/>
      </c>
      <c r="H243" s="54">
        <f t="array" ref="H243">deaths!H89</f>
        <v/>
      </c>
      <c r="I243" s="54">
        <f t="array" ref="I243">deaths!I89</f>
        <v/>
      </c>
      <c r="J243" s="54">
        <f t="array" ref="J243">deaths!J89</f>
        <v/>
      </c>
      <c r="K243" s="54">
        <f t="array" ref="K243">deaths!K89</f>
        <v/>
      </c>
      <c r="L243" s="54" t="n"/>
    </row>
    <row r="244" ht="20.1" customHeight="1" s="206">
      <c r="A244" s="156">
        <f t="array" ref="A244">deaths!$A90</f>
        <v/>
      </c>
      <c r="B244" s="54" t="n"/>
      <c r="C244" s="54">
        <f t="array" ref="C244">deaths!C90</f>
        <v/>
      </c>
      <c r="D244" s="54">
        <f t="array" ref="D244">deaths!D90</f>
        <v/>
      </c>
      <c r="E244" s="54">
        <f t="array" ref="E244">deaths!E90</f>
        <v/>
      </c>
      <c r="F244" s="54">
        <f t="array" ref="F244">deaths!F90</f>
        <v/>
      </c>
      <c r="G244" s="54">
        <f t="array" ref="G244">deaths!G90</f>
        <v/>
      </c>
      <c r="H244" s="54">
        <f t="array" ref="H244">deaths!H90</f>
        <v/>
      </c>
      <c r="I244" s="54">
        <f t="array" ref="I244">deaths!I90</f>
        <v/>
      </c>
      <c r="J244" s="54">
        <f t="array" ref="J244">deaths!J90</f>
        <v/>
      </c>
      <c r="K244" s="54">
        <f t="array" ref="K244">deaths!K90</f>
        <v/>
      </c>
      <c r="L244" s="54" t="n"/>
    </row>
    <row r="245" ht="20.1" customHeight="1" s="206">
      <c r="A245" s="156">
        <f t="array" ref="A245">deaths!$A91</f>
        <v/>
      </c>
      <c r="B245" s="54" t="n"/>
      <c r="C245" s="54">
        <f t="array" ref="C245">deaths!C91</f>
        <v/>
      </c>
      <c r="D245" s="54">
        <f t="array" ref="D245">deaths!D91</f>
        <v/>
      </c>
      <c r="E245" s="54">
        <f t="array" ref="E245">deaths!E91</f>
        <v/>
      </c>
      <c r="F245" s="54">
        <f t="array" ref="F245">deaths!F91</f>
        <v/>
      </c>
      <c r="G245" s="54">
        <f t="array" ref="G245">deaths!G91</f>
        <v/>
      </c>
      <c r="H245" s="54">
        <f t="array" ref="H245">deaths!H91</f>
        <v/>
      </c>
      <c r="I245" s="54">
        <f t="array" ref="I245">deaths!I91</f>
        <v/>
      </c>
      <c r="J245" s="54">
        <f t="array" ref="J245">deaths!J91</f>
        <v/>
      </c>
      <c r="K245" s="54">
        <f t="array" ref="K245">deaths!K91</f>
        <v/>
      </c>
      <c r="L245" s="54" t="n"/>
    </row>
    <row r="246" ht="20.1" customHeight="1" s="206">
      <c r="A246" s="156">
        <f t="array" ref="A246">deaths!$A92</f>
        <v/>
      </c>
      <c r="B246" s="54" t="n"/>
      <c r="C246" s="54">
        <f t="array" ref="C246">deaths!C92</f>
        <v/>
      </c>
      <c r="D246" s="54">
        <f t="array" ref="D246">deaths!D92</f>
        <v/>
      </c>
      <c r="E246" s="54">
        <f t="array" ref="E246">deaths!E92</f>
        <v/>
      </c>
      <c r="F246" s="54">
        <f t="array" ref="F246">deaths!F92</f>
        <v/>
      </c>
      <c r="G246" s="54">
        <f t="array" ref="G246">deaths!G92</f>
        <v/>
      </c>
      <c r="H246" s="54">
        <f t="array" ref="H246">deaths!H92</f>
        <v/>
      </c>
      <c r="I246" s="54">
        <f t="array" ref="I246">deaths!I92</f>
        <v/>
      </c>
      <c r="J246" s="54">
        <f t="array" ref="J246">deaths!J92</f>
        <v/>
      </c>
      <c r="K246" s="54">
        <f t="array" ref="K246">deaths!K92</f>
        <v/>
      </c>
      <c r="L246" s="54" t="n"/>
    </row>
    <row r="247" ht="20.1" customHeight="1" s="206">
      <c r="A247" s="156">
        <f t="array" ref="A247">deaths!$A93</f>
        <v/>
      </c>
      <c r="B247" s="54" t="n"/>
      <c r="C247" s="54">
        <f t="array" ref="C247">deaths!C93</f>
        <v/>
      </c>
      <c r="D247" s="54">
        <f t="array" ref="D247">deaths!D93</f>
        <v/>
      </c>
      <c r="E247" s="54">
        <f t="array" ref="E247">deaths!E93</f>
        <v/>
      </c>
      <c r="F247" s="54">
        <f t="array" ref="F247">deaths!F93</f>
        <v/>
      </c>
      <c r="G247" s="54">
        <f t="array" ref="G247">deaths!G93</f>
        <v/>
      </c>
      <c r="H247" s="54">
        <f t="array" ref="H247">deaths!H93</f>
        <v/>
      </c>
      <c r="I247" s="54">
        <f t="array" ref="I247">deaths!I93</f>
        <v/>
      </c>
      <c r="J247" s="54">
        <f t="array" ref="J247">deaths!J93</f>
        <v/>
      </c>
      <c r="K247" s="54">
        <f t="array" ref="K247">deaths!K93</f>
        <v/>
      </c>
      <c r="L247" s="54" t="n"/>
    </row>
    <row r="248" ht="20.1" customHeight="1" s="206">
      <c r="A248" s="156">
        <f t="array" ref="A248">deaths!$A94</f>
        <v/>
      </c>
      <c r="B248" s="54" t="n"/>
      <c r="C248" s="54">
        <f t="array" ref="C248">deaths!C94</f>
        <v/>
      </c>
      <c r="D248" s="54">
        <f t="array" ref="D248">deaths!D94</f>
        <v/>
      </c>
      <c r="E248" s="54">
        <f t="array" ref="E248">deaths!E94</f>
        <v/>
      </c>
      <c r="F248" s="54">
        <f t="array" ref="F248">deaths!F94</f>
        <v/>
      </c>
      <c r="G248" s="54">
        <f t="array" ref="G248">deaths!G94</f>
        <v/>
      </c>
      <c r="H248" s="54">
        <f t="array" ref="H248">deaths!H94</f>
        <v/>
      </c>
      <c r="I248" s="54">
        <f t="array" ref="I248">deaths!I94</f>
        <v/>
      </c>
      <c r="J248" s="54">
        <f t="array" ref="J248">deaths!J94</f>
        <v/>
      </c>
      <c r="K248" s="54">
        <f t="array" ref="K248">deaths!K94</f>
        <v/>
      </c>
      <c r="L248" s="54" t="n"/>
    </row>
    <row r="249" ht="20.1" customHeight="1" s="206">
      <c r="A249" s="156">
        <f t="array" ref="A249">deaths!$A95</f>
        <v/>
      </c>
      <c r="B249" s="54" t="n"/>
      <c r="C249" s="54">
        <f t="array" ref="C249">deaths!C95</f>
        <v/>
      </c>
      <c r="D249" s="54">
        <f t="array" ref="D249">deaths!D95</f>
        <v/>
      </c>
      <c r="E249" s="54">
        <f t="array" ref="E249">deaths!E95</f>
        <v/>
      </c>
      <c r="F249" s="54">
        <f t="array" ref="F249">deaths!F95</f>
        <v/>
      </c>
      <c r="G249" s="54">
        <f t="array" ref="G249">deaths!G95</f>
        <v/>
      </c>
      <c r="H249" s="54">
        <f t="array" ref="H249">deaths!H95</f>
        <v/>
      </c>
      <c r="I249" s="54">
        <f t="array" ref="I249">deaths!I95</f>
        <v/>
      </c>
      <c r="J249" s="54">
        <f t="array" ref="J249">deaths!J95</f>
        <v/>
      </c>
      <c r="K249" s="54">
        <f t="array" ref="K249">deaths!K95</f>
        <v/>
      </c>
      <c r="L249" s="54" t="n"/>
    </row>
    <row r="250" ht="20.1" customHeight="1" s="206">
      <c r="A250" s="156">
        <f t="array" ref="A250">deaths!$A96</f>
        <v/>
      </c>
      <c r="B250" s="54" t="n"/>
      <c r="C250" s="54">
        <f t="array" ref="C250">deaths!C96</f>
        <v/>
      </c>
      <c r="D250" s="54">
        <f t="array" ref="D250">deaths!D96</f>
        <v/>
      </c>
      <c r="E250" s="54">
        <f t="array" ref="E250">deaths!E96</f>
        <v/>
      </c>
      <c r="F250" s="54">
        <f t="array" ref="F250">deaths!F96</f>
        <v/>
      </c>
      <c r="G250" s="54">
        <f t="array" ref="G250">deaths!G96</f>
        <v/>
      </c>
      <c r="H250" s="54">
        <f t="array" ref="H250">deaths!H96</f>
        <v/>
      </c>
      <c r="I250" s="54">
        <f t="array" ref="I250">deaths!I96</f>
        <v/>
      </c>
      <c r="J250" s="54">
        <f t="array" ref="J250">deaths!J96</f>
        <v/>
      </c>
      <c r="K250" s="54">
        <f t="array" ref="K250">deaths!K96</f>
        <v/>
      </c>
      <c r="L250" s="54" t="n"/>
    </row>
    <row r="251" ht="20.1" customHeight="1" s="206">
      <c r="A251" s="156">
        <f t="array" ref="A251">deaths!$A97</f>
        <v/>
      </c>
      <c r="B251" s="54" t="n"/>
      <c r="C251" s="54">
        <f t="array" ref="C251">deaths!C97</f>
        <v/>
      </c>
      <c r="D251" s="54">
        <f t="array" ref="D251">deaths!D97</f>
        <v/>
      </c>
      <c r="E251" s="54">
        <f t="array" ref="E251">deaths!E97</f>
        <v/>
      </c>
      <c r="F251" s="54">
        <f t="array" ref="F251">deaths!F97</f>
        <v/>
      </c>
      <c r="G251" s="54">
        <f t="array" ref="G251">deaths!G97</f>
        <v/>
      </c>
      <c r="H251" s="54">
        <f t="array" ref="H251">deaths!H97</f>
        <v/>
      </c>
      <c r="I251" s="54">
        <f t="array" ref="I251">deaths!I97</f>
        <v/>
      </c>
      <c r="J251" s="54">
        <f t="array" ref="J251">deaths!J97</f>
        <v/>
      </c>
      <c r="K251" s="54">
        <f t="array" ref="K251">deaths!K97</f>
        <v/>
      </c>
      <c r="L251" s="54" t="n"/>
    </row>
    <row r="252" ht="20.1" customHeight="1" s="206">
      <c r="A252" s="156">
        <f t="array" ref="A252">deaths!$A98</f>
        <v/>
      </c>
      <c r="B252" s="54" t="n"/>
      <c r="C252" s="54">
        <f t="array" ref="C252">deaths!C98</f>
        <v/>
      </c>
      <c r="D252" s="54">
        <f t="array" ref="D252">deaths!D98</f>
        <v/>
      </c>
      <c r="E252" s="54">
        <f t="array" ref="E252">deaths!E98</f>
        <v/>
      </c>
      <c r="F252" s="54">
        <f t="array" ref="F252">deaths!F98</f>
        <v/>
      </c>
      <c r="G252" s="54">
        <f t="array" ref="G252">deaths!G98</f>
        <v/>
      </c>
      <c r="H252" s="54">
        <f t="array" ref="H252">deaths!H98</f>
        <v/>
      </c>
      <c r="I252" s="54">
        <f t="array" ref="I252">deaths!I98</f>
        <v/>
      </c>
      <c r="J252" s="54">
        <f t="array" ref="J252">deaths!J98</f>
        <v/>
      </c>
      <c r="K252" s="54">
        <f t="array" ref="K252">deaths!K98</f>
        <v/>
      </c>
      <c r="L252" s="54" t="n"/>
    </row>
    <row r="253" ht="20.1" customHeight="1" s="206">
      <c r="A253" s="156">
        <f t="array" ref="A253">deaths!$A99</f>
        <v/>
      </c>
      <c r="B253" s="54" t="n"/>
      <c r="C253" s="54">
        <f t="array" ref="C253">deaths!C99</f>
        <v/>
      </c>
      <c r="D253" s="54">
        <f t="array" ref="D253">deaths!D99</f>
        <v/>
      </c>
      <c r="E253" s="54">
        <f t="array" ref="E253">deaths!E99</f>
        <v/>
      </c>
      <c r="F253" s="54">
        <f t="array" ref="F253">deaths!F99</f>
        <v/>
      </c>
      <c r="G253" s="54">
        <f t="array" ref="G253">deaths!G99</f>
        <v/>
      </c>
      <c r="H253" s="54">
        <f t="array" ref="H253">deaths!H99</f>
        <v/>
      </c>
      <c r="I253" s="54">
        <f t="array" ref="I253">deaths!I99</f>
        <v/>
      </c>
      <c r="J253" s="54">
        <f t="array" ref="J253">deaths!J99</f>
        <v/>
      </c>
      <c r="K253" s="54">
        <f t="array" ref="K253">deaths!K99</f>
        <v/>
      </c>
      <c r="L253" s="54" t="n"/>
    </row>
    <row r="254" ht="20.1" customHeight="1" s="206">
      <c r="A254" s="156">
        <f t="array" ref="A254">deaths!$A100</f>
        <v/>
      </c>
      <c r="B254" s="54" t="n"/>
      <c r="C254" s="54">
        <f t="array" ref="C254">deaths!C100</f>
        <v/>
      </c>
      <c r="D254" s="54">
        <f t="array" ref="D254">deaths!D100</f>
        <v/>
      </c>
      <c r="E254" s="54">
        <f t="array" ref="E254">deaths!E100</f>
        <v/>
      </c>
      <c r="F254" s="54">
        <f t="array" ref="F254">deaths!F100</f>
        <v/>
      </c>
      <c r="G254" s="54">
        <f t="array" ref="G254">deaths!G100</f>
        <v/>
      </c>
      <c r="H254" s="54">
        <f t="array" ref="H254">deaths!H100</f>
        <v/>
      </c>
      <c r="I254" s="54">
        <f t="array" ref="I254">deaths!I100</f>
        <v/>
      </c>
      <c r="J254" s="54">
        <f t="array" ref="J254">deaths!J100</f>
        <v/>
      </c>
      <c r="K254" s="54">
        <f t="array" ref="K254">deaths!K100</f>
        <v/>
      </c>
      <c r="L254" s="54" t="n"/>
    </row>
    <row r="255" ht="20.1" customHeight="1" s="206">
      <c r="A255" s="156">
        <f t="array" ref="A255">deaths!$A101</f>
        <v/>
      </c>
      <c r="B255" s="54" t="n"/>
      <c r="C255" s="54">
        <f t="array" ref="C255">deaths!C101</f>
        <v/>
      </c>
      <c r="D255" s="54">
        <f t="array" ref="D255">deaths!D101</f>
        <v/>
      </c>
      <c r="E255" s="54">
        <f t="array" ref="E255">deaths!E101</f>
        <v/>
      </c>
      <c r="F255" s="54">
        <f t="array" ref="F255">deaths!F101</f>
        <v/>
      </c>
      <c r="G255" s="54">
        <f t="array" ref="G255">deaths!G101</f>
        <v/>
      </c>
      <c r="H255" s="54">
        <f t="array" ref="H255">deaths!H101</f>
        <v/>
      </c>
      <c r="I255" s="54">
        <f t="array" ref="I255">deaths!I101</f>
        <v/>
      </c>
      <c r="J255" s="54">
        <f t="array" ref="J255">deaths!J101</f>
        <v/>
      </c>
      <c r="K255" s="54">
        <f t="array" ref="K255">deaths!K101</f>
        <v/>
      </c>
      <c r="L255" s="54" t="n"/>
    </row>
    <row r="256" ht="20.1" customHeight="1" s="206">
      <c r="A256" s="156">
        <f t="array" ref="A256">deaths!$A102</f>
        <v/>
      </c>
      <c r="B256" s="54" t="n"/>
      <c r="C256" s="54">
        <f t="array" ref="C256">deaths!C102</f>
        <v/>
      </c>
      <c r="D256" s="54">
        <f t="array" ref="D256">deaths!D102</f>
        <v/>
      </c>
      <c r="E256" s="54">
        <f t="array" ref="E256">deaths!E102</f>
        <v/>
      </c>
      <c r="F256" s="54">
        <f t="array" ref="F256">deaths!F102</f>
        <v/>
      </c>
      <c r="G256" s="54">
        <f t="array" ref="G256">deaths!G102</f>
        <v/>
      </c>
      <c r="H256" s="54">
        <f t="array" ref="H256">deaths!H102</f>
        <v/>
      </c>
      <c r="I256" s="54">
        <f t="array" ref="I256">deaths!I102</f>
        <v/>
      </c>
      <c r="J256" s="54">
        <f t="array" ref="J256">deaths!J102</f>
        <v/>
      </c>
      <c r="K256" s="54">
        <f t="array" ref="K256">deaths!K102</f>
        <v/>
      </c>
      <c r="L256" s="54" t="n"/>
    </row>
    <row r="257" ht="20.1" customHeight="1" s="206">
      <c r="A257" s="156">
        <f t="array" ref="A257">deaths!$A103</f>
        <v/>
      </c>
      <c r="B257" s="54" t="n"/>
      <c r="C257" s="54">
        <f t="array" ref="C257">deaths!C103</f>
        <v/>
      </c>
      <c r="D257" s="54">
        <f t="array" ref="D257">deaths!D103</f>
        <v/>
      </c>
      <c r="E257" s="54">
        <f t="array" ref="E257">deaths!E103</f>
        <v/>
      </c>
      <c r="F257" s="54">
        <f t="array" ref="F257">deaths!F103</f>
        <v/>
      </c>
      <c r="G257" s="54">
        <f t="array" ref="G257">deaths!G103</f>
        <v/>
      </c>
      <c r="H257" s="54">
        <f t="array" ref="H257">deaths!H103</f>
        <v/>
      </c>
      <c r="I257" s="54">
        <f t="array" ref="I257">deaths!I103</f>
        <v/>
      </c>
      <c r="J257" s="54">
        <f t="array" ref="J257">deaths!J103</f>
        <v/>
      </c>
      <c r="K257" s="54">
        <f t="array" ref="K257">deaths!K103</f>
        <v/>
      </c>
      <c r="L257" s="54" t="n"/>
    </row>
    <row r="258" ht="20.1" customHeight="1" s="206">
      <c r="A258" s="156">
        <f t="array" ref="A258">deaths!$A104</f>
        <v/>
      </c>
      <c r="B258" s="54" t="n"/>
      <c r="C258" s="54">
        <f t="array" ref="C258">deaths!C104</f>
        <v/>
      </c>
      <c r="D258" s="54">
        <f t="array" ref="D258">deaths!D104</f>
        <v/>
      </c>
      <c r="E258" s="54">
        <f t="array" ref="E258">deaths!E104</f>
        <v/>
      </c>
      <c r="F258" s="54">
        <f t="array" ref="F258">deaths!F104</f>
        <v/>
      </c>
      <c r="G258" s="54">
        <f t="array" ref="G258">deaths!G104</f>
        <v/>
      </c>
      <c r="H258" s="54">
        <f t="array" ref="H258">deaths!H104</f>
        <v/>
      </c>
      <c r="I258" s="54">
        <f t="array" ref="I258">deaths!I104</f>
        <v/>
      </c>
      <c r="J258" s="54">
        <f t="array" ref="J258">deaths!J104</f>
        <v/>
      </c>
      <c r="K258" s="54">
        <f t="array" ref="K258">deaths!K104</f>
        <v/>
      </c>
      <c r="L258" s="54" t="n"/>
    </row>
    <row r="259" ht="20.1" customHeight="1" s="206">
      <c r="A259" s="156">
        <f t="array" ref="A259">deaths!$A105</f>
        <v/>
      </c>
      <c r="B259" s="54" t="n"/>
      <c r="C259" s="54">
        <f t="array" ref="C259">deaths!C105</f>
        <v/>
      </c>
      <c r="D259" s="54">
        <f t="array" ref="D259">deaths!D105</f>
        <v/>
      </c>
      <c r="E259" s="54">
        <f t="array" ref="E259">deaths!E105</f>
        <v/>
      </c>
      <c r="F259" s="54">
        <f t="array" ref="F259">deaths!F105</f>
        <v/>
      </c>
      <c r="G259" s="54">
        <f t="array" ref="G259">deaths!G105</f>
        <v/>
      </c>
      <c r="H259" s="54">
        <f t="array" ref="H259">deaths!H105</f>
        <v/>
      </c>
      <c r="I259" s="54">
        <f t="array" ref="I259">deaths!I105</f>
        <v/>
      </c>
      <c r="J259" s="54">
        <f t="array" ref="J259">deaths!J105</f>
        <v/>
      </c>
      <c r="K259" s="54">
        <f t="array" ref="K259">deaths!K105</f>
        <v/>
      </c>
      <c r="L259" s="54" t="n"/>
    </row>
    <row r="260" ht="20.1" customHeight="1" s="206">
      <c r="A260" s="156">
        <f t="array" ref="A260">deaths!$A106</f>
        <v/>
      </c>
      <c r="B260" s="54" t="n"/>
      <c r="C260" s="54">
        <f t="array" ref="C260">deaths!C106</f>
        <v/>
      </c>
      <c r="D260" s="54">
        <f t="array" ref="D260">deaths!D106</f>
        <v/>
      </c>
      <c r="E260" s="54">
        <f t="array" ref="E260">deaths!E106</f>
        <v/>
      </c>
      <c r="F260" s="54">
        <f t="array" ref="F260">deaths!F106</f>
        <v/>
      </c>
      <c r="G260" s="54">
        <f t="array" ref="G260">deaths!G106</f>
        <v/>
      </c>
      <c r="H260" s="54">
        <f t="array" ref="H260">deaths!H106</f>
        <v/>
      </c>
      <c r="I260" s="54">
        <f t="array" ref="I260">deaths!I106</f>
        <v/>
      </c>
      <c r="J260" s="54">
        <f t="array" ref="J260">deaths!J106</f>
        <v/>
      </c>
      <c r="K260" s="54">
        <f t="array" ref="K260">deaths!K106</f>
        <v/>
      </c>
      <c r="L260" s="54" t="n"/>
    </row>
    <row r="261" ht="20.1" customHeight="1" s="206">
      <c r="A261" s="161">
        <f t="array" ref="A261">deaths!$A107</f>
        <v/>
      </c>
      <c r="B261" s="116" t="n"/>
      <c r="C261" s="116">
        <f t="array" ref="C261">deaths!C107</f>
        <v/>
      </c>
      <c r="D261" s="54">
        <f t="array" ref="D261">deaths!D107</f>
        <v/>
      </c>
      <c r="E261" s="54">
        <f t="array" ref="E261">deaths!E107</f>
        <v/>
      </c>
      <c r="F261" s="54">
        <f t="array" ref="F261">deaths!F107</f>
        <v/>
      </c>
      <c r="G261" s="54">
        <f t="array" ref="G261">deaths!G107</f>
        <v/>
      </c>
      <c r="H261" s="54">
        <f t="array" ref="H261">deaths!H107</f>
        <v/>
      </c>
      <c r="I261" s="54">
        <f t="array" ref="I261">deaths!I107</f>
        <v/>
      </c>
      <c r="J261" s="54">
        <f t="array" ref="J261">deaths!J107</f>
        <v/>
      </c>
      <c r="K261" s="54">
        <f t="array" ref="K261">deaths!K107</f>
        <v/>
      </c>
      <c r="L261" s="54" t="n"/>
    </row>
    <row r="262" ht="44.1" customHeight="1" s="206">
      <c r="A262" s="162">
        <f t="array" ref="A262">deaths!$A109</f>
        <v/>
      </c>
      <c r="B262" s="163" t="n"/>
      <c r="C262" s="143">
        <f t="array" ref="C262">deaths!C109</f>
        <v/>
      </c>
      <c r="D262" s="54" t="n"/>
      <c r="E262" s="54" t="n"/>
      <c r="F262" s="54" t="n"/>
      <c r="G262" s="54" t="n"/>
      <c r="H262" s="54" t="n"/>
      <c r="I262" s="54" t="n"/>
      <c r="J262" s="54" t="n"/>
      <c r="K262" s="54" t="n"/>
      <c r="L262" s="54" t="n"/>
    </row>
    <row r="263" ht="20.1" customHeight="1" s="206">
      <c r="A263" s="165" t="n"/>
      <c r="B263" s="166" t="n"/>
      <c r="C263" s="166" t="n"/>
      <c r="D263" s="54" t="n"/>
      <c r="E263" s="54" t="n"/>
      <c r="F263" s="54" t="n"/>
      <c r="G263" s="54" t="n"/>
      <c r="H263" s="54" t="n"/>
      <c r="I263" s="54" t="n"/>
      <c r="J263" s="54" t="n"/>
      <c r="K263" s="54" t="n"/>
      <c r="L263" s="54" t="n"/>
    </row>
    <row r="264" ht="26.85" customHeight="1" s="206">
      <c r="A264" s="20" t="n"/>
      <c r="B264" s="21" t="inlineStr">
        <is>
          <t>Migration balance</t>
        </is>
      </c>
      <c r="C264" s="178" t="n"/>
      <c r="D264" s="177" t="n"/>
      <c r="E264" s="177" t="n"/>
      <c r="F264" s="177" t="n"/>
      <c r="G264" s="177" t="n"/>
      <c r="H264" s="177" t="n"/>
      <c r="I264" s="177" t="n"/>
      <c r="J264" s="177" t="n"/>
      <c r="K264" s="177" t="n"/>
      <c r="L264" s="22" t="n"/>
    </row>
    <row r="265" ht="20.1" customHeight="1" s="206">
      <c r="A265" s="156">
        <f t="array" ref="A265">migration!$A9</f>
        <v/>
      </c>
      <c r="B265" s="54" t="n"/>
      <c r="C265" s="54">
        <f t="array" ref="C265">migration!C9</f>
        <v/>
      </c>
      <c r="D265" s="54">
        <f t="array" ref="D265">migration!D9</f>
        <v/>
      </c>
      <c r="E265" s="54">
        <f t="array" ref="E265">migration!E9</f>
        <v/>
      </c>
      <c r="F265" s="54">
        <f t="array" ref="F265">migration!F9</f>
        <v/>
      </c>
      <c r="G265" s="54">
        <f t="array" ref="G265">migration!G9</f>
        <v/>
      </c>
      <c r="H265" s="54">
        <f t="array" ref="H265">migration!H9</f>
        <v/>
      </c>
      <c r="I265" s="54">
        <f t="array" ref="I265">migration!I9</f>
        <v/>
      </c>
      <c r="J265" s="54">
        <f t="array" ref="J265">migration!J9</f>
        <v/>
      </c>
      <c r="K265" s="54">
        <f t="array" ref="K265">migration!K9</f>
        <v/>
      </c>
      <c r="L265" s="54" t="n"/>
    </row>
    <row r="266" ht="20.1" customHeight="1" s="206">
      <c r="A266" s="156">
        <f t="array" ref="A266">migration!$A11</f>
        <v/>
      </c>
      <c r="B266" s="54" t="n"/>
      <c r="C266" s="54">
        <f t="array" ref="C266">migration!C11</f>
        <v/>
      </c>
      <c r="D266" s="54">
        <f t="array" ref="D266">migration!D11</f>
        <v/>
      </c>
      <c r="E266" s="54">
        <f t="array" ref="E266">migration!E11</f>
        <v/>
      </c>
      <c r="F266" s="54">
        <f t="array" ref="F266">migration!F11</f>
        <v/>
      </c>
      <c r="G266" s="54">
        <f t="array" ref="G266">migration!G11</f>
        <v/>
      </c>
      <c r="H266" s="54">
        <f t="array" ref="H266">migration!H11</f>
        <v/>
      </c>
      <c r="I266" s="54">
        <f t="array" ref="I266">migration!I11</f>
        <v/>
      </c>
      <c r="J266" s="54">
        <f t="array" ref="J266">migration!J11</f>
        <v/>
      </c>
      <c r="K266" s="54">
        <f t="array" ref="K266">migration!K11</f>
        <v/>
      </c>
      <c r="L266" s="54" t="n"/>
    </row>
    <row r="267" ht="20.1" customHeight="1" s="206">
      <c r="A267" s="156">
        <f t="array" ref="A267">migration!$A12</f>
        <v/>
      </c>
      <c r="B267" s="54" t="n"/>
      <c r="C267" s="54">
        <f t="array" ref="C267">migration!C12</f>
        <v/>
      </c>
      <c r="D267" s="54">
        <f t="array" ref="D267">migration!D12</f>
        <v/>
      </c>
      <c r="E267" s="54">
        <f t="array" ref="E267">migration!E12</f>
        <v/>
      </c>
      <c r="F267" s="54">
        <f t="array" ref="F267">migration!F12</f>
        <v/>
      </c>
      <c r="G267" s="54">
        <f t="array" ref="G267">migration!G12</f>
        <v/>
      </c>
      <c r="H267" s="54">
        <f t="array" ref="H267">migration!H12</f>
        <v/>
      </c>
      <c r="I267" s="54">
        <f t="array" ref="I267">migration!I12</f>
        <v/>
      </c>
      <c r="J267" s="54">
        <f t="array" ref="J267">migration!J12</f>
        <v/>
      </c>
      <c r="K267" s="54">
        <f t="array" ref="K267">migration!K12</f>
        <v/>
      </c>
      <c r="L267" s="54" t="n"/>
    </row>
    <row r="268" ht="20.1" customHeight="1" s="206">
      <c r="A268" s="156">
        <f t="array" ref="A268">migration!$A13</f>
        <v/>
      </c>
      <c r="B268" s="54" t="n"/>
      <c r="C268" s="54">
        <f t="array" ref="C268">migration!C13</f>
        <v/>
      </c>
      <c r="D268" s="54">
        <f t="array" ref="D268">migration!D13</f>
        <v/>
      </c>
      <c r="E268" s="54">
        <f t="array" ref="E268">migration!E13</f>
        <v/>
      </c>
      <c r="F268" s="54">
        <f t="array" ref="F268">migration!F13</f>
        <v/>
      </c>
      <c r="G268" s="54">
        <f t="array" ref="G268">migration!G13</f>
        <v/>
      </c>
      <c r="H268" s="54">
        <f t="array" ref="H268">migration!H13</f>
        <v/>
      </c>
      <c r="I268" s="54">
        <f t="array" ref="I268">migration!I13</f>
        <v/>
      </c>
      <c r="J268" s="54">
        <f t="array" ref="J268">migration!J13</f>
        <v/>
      </c>
      <c r="K268" s="54">
        <f t="array" ref="K268">migration!K13</f>
        <v/>
      </c>
      <c r="L268" s="54" t="n"/>
    </row>
    <row r="269" ht="20.1" customHeight="1" s="206">
      <c r="A269" s="156">
        <f t="array" ref="A269">migration!$A14</f>
        <v/>
      </c>
      <c r="B269" s="54" t="n"/>
      <c r="C269" s="54">
        <f t="array" ref="C269">migration!C14</f>
        <v/>
      </c>
      <c r="D269" s="54">
        <f t="array" ref="D269">migration!D14</f>
        <v/>
      </c>
      <c r="E269" s="54">
        <f t="array" ref="E269">migration!E14</f>
        <v/>
      </c>
      <c r="F269" s="54">
        <f t="array" ref="F269">migration!F14</f>
        <v/>
      </c>
      <c r="G269" s="54">
        <f t="array" ref="G269">migration!G14</f>
        <v/>
      </c>
      <c r="H269" s="54">
        <f t="array" ref="H269">migration!H14</f>
        <v/>
      </c>
      <c r="I269" s="54">
        <f t="array" ref="I269">migration!I14</f>
        <v/>
      </c>
      <c r="J269" s="54">
        <f t="array" ref="J269">migration!J14</f>
        <v/>
      </c>
      <c r="K269" s="54">
        <f t="array" ref="K269">migration!K14</f>
        <v/>
      </c>
      <c r="L269" s="54" t="n"/>
    </row>
    <row r="270" ht="20.1" customHeight="1" s="206">
      <c r="A270" s="156">
        <f t="array" ref="A270">migration!$A15</f>
        <v/>
      </c>
      <c r="B270" s="54" t="n"/>
      <c r="C270" s="54">
        <f t="array" ref="C270">migration!C15</f>
        <v/>
      </c>
      <c r="D270" s="54">
        <f t="array" ref="D270">migration!D15</f>
        <v/>
      </c>
      <c r="E270" s="54">
        <f t="array" ref="E270">migration!E15</f>
        <v/>
      </c>
      <c r="F270" s="54">
        <f t="array" ref="F270">migration!F15</f>
        <v/>
      </c>
      <c r="G270" s="54">
        <f t="array" ref="G270">migration!G15</f>
        <v/>
      </c>
      <c r="H270" s="54">
        <f t="array" ref="H270">migration!H15</f>
        <v/>
      </c>
      <c r="I270" s="54">
        <f t="array" ref="I270">migration!I15</f>
        <v/>
      </c>
      <c r="J270" s="54">
        <f t="array" ref="J270">migration!J15</f>
        <v/>
      </c>
      <c r="K270" s="54">
        <f t="array" ref="K270">migration!K15</f>
        <v/>
      </c>
      <c r="L270" s="54" t="n"/>
    </row>
    <row r="271" ht="20.1" customHeight="1" s="206">
      <c r="A271" s="156">
        <f t="array" ref="A271">migration!$A16</f>
        <v/>
      </c>
      <c r="B271" s="54" t="n"/>
      <c r="C271" s="54">
        <f t="array" ref="C271">migration!C16</f>
        <v/>
      </c>
      <c r="D271" s="54">
        <f t="array" ref="D271">migration!D16</f>
        <v/>
      </c>
      <c r="E271" s="54">
        <f t="array" ref="E271">migration!E16</f>
        <v/>
      </c>
      <c r="F271" s="54">
        <f t="array" ref="F271">migration!F16</f>
        <v/>
      </c>
      <c r="G271" s="54">
        <f t="array" ref="G271">migration!G16</f>
        <v/>
      </c>
      <c r="H271" s="54">
        <f t="array" ref="H271">migration!H16</f>
        <v/>
      </c>
      <c r="I271" s="54">
        <f t="array" ref="I271">migration!I16</f>
        <v/>
      </c>
      <c r="J271" s="54">
        <f t="array" ref="J271">migration!J16</f>
        <v/>
      </c>
      <c r="K271" s="54">
        <f t="array" ref="K271">migration!K16</f>
        <v/>
      </c>
      <c r="L271" s="54" t="n"/>
    </row>
    <row r="272" ht="20.1" customHeight="1" s="206">
      <c r="A272" s="156">
        <f t="array" ref="A272">migration!$A17</f>
        <v/>
      </c>
      <c r="B272" s="54" t="n"/>
      <c r="C272" s="54">
        <f t="array" ref="C272">migration!C17</f>
        <v/>
      </c>
      <c r="D272" s="54">
        <f t="array" ref="D272">migration!D17</f>
        <v/>
      </c>
      <c r="E272" s="54">
        <f t="array" ref="E272">migration!E17</f>
        <v/>
      </c>
      <c r="F272" s="54">
        <f t="array" ref="F272">migration!F17</f>
        <v/>
      </c>
      <c r="G272" s="54">
        <f t="array" ref="G272">migration!G17</f>
        <v/>
      </c>
      <c r="H272" s="54">
        <f t="array" ref="H272">migration!H17</f>
        <v/>
      </c>
      <c r="I272" s="54">
        <f t="array" ref="I272">migration!I17</f>
        <v/>
      </c>
      <c r="J272" s="54">
        <f t="array" ref="J272">migration!J17</f>
        <v/>
      </c>
      <c r="K272" s="54">
        <f t="array" ref="K272">migration!K17</f>
        <v/>
      </c>
      <c r="L272" s="54" t="n"/>
    </row>
    <row r="273" ht="20.1" customHeight="1" s="206">
      <c r="A273" s="156">
        <f t="array" ref="A273">migration!$A18</f>
        <v/>
      </c>
      <c r="B273" s="54" t="n"/>
      <c r="C273" s="54">
        <f t="array" ref="C273">migration!C18</f>
        <v/>
      </c>
      <c r="D273" s="54">
        <f t="array" ref="D273">migration!D18</f>
        <v/>
      </c>
      <c r="E273" s="54">
        <f t="array" ref="E273">migration!E18</f>
        <v/>
      </c>
      <c r="F273" s="54">
        <f t="array" ref="F273">migration!F18</f>
        <v/>
      </c>
      <c r="G273" s="54">
        <f t="array" ref="G273">migration!G18</f>
        <v/>
      </c>
      <c r="H273" s="54">
        <f t="array" ref="H273">migration!H18</f>
        <v/>
      </c>
      <c r="I273" s="54">
        <f t="array" ref="I273">migration!I18</f>
        <v/>
      </c>
      <c r="J273" s="54">
        <f t="array" ref="J273">migration!J18</f>
        <v/>
      </c>
      <c r="K273" s="54">
        <f t="array" ref="K273">migration!K18</f>
        <v/>
      </c>
      <c r="L273" s="54" t="n"/>
    </row>
    <row r="274" ht="20.1" customHeight="1" s="206">
      <c r="A274" s="156">
        <f t="array" ref="A274">migration!$A19</f>
        <v/>
      </c>
      <c r="B274" s="54" t="n"/>
      <c r="C274" s="54">
        <f t="array" ref="C274">migration!C19</f>
        <v/>
      </c>
      <c r="D274" s="54">
        <f t="array" ref="D274">migration!D19</f>
        <v/>
      </c>
      <c r="E274" s="54">
        <f t="array" ref="E274">migration!E19</f>
        <v/>
      </c>
      <c r="F274" s="54">
        <f t="array" ref="F274">migration!F19</f>
        <v/>
      </c>
      <c r="G274" s="54">
        <f t="array" ref="G274">migration!G19</f>
        <v/>
      </c>
      <c r="H274" s="54">
        <f t="array" ref="H274">migration!H19</f>
        <v/>
      </c>
      <c r="I274" s="54">
        <f t="array" ref="I274">migration!I19</f>
        <v/>
      </c>
      <c r="J274" s="54">
        <f t="array" ref="J274">migration!J19</f>
        <v/>
      </c>
      <c r="K274" s="54">
        <f t="array" ref="K274">migration!K19</f>
        <v/>
      </c>
      <c r="L274" s="54" t="n"/>
    </row>
    <row r="275" ht="20.1" customHeight="1" s="206">
      <c r="A275" s="156">
        <f t="array" ref="A275">migration!$A20</f>
        <v/>
      </c>
      <c r="B275" s="54" t="n"/>
      <c r="C275" s="54">
        <f t="array" ref="C275">migration!C20</f>
        <v/>
      </c>
      <c r="D275" s="54">
        <f t="array" ref="D275">migration!D20</f>
        <v/>
      </c>
      <c r="E275" s="54">
        <f t="array" ref="E275">migration!E20</f>
        <v/>
      </c>
      <c r="F275" s="54">
        <f t="array" ref="F275">migration!F20</f>
        <v/>
      </c>
      <c r="G275" s="54">
        <f t="array" ref="G275">migration!G20</f>
        <v/>
      </c>
      <c r="H275" s="54">
        <f t="array" ref="H275">migration!H20</f>
        <v/>
      </c>
      <c r="I275" s="54">
        <f t="array" ref="I275">migration!I20</f>
        <v/>
      </c>
      <c r="J275" s="54">
        <f t="array" ref="J275">migration!J20</f>
        <v/>
      </c>
      <c r="K275" s="54">
        <f t="array" ref="K275">migration!K20</f>
        <v/>
      </c>
      <c r="L275" s="54" t="n"/>
    </row>
    <row r="276" ht="20.1" customHeight="1" s="206">
      <c r="A276" s="156">
        <f t="array" ref="A276">migration!$A21</f>
        <v/>
      </c>
      <c r="B276" s="54" t="n"/>
      <c r="C276" s="54">
        <f t="array" ref="C276">migration!C21</f>
        <v/>
      </c>
      <c r="D276" s="54">
        <f t="array" ref="D276">migration!D21</f>
        <v/>
      </c>
      <c r="E276" s="54">
        <f t="array" ref="E276">migration!E21</f>
        <v/>
      </c>
      <c r="F276" s="54">
        <f t="array" ref="F276">migration!F21</f>
        <v/>
      </c>
      <c r="G276" s="54">
        <f t="array" ref="G276">migration!G21</f>
        <v/>
      </c>
      <c r="H276" s="54">
        <f t="array" ref="H276">migration!H21</f>
        <v/>
      </c>
      <c r="I276" s="54">
        <f t="array" ref="I276">migration!I21</f>
        <v/>
      </c>
      <c r="J276" s="54">
        <f t="array" ref="J276">migration!J21</f>
        <v/>
      </c>
      <c r="K276" s="54">
        <f t="array" ref="K276">migration!K21</f>
        <v/>
      </c>
      <c r="L276" s="54" t="n"/>
    </row>
    <row r="277" ht="20.1" customHeight="1" s="206">
      <c r="A277" s="156">
        <f t="array" ref="A277">migration!$A22</f>
        <v/>
      </c>
      <c r="B277" s="54" t="n"/>
      <c r="C277" s="54">
        <f t="array" ref="C277">migration!C22</f>
        <v/>
      </c>
      <c r="D277" s="54">
        <f t="array" ref="D277">migration!D22</f>
        <v/>
      </c>
      <c r="E277" s="54">
        <f t="array" ref="E277">migration!E22</f>
        <v/>
      </c>
      <c r="F277" s="54">
        <f t="array" ref="F277">migration!F22</f>
        <v/>
      </c>
      <c r="G277" s="54">
        <f t="array" ref="G277">migration!G22</f>
        <v/>
      </c>
      <c r="H277" s="54">
        <f t="array" ref="H277">migration!H22</f>
        <v/>
      </c>
      <c r="I277" s="54">
        <f t="array" ref="I277">migration!I22</f>
        <v/>
      </c>
      <c r="J277" s="54">
        <f t="array" ref="J277">migration!J22</f>
        <v/>
      </c>
      <c r="K277" s="54">
        <f t="array" ref="K277">migration!K22</f>
        <v/>
      </c>
      <c r="L277" s="54" t="n"/>
    </row>
    <row r="278" ht="20.1" customHeight="1" s="206">
      <c r="A278" s="156">
        <f t="array" ref="A278">migration!$A23</f>
        <v/>
      </c>
      <c r="B278" s="54" t="n"/>
      <c r="C278" s="54">
        <f t="array" ref="C278">migration!C23</f>
        <v/>
      </c>
      <c r="D278" s="54">
        <f t="array" ref="D278">migration!D23</f>
        <v/>
      </c>
      <c r="E278" s="54">
        <f t="array" ref="E278">migration!E23</f>
        <v/>
      </c>
      <c r="F278" s="54">
        <f t="array" ref="F278">migration!F23</f>
        <v/>
      </c>
      <c r="G278" s="54">
        <f t="array" ref="G278">migration!G23</f>
        <v/>
      </c>
      <c r="H278" s="54">
        <f t="array" ref="H278">migration!H23</f>
        <v/>
      </c>
      <c r="I278" s="54">
        <f t="array" ref="I278">migration!I23</f>
        <v/>
      </c>
      <c r="J278" s="54">
        <f t="array" ref="J278">migration!J23</f>
        <v/>
      </c>
      <c r="K278" s="54">
        <f t="array" ref="K278">migration!K23</f>
        <v/>
      </c>
      <c r="L278" s="54" t="n"/>
    </row>
    <row r="279" ht="20.1" customHeight="1" s="206">
      <c r="A279" s="156">
        <f t="array" ref="A279">migration!$A24</f>
        <v/>
      </c>
      <c r="B279" s="54" t="n"/>
      <c r="C279" s="54">
        <f t="array" ref="C279">migration!C24</f>
        <v/>
      </c>
      <c r="D279" s="54">
        <f t="array" ref="D279">migration!D24</f>
        <v/>
      </c>
      <c r="E279" s="54">
        <f t="array" ref="E279">migration!E24</f>
        <v/>
      </c>
      <c r="F279" s="54">
        <f t="array" ref="F279">migration!F24</f>
        <v/>
      </c>
      <c r="G279" s="54">
        <f t="array" ref="G279">migration!G24</f>
        <v/>
      </c>
      <c r="H279" s="54">
        <f t="array" ref="H279">migration!H24</f>
        <v/>
      </c>
      <c r="I279" s="54">
        <f t="array" ref="I279">migration!I24</f>
        <v/>
      </c>
      <c r="J279" s="54">
        <f t="array" ref="J279">migration!J24</f>
        <v/>
      </c>
      <c r="K279" s="54">
        <f t="array" ref="K279">migration!K24</f>
        <v/>
      </c>
      <c r="L279" s="54" t="n"/>
    </row>
    <row r="280" ht="20.1" customHeight="1" s="206">
      <c r="A280" s="156">
        <f t="array" ref="A280">migration!$A25</f>
        <v/>
      </c>
      <c r="B280" s="54" t="n"/>
      <c r="C280" s="54">
        <f t="array" ref="C280">migration!C25</f>
        <v/>
      </c>
      <c r="D280" s="54">
        <f t="array" ref="D280">migration!D25</f>
        <v/>
      </c>
      <c r="E280" s="54">
        <f t="array" ref="E280">migration!E25</f>
        <v/>
      </c>
      <c r="F280" s="54">
        <f t="array" ref="F280">migration!F25</f>
        <v/>
      </c>
      <c r="G280" s="54">
        <f t="array" ref="G280">migration!G25</f>
        <v/>
      </c>
      <c r="H280" s="54">
        <f t="array" ref="H280">migration!H25</f>
        <v/>
      </c>
      <c r="I280" s="54">
        <f t="array" ref="I280">migration!I25</f>
        <v/>
      </c>
      <c r="J280" s="54">
        <f t="array" ref="J280">migration!J25</f>
        <v/>
      </c>
      <c r="K280" s="54">
        <f t="array" ref="K280">migration!K25</f>
        <v/>
      </c>
      <c r="L280" s="54" t="n"/>
    </row>
    <row r="281" ht="20.1" customHeight="1" s="206">
      <c r="A281" s="156">
        <f t="array" ref="A281">migration!$A26</f>
        <v/>
      </c>
      <c r="B281" s="54" t="n"/>
      <c r="C281" s="54">
        <f t="array" ref="C281">migration!C26</f>
        <v/>
      </c>
      <c r="D281" s="54">
        <f t="array" ref="D281">migration!D26</f>
        <v/>
      </c>
      <c r="E281" s="54">
        <f t="array" ref="E281">migration!E26</f>
        <v/>
      </c>
      <c r="F281" s="54">
        <f t="array" ref="F281">migration!F26</f>
        <v/>
      </c>
      <c r="G281" s="54">
        <f t="array" ref="G281">migration!G26</f>
        <v/>
      </c>
      <c r="H281" s="54">
        <f t="array" ref="H281">migration!H26</f>
        <v/>
      </c>
      <c r="I281" s="54">
        <f t="array" ref="I281">migration!I26</f>
        <v/>
      </c>
      <c r="J281" s="54">
        <f t="array" ref="J281">migration!J26</f>
        <v/>
      </c>
      <c r="K281" s="54">
        <f t="array" ref="K281">migration!K26</f>
        <v/>
      </c>
      <c r="L281" s="54" t="n"/>
    </row>
    <row r="282" ht="20.1" customHeight="1" s="206">
      <c r="A282" s="156">
        <f t="array" ref="A282">migration!$A27</f>
        <v/>
      </c>
      <c r="B282" s="54" t="n"/>
      <c r="C282" s="54">
        <f t="array" ref="C282">migration!C27</f>
        <v/>
      </c>
      <c r="D282" s="54">
        <f t="array" ref="D282">migration!D27</f>
        <v/>
      </c>
      <c r="E282" s="54">
        <f t="array" ref="E282">migration!E27</f>
        <v/>
      </c>
      <c r="F282" s="54">
        <f t="array" ref="F282">migration!F27</f>
        <v/>
      </c>
      <c r="G282" s="54">
        <f t="array" ref="G282">migration!G27</f>
        <v/>
      </c>
      <c r="H282" s="54">
        <f t="array" ref="H282">migration!H27</f>
        <v/>
      </c>
      <c r="I282" s="54">
        <f t="array" ref="I282">migration!I27</f>
        <v/>
      </c>
      <c r="J282" s="54">
        <f t="array" ref="J282">migration!J27</f>
        <v/>
      </c>
      <c r="K282" s="54">
        <f t="array" ref="K282">migration!K27</f>
        <v/>
      </c>
      <c r="L282" s="54" t="n"/>
    </row>
    <row r="283" ht="20.1" customHeight="1" s="206">
      <c r="A283" s="156">
        <f t="array" ref="A283">migration!$A28</f>
        <v/>
      </c>
      <c r="B283" s="54" t="n"/>
      <c r="C283" s="54">
        <f t="array" ref="C283">migration!C28</f>
        <v/>
      </c>
      <c r="D283" s="54">
        <f t="array" ref="D283">migration!D28</f>
        <v/>
      </c>
      <c r="E283" s="54">
        <f t="array" ref="E283">migration!E28</f>
        <v/>
      </c>
      <c r="F283" s="54">
        <f t="array" ref="F283">migration!F28</f>
        <v/>
      </c>
      <c r="G283" s="54">
        <f t="array" ref="G283">migration!G28</f>
        <v/>
      </c>
      <c r="H283" s="54">
        <f t="array" ref="H283">migration!H28</f>
        <v/>
      </c>
      <c r="I283" s="54">
        <f t="array" ref="I283">migration!I28</f>
        <v/>
      </c>
      <c r="J283" s="54">
        <f t="array" ref="J283">migration!J28</f>
        <v/>
      </c>
      <c r="K283" s="54">
        <f t="array" ref="K283">migration!K28</f>
        <v/>
      </c>
      <c r="L283" s="54" t="n"/>
    </row>
    <row r="284" ht="20.1" customHeight="1" s="206">
      <c r="A284" s="156">
        <f t="array" ref="A284">migration!$A29</f>
        <v/>
      </c>
      <c r="B284" s="54" t="n"/>
      <c r="C284" s="54">
        <f t="array" ref="C284">migration!C29</f>
        <v/>
      </c>
      <c r="D284" s="54">
        <f t="array" ref="D284">migration!D29</f>
        <v/>
      </c>
      <c r="E284" s="54">
        <f t="array" ref="E284">migration!E29</f>
        <v/>
      </c>
      <c r="F284" s="54">
        <f t="array" ref="F284">migration!F29</f>
        <v/>
      </c>
      <c r="G284" s="54">
        <f t="array" ref="G284">migration!G29</f>
        <v/>
      </c>
      <c r="H284" s="54">
        <f t="array" ref="H284">migration!H29</f>
        <v/>
      </c>
      <c r="I284" s="54">
        <f t="array" ref="I284">migration!I29</f>
        <v/>
      </c>
      <c r="J284" s="54">
        <f t="array" ref="J284">migration!J29</f>
        <v/>
      </c>
      <c r="K284" s="54">
        <f t="array" ref="K284">migration!K29</f>
        <v/>
      </c>
      <c r="L284" s="54" t="n"/>
    </row>
    <row r="285" ht="20.1" customHeight="1" s="206">
      <c r="A285" s="156">
        <f t="array" ref="A285">migration!$A30</f>
        <v/>
      </c>
      <c r="B285" s="54" t="n"/>
      <c r="C285" s="54">
        <f t="array" ref="C285">migration!C30</f>
        <v/>
      </c>
      <c r="D285" s="54">
        <f t="array" ref="D285">migration!D30</f>
        <v/>
      </c>
      <c r="E285" s="54">
        <f t="array" ref="E285">migration!E30</f>
        <v/>
      </c>
      <c r="F285" s="54">
        <f t="array" ref="F285">migration!F30</f>
        <v/>
      </c>
      <c r="G285" s="54">
        <f t="array" ref="G285">migration!G30</f>
        <v/>
      </c>
      <c r="H285" s="54">
        <f t="array" ref="H285">migration!H30</f>
        <v/>
      </c>
      <c r="I285" s="54">
        <f t="array" ref="I285">migration!I30</f>
        <v/>
      </c>
      <c r="J285" s="54">
        <f t="array" ref="J285">migration!J30</f>
        <v/>
      </c>
      <c r="K285" s="54">
        <f t="array" ref="K285">migration!K30</f>
        <v/>
      </c>
      <c r="L285" s="54" t="n"/>
    </row>
    <row r="286" ht="20.1" customHeight="1" s="206">
      <c r="A286" s="156">
        <f t="array" ref="A286">migration!$A31</f>
        <v/>
      </c>
      <c r="B286" s="54" t="n"/>
      <c r="C286" s="54">
        <f t="array" ref="C286">migration!C31</f>
        <v/>
      </c>
      <c r="D286" s="54">
        <f t="array" ref="D286">migration!D31</f>
        <v/>
      </c>
      <c r="E286" s="54">
        <f t="array" ref="E286">migration!E31</f>
        <v/>
      </c>
      <c r="F286" s="54">
        <f t="array" ref="F286">migration!F31</f>
        <v/>
      </c>
      <c r="G286" s="54">
        <f t="array" ref="G286">migration!G31</f>
        <v/>
      </c>
      <c r="H286" s="54">
        <f t="array" ref="H286">migration!H31</f>
        <v/>
      </c>
      <c r="I286" s="54">
        <f t="array" ref="I286">migration!I31</f>
        <v/>
      </c>
      <c r="J286" s="54">
        <f t="array" ref="J286">migration!J31</f>
        <v/>
      </c>
      <c r="K286" s="54">
        <f t="array" ref="K286">migration!K31</f>
        <v/>
      </c>
      <c r="L286" s="54" t="n"/>
    </row>
    <row r="287" ht="20.1" customHeight="1" s="206">
      <c r="A287" s="156">
        <f t="array" ref="A287">migration!$A32</f>
        <v/>
      </c>
      <c r="B287" s="54" t="n"/>
      <c r="C287" s="54">
        <f t="array" ref="C287">migration!C32</f>
        <v/>
      </c>
      <c r="D287" s="54">
        <f t="array" ref="D287">migration!D32</f>
        <v/>
      </c>
      <c r="E287" s="54">
        <f t="array" ref="E287">migration!E32</f>
        <v/>
      </c>
      <c r="F287" s="54">
        <f t="array" ref="F287">migration!F32</f>
        <v/>
      </c>
      <c r="G287" s="54">
        <f t="array" ref="G287">migration!G32</f>
        <v/>
      </c>
      <c r="H287" s="54">
        <f t="array" ref="H287">migration!H32</f>
        <v/>
      </c>
      <c r="I287" s="54">
        <f t="array" ref="I287">migration!I32</f>
        <v/>
      </c>
      <c r="J287" s="54">
        <f t="array" ref="J287">migration!J32</f>
        <v/>
      </c>
      <c r="K287" s="54">
        <f t="array" ref="K287">migration!K32</f>
        <v/>
      </c>
      <c r="L287" s="54" t="n"/>
    </row>
    <row r="288" ht="20.1" customHeight="1" s="206">
      <c r="A288" s="156">
        <f t="array" ref="A288">migration!$A33</f>
        <v/>
      </c>
      <c r="B288" s="54" t="n"/>
      <c r="C288" s="54">
        <f t="array" ref="C288">migration!C33</f>
        <v/>
      </c>
      <c r="D288" s="54">
        <f t="array" ref="D288">migration!D33</f>
        <v/>
      </c>
      <c r="E288" s="54">
        <f t="array" ref="E288">migration!E33</f>
        <v/>
      </c>
      <c r="F288" s="54">
        <f t="array" ref="F288">migration!F33</f>
        <v/>
      </c>
      <c r="G288" s="54">
        <f t="array" ref="G288">migration!G33</f>
        <v/>
      </c>
      <c r="H288" s="54">
        <f t="array" ref="H288">migration!H33</f>
        <v/>
      </c>
      <c r="I288" s="54">
        <f t="array" ref="I288">migration!I33</f>
        <v/>
      </c>
      <c r="J288" s="54">
        <f t="array" ref="J288">migration!J33</f>
        <v/>
      </c>
      <c r="K288" s="54">
        <f t="array" ref="K288">migration!K33</f>
        <v/>
      </c>
      <c r="L288" s="54" t="n"/>
    </row>
    <row r="289" ht="20.1" customHeight="1" s="206">
      <c r="A289" s="156">
        <f t="array" ref="A289">migration!$A34</f>
        <v/>
      </c>
      <c r="B289" s="54" t="n"/>
      <c r="C289" s="54">
        <f t="array" ref="C289">migration!C34</f>
        <v/>
      </c>
      <c r="D289" s="54">
        <f t="array" ref="D289">migration!D34</f>
        <v/>
      </c>
      <c r="E289" s="54">
        <f t="array" ref="E289">migration!E34</f>
        <v/>
      </c>
      <c r="F289" s="54">
        <f t="array" ref="F289">migration!F34</f>
        <v/>
      </c>
      <c r="G289" s="54">
        <f t="array" ref="G289">migration!G34</f>
        <v/>
      </c>
      <c r="H289" s="54">
        <f t="array" ref="H289">migration!H34</f>
        <v/>
      </c>
      <c r="I289" s="54">
        <f t="array" ref="I289">migration!I34</f>
        <v/>
      </c>
      <c r="J289" s="54">
        <f t="array" ref="J289">migration!J34</f>
        <v/>
      </c>
      <c r="K289" s="54">
        <f t="array" ref="K289">migration!K34</f>
        <v/>
      </c>
      <c r="L289" s="54" t="n"/>
    </row>
    <row r="290" ht="20.1" customHeight="1" s="206">
      <c r="A290" s="156">
        <f t="array" ref="A290">migration!$A35</f>
        <v/>
      </c>
      <c r="B290" s="54" t="n"/>
      <c r="C290" s="54">
        <f t="array" ref="C290">migration!C35</f>
        <v/>
      </c>
      <c r="D290" s="54">
        <f t="array" ref="D290">migration!D35</f>
        <v/>
      </c>
      <c r="E290" s="54">
        <f t="array" ref="E290">migration!E35</f>
        <v/>
      </c>
      <c r="F290" s="54">
        <f t="array" ref="F290">migration!F35</f>
        <v/>
      </c>
      <c r="G290" s="54">
        <f t="array" ref="G290">migration!G35</f>
        <v/>
      </c>
      <c r="H290" s="54">
        <f t="array" ref="H290">migration!H35</f>
        <v/>
      </c>
      <c r="I290" s="54">
        <f t="array" ref="I290">migration!I35</f>
        <v/>
      </c>
      <c r="J290" s="54">
        <f t="array" ref="J290">migration!J35</f>
        <v/>
      </c>
      <c r="K290" s="54">
        <f t="array" ref="K290">migration!K35</f>
        <v/>
      </c>
      <c r="L290" s="54" t="n"/>
    </row>
    <row r="291" ht="20.1" customHeight="1" s="206">
      <c r="A291" s="156">
        <f t="array" ref="A291">migration!$A36</f>
        <v/>
      </c>
      <c r="B291" s="54" t="n"/>
      <c r="C291" s="54">
        <f t="array" ref="C291">migration!C36</f>
        <v/>
      </c>
      <c r="D291" s="54">
        <f t="array" ref="D291">migration!D36</f>
        <v/>
      </c>
      <c r="E291" s="54">
        <f t="array" ref="E291">migration!E36</f>
        <v/>
      </c>
      <c r="F291" s="54">
        <f t="array" ref="F291">migration!F36</f>
        <v/>
      </c>
      <c r="G291" s="54">
        <f t="array" ref="G291">migration!G36</f>
        <v/>
      </c>
      <c r="H291" s="54">
        <f t="array" ref="H291">migration!H36</f>
        <v/>
      </c>
      <c r="I291" s="54">
        <f t="array" ref="I291">migration!I36</f>
        <v/>
      </c>
      <c r="J291" s="54">
        <f t="array" ref="J291">migration!J36</f>
        <v/>
      </c>
      <c r="K291" s="54">
        <f t="array" ref="K291">migration!K36</f>
        <v/>
      </c>
      <c r="L291" s="54" t="n"/>
    </row>
    <row r="292" ht="20.1" customHeight="1" s="206">
      <c r="A292" s="156">
        <f t="array" ref="A292">migration!$A37</f>
        <v/>
      </c>
      <c r="B292" s="54" t="n"/>
      <c r="C292" s="54">
        <f t="array" ref="C292">migration!C37</f>
        <v/>
      </c>
      <c r="D292" s="54">
        <f t="array" ref="D292">migration!D37</f>
        <v/>
      </c>
      <c r="E292" s="54">
        <f t="array" ref="E292">migration!E37</f>
        <v/>
      </c>
      <c r="F292" s="54">
        <f t="array" ref="F292">migration!F37</f>
        <v/>
      </c>
      <c r="G292" s="54">
        <f t="array" ref="G292">migration!G37</f>
        <v/>
      </c>
      <c r="H292" s="54">
        <f t="array" ref="H292">migration!H37</f>
        <v/>
      </c>
      <c r="I292" s="54">
        <f t="array" ref="I292">migration!I37</f>
        <v/>
      </c>
      <c r="J292" s="54">
        <f t="array" ref="J292">migration!J37</f>
        <v/>
      </c>
      <c r="K292" s="54">
        <f t="array" ref="K292">migration!K37</f>
        <v/>
      </c>
      <c r="L292" s="54" t="n"/>
    </row>
    <row r="293" ht="20.1" customHeight="1" s="206">
      <c r="A293" s="156">
        <f t="array" ref="A293">migration!$A38</f>
        <v/>
      </c>
      <c r="B293" s="54" t="n"/>
      <c r="C293" s="54">
        <f t="array" ref="C293">migration!C38</f>
        <v/>
      </c>
      <c r="D293" s="54">
        <f t="array" ref="D293">migration!D38</f>
        <v/>
      </c>
      <c r="E293" s="54">
        <f t="array" ref="E293">migration!E38</f>
        <v/>
      </c>
      <c r="F293" s="54">
        <f t="array" ref="F293">migration!F38</f>
        <v/>
      </c>
      <c r="G293" s="54">
        <f t="array" ref="G293">migration!G38</f>
        <v/>
      </c>
      <c r="H293" s="54">
        <f t="array" ref="H293">migration!H38</f>
        <v/>
      </c>
      <c r="I293" s="54">
        <f t="array" ref="I293">migration!I38</f>
        <v/>
      </c>
      <c r="J293" s="54">
        <f t="array" ref="J293">migration!J38</f>
        <v/>
      </c>
      <c r="K293" s="54">
        <f t="array" ref="K293">migration!K38</f>
        <v/>
      </c>
      <c r="L293" s="54" t="n"/>
    </row>
    <row r="294" ht="20.1" customHeight="1" s="206">
      <c r="A294" s="156">
        <f t="array" ref="A294">migration!$A39</f>
        <v/>
      </c>
      <c r="B294" s="54" t="n"/>
      <c r="C294" s="54">
        <f t="array" ref="C294">migration!C39</f>
        <v/>
      </c>
      <c r="D294" s="54">
        <f t="array" ref="D294">migration!D39</f>
        <v/>
      </c>
      <c r="E294" s="54">
        <f t="array" ref="E294">migration!E39</f>
        <v/>
      </c>
      <c r="F294" s="54">
        <f t="array" ref="F294">migration!F39</f>
        <v/>
      </c>
      <c r="G294" s="54">
        <f t="array" ref="G294">migration!G39</f>
        <v/>
      </c>
      <c r="H294" s="54">
        <f t="array" ref="H294">migration!H39</f>
        <v/>
      </c>
      <c r="I294" s="54">
        <f t="array" ref="I294">migration!I39</f>
        <v/>
      </c>
      <c r="J294" s="54">
        <f t="array" ref="J294">migration!J39</f>
        <v/>
      </c>
      <c r="K294" s="54">
        <f t="array" ref="K294">migration!K39</f>
        <v/>
      </c>
      <c r="L294" s="54" t="n"/>
    </row>
    <row r="295" ht="20.1" customHeight="1" s="206">
      <c r="A295" s="156">
        <f t="array" ref="A295">migration!$A40</f>
        <v/>
      </c>
      <c r="B295" s="54" t="n"/>
      <c r="C295" s="54">
        <f t="array" ref="C295">migration!C40</f>
        <v/>
      </c>
      <c r="D295" s="54">
        <f t="array" ref="D295">migration!D40</f>
        <v/>
      </c>
      <c r="E295" s="54">
        <f t="array" ref="E295">migration!E40</f>
        <v/>
      </c>
      <c r="F295" s="54">
        <f t="array" ref="F295">migration!F40</f>
        <v/>
      </c>
      <c r="G295" s="54">
        <f t="array" ref="G295">migration!G40</f>
        <v/>
      </c>
      <c r="H295" s="54">
        <f t="array" ref="H295">migration!H40</f>
        <v/>
      </c>
      <c r="I295" s="54">
        <f t="array" ref="I295">migration!I40</f>
        <v/>
      </c>
      <c r="J295" s="54">
        <f t="array" ref="J295">migration!J40</f>
        <v/>
      </c>
      <c r="K295" s="54">
        <f t="array" ref="K295">migration!K40</f>
        <v/>
      </c>
      <c r="L295" s="54" t="n"/>
    </row>
    <row r="296" ht="20.1" customHeight="1" s="206">
      <c r="A296" s="156">
        <f t="array" ref="A296">migration!$A41</f>
        <v/>
      </c>
      <c r="B296" s="54" t="n"/>
      <c r="C296" s="54">
        <f t="array" ref="C296">migration!C41</f>
        <v/>
      </c>
      <c r="D296" s="54">
        <f t="array" ref="D296">migration!D41</f>
        <v/>
      </c>
      <c r="E296" s="54">
        <f t="array" ref="E296">migration!E41</f>
        <v/>
      </c>
      <c r="F296" s="54">
        <f t="array" ref="F296">migration!F41</f>
        <v/>
      </c>
      <c r="G296" s="54">
        <f t="array" ref="G296">migration!G41</f>
        <v/>
      </c>
      <c r="H296" s="54">
        <f t="array" ref="H296">migration!H41</f>
        <v/>
      </c>
      <c r="I296" s="54">
        <f t="array" ref="I296">migration!I41</f>
        <v/>
      </c>
      <c r="J296" s="54">
        <f t="array" ref="J296">migration!J41</f>
        <v/>
      </c>
      <c r="K296" s="54">
        <f t="array" ref="K296">migration!K41</f>
        <v/>
      </c>
      <c r="L296" s="54" t="n"/>
    </row>
    <row r="297" ht="20.1" customHeight="1" s="206">
      <c r="A297" s="156">
        <f t="array" ref="A297">migration!$A42</f>
        <v/>
      </c>
      <c r="B297" s="54" t="n"/>
      <c r="C297" s="54">
        <f t="array" ref="C297">migration!C42</f>
        <v/>
      </c>
      <c r="D297" s="54">
        <f t="array" ref="D297">migration!D42</f>
        <v/>
      </c>
      <c r="E297" s="54">
        <f t="array" ref="E297">migration!E42</f>
        <v/>
      </c>
      <c r="F297" s="54">
        <f t="array" ref="F297">migration!F42</f>
        <v/>
      </c>
      <c r="G297" s="54">
        <f t="array" ref="G297">migration!G42</f>
        <v/>
      </c>
      <c r="H297" s="54">
        <f t="array" ref="H297">migration!H42</f>
        <v/>
      </c>
      <c r="I297" s="54">
        <f t="array" ref="I297">migration!I42</f>
        <v/>
      </c>
      <c r="J297" s="54">
        <f t="array" ref="J297">migration!J42</f>
        <v/>
      </c>
      <c r="K297" s="54">
        <f t="array" ref="K297">migration!K42</f>
        <v/>
      </c>
      <c r="L297" s="54" t="n"/>
    </row>
    <row r="298" ht="20.1" customHeight="1" s="206">
      <c r="A298" s="156">
        <f t="array" ref="A298">migration!$A43</f>
        <v/>
      </c>
      <c r="B298" s="54" t="n"/>
      <c r="C298" s="54">
        <f t="array" ref="C298">migration!C43</f>
        <v/>
      </c>
      <c r="D298" s="54">
        <f t="array" ref="D298">migration!D43</f>
        <v/>
      </c>
      <c r="E298" s="54">
        <f t="array" ref="E298">migration!E43</f>
        <v/>
      </c>
      <c r="F298" s="54">
        <f t="array" ref="F298">migration!F43</f>
        <v/>
      </c>
      <c r="G298" s="54">
        <f t="array" ref="G298">migration!G43</f>
        <v/>
      </c>
      <c r="H298" s="54">
        <f t="array" ref="H298">migration!H43</f>
        <v/>
      </c>
      <c r="I298" s="54">
        <f t="array" ref="I298">migration!I43</f>
        <v/>
      </c>
      <c r="J298" s="54">
        <f t="array" ref="J298">migration!J43</f>
        <v/>
      </c>
      <c r="K298" s="54">
        <f t="array" ref="K298">migration!K43</f>
        <v/>
      </c>
      <c r="L298" s="54" t="n"/>
    </row>
    <row r="299" ht="20.1" customHeight="1" s="206">
      <c r="A299" s="156">
        <f t="array" ref="A299">migration!$A44</f>
        <v/>
      </c>
      <c r="B299" s="54" t="n"/>
      <c r="C299" s="54">
        <f t="array" ref="C299">migration!C44</f>
        <v/>
      </c>
      <c r="D299" s="54">
        <f t="array" ref="D299">migration!D44</f>
        <v/>
      </c>
      <c r="E299" s="54">
        <f t="array" ref="E299">migration!E44</f>
        <v/>
      </c>
      <c r="F299" s="54">
        <f t="array" ref="F299">migration!F44</f>
        <v/>
      </c>
      <c r="G299" s="54">
        <f t="array" ref="G299">migration!G44</f>
        <v/>
      </c>
      <c r="H299" s="54">
        <f t="array" ref="H299">migration!H44</f>
        <v/>
      </c>
      <c r="I299" s="54">
        <f t="array" ref="I299">migration!I44</f>
        <v/>
      </c>
      <c r="J299" s="54">
        <f t="array" ref="J299">migration!J44</f>
        <v/>
      </c>
      <c r="K299" s="54">
        <f t="array" ref="K299">migration!K44</f>
        <v/>
      </c>
      <c r="L299" s="54" t="n"/>
    </row>
    <row r="300" ht="20.1" customHeight="1" s="206">
      <c r="A300" s="156">
        <f t="array" ref="A300">migration!$A45</f>
        <v/>
      </c>
      <c r="B300" s="54" t="n"/>
      <c r="C300" s="54">
        <f t="array" ref="C300">migration!C45</f>
        <v/>
      </c>
      <c r="D300" s="54">
        <f t="array" ref="D300">migration!D45</f>
        <v/>
      </c>
      <c r="E300" s="54">
        <f t="array" ref="E300">migration!E45</f>
        <v/>
      </c>
      <c r="F300" s="54">
        <f t="array" ref="F300">migration!F45</f>
        <v/>
      </c>
      <c r="G300" s="54">
        <f t="array" ref="G300">migration!G45</f>
        <v/>
      </c>
      <c r="H300" s="54">
        <f t="array" ref="H300">migration!H45</f>
        <v/>
      </c>
      <c r="I300" s="54">
        <f t="array" ref="I300">migration!I45</f>
        <v/>
      </c>
      <c r="J300" s="54">
        <f t="array" ref="J300">migration!J45</f>
        <v/>
      </c>
      <c r="K300" s="54">
        <f t="array" ref="K300">migration!K45</f>
        <v/>
      </c>
      <c r="L300" s="54" t="n"/>
    </row>
    <row r="301" ht="20.1" customHeight="1" s="206">
      <c r="A301" s="156">
        <f t="array" ref="A301">migration!$A46</f>
        <v/>
      </c>
      <c r="B301" s="54" t="n"/>
      <c r="C301" s="54">
        <f t="array" ref="C301">migration!C46</f>
        <v/>
      </c>
      <c r="D301" s="54">
        <f t="array" ref="D301">migration!D46</f>
        <v/>
      </c>
      <c r="E301" s="54">
        <f t="array" ref="E301">migration!E46</f>
        <v/>
      </c>
      <c r="F301" s="54">
        <f t="array" ref="F301">migration!F46</f>
        <v/>
      </c>
      <c r="G301" s="54">
        <f t="array" ref="G301">migration!G46</f>
        <v/>
      </c>
      <c r="H301" s="54">
        <f t="array" ref="H301">migration!H46</f>
        <v/>
      </c>
      <c r="I301" s="54">
        <f t="array" ref="I301">migration!I46</f>
        <v/>
      </c>
      <c r="J301" s="54">
        <f t="array" ref="J301">migration!J46</f>
        <v/>
      </c>
      <c r="K301" s="54">
        <f t="array" ref="K301">migration!K46</f>
        <v/>
      </c>
      <c r="L301" s="54" t="n"/>
    </row>
    <row r="302" ht="20.1" customHeight="1" s="206">
      <c r="A302" s="156">
        <f t="array" ref="A302">migration!$A47</f>
        <v/>
      </c>
      <c r="B302" s="54" t="n"/>
      <c r="C302" s="54">
        <f t="array" ref="C302">migration!C47</f>
        <v/>
      </c>
      <c r="D302" s="54">
        <f t="array" ref="D302">migration!D47</f>
        <v/>
      </c>
      <c r="E302" s="54">
        <f t="array" ref="E302">migration!E47</f>
        <v/>
      </c>
      <c r="F302" s="54">
        <f t="array" ref="F302">migration!F47</f>
        <v/>
      </c>
      <c r="G302" s="54">
        <f t="array" ref="G302">migration!G47</f>
        <v/>
      </c>
      <c r="H302" s="54">
        <f t="array" ref="H302">migration!H47</f>
        <v/>
      </c>
      <c r="I302" s="54">
        <f t="array" ref="I302">migration!I47</f>
        <v/>
      </c>
      <c r="J302" s="54">
        <f t="array" ref="J302">migration!J47</f>
        <v/>
      </c>
      <c r="K302" s="54">
        <f t="array" ref="K302">migration!K47</f>
        <v/>
      </c>
      <c r="L302" s="54" t="n"/>
    </row>
    <row r="303" ht="20.1" customHeight="1" s="206">
      <c r="A303" s="156">
        <f t="array" ref="A303">migration!$A48</f>
        <v/>
      </c>
      <c r="B303" s="54" t="n"/>
      <c r="C303" s="54">
        <f t="array" ref="C303">migration!C48</f>
        <v/>
      </c>
      <c r="D303" s="54">
        <f t="array" ref="D303">migration!D48</f>
        <v/>
      </c>
      <c r="E303" s="54">
        <f t="array" ref="E303">migration!E48</f>
        <v/>
      </c>
      <c r="F303" s="54">
        <f t="array" ref="F303">migration!F48</f>
        <v/>
      </c>
      <c r="G303" s="54">
        <f t="array" ref="G303">migration!G48</f>
        <v/>
      </c>
      <c r="H303" s="54">
        <f t="array" ref="H303">migration!H48</f>
        <v/>
      </c>
      <c r="I303" s="54">
        <f t="array" ref="I303">migration!I48</f>
        <v/>
      </c>
      <c r="J303" s="54">
        <f t="array" ref="J303">migration!J48</f>
        <v/>
      </c>
      <c r="K303" s="54">
        <f t="array" ref="K303">migration!K48</f>
        <v/>
      </c>
      <c r="L303" s="54" t="n"/>
    </row>
    <row r="304" ht="20.1" customHeight="1" s="206">
      <c r="A304" s="156">
        <f t="array" ref="A304">migration!$A49</f>
        <v/>
      </c>
      <c r="B304" s="54" t="n"/>
      <c r="C304" s="54">
        <f t="array" ref="C304">migration!C49</f>
        <v/>
      </c>
      <c r="D304" s="54">
        <f t="array" ref="D304">migration!D49</f>
        <v/>
      </c>
      <c r="E304" s="54">
        <f t="array" ref="E304">migration!E49</f>
        <v/>
      </c>
      <c r="F304" s="54">
        <f t="array" ref="F304">migration!F49</f>
        <v/>
      </c>
      <c r="G304" s="54">
        <f t="array" ref="G304">migration!G49</f>
        <v/>
      </c>
      <c r="H304" s="54">
        <f t="array" ref="H304">migration!H49</f>
        <v/>
      </c>
      <c r="I304" s="54">
        <f t="array" ref="I304">migration!I49</f>
        <v/>
      </c>
      <c r="J304" s="54">
        <f t="array" ref="J304">migration!J49</f>
        <v/>
      </c>
      <c r="K304" s="54">
        <f t="array" ref="K304">migration!K49</f>
        <v/>
      </c>
      <c r="L304" s="54" t="n"/>
    </row>
    <row r="305" ht="20.1" customHeight="1" s="206">
      <c r="A305" s="156">
        <f t="array" ref="A305">migration!$A50</f>
        <v/>
      </c>
      <c r="B305" s="54" t="n"/>
      <c r="C305" s="54">
        <f t="array" ref="C305">migration!C50</f>
        <v/>
      </c>
      <c r="D305" s="54">
        <f t="array" ref="D305">migration!D50</f>
        <v/>
      </c>
      <c r="E305" s="54">
        <f t="array" ref="E305">migration!E50</f>
        <v/>
      </c>
      <c r="F305" s="54">
        <f t="array" ref="F305">migration!F50</f>
        <v/>
      </c>
      <c r="G305" s="54">
        <f t="array" ref="G305">migration!G50</f>
        <v/>
      </c>
      <c r="H305" s="54">
        <f t="array" ref="H305">migration!H50</f>
        <v/>
      </c>
      <c r="I305" s="54">
        <f t="array" ref="I305">migration!I50</f>
        <v/>
      </c>
      <c r="J305" s="54">
        <f t="array" ref="J305">migration!J50</f>
        <v/>
      </c>
      <c r="K305" s="54">
        <f t="array" ref="K305">migration!K50</f>
        <v/>
      </c>
      <c r="L305" s="54" t="n"/>
    </row>
    <row r="306" ht="20.1" customHeight="1" s="206">
      <c r="A306" s="156">
        <f t="array" ref="A306">migration!$A51</f>
        <v/>
      </c>
      <c r="B306" s="54" t="n"/>
      <c r="C306" s="54">
        <f t="array" ref="C306">migration!C51</f>
        <v/>
      </c>
      <c r="D306" s="54">
        <f t="array" ref="D306">migration!D51</f>
        <v/>
      </c>
      <c r="E306" s="54">
        <f t="array" ref="E306">migration!E51</f>
        <v/>
      </c>
      <c r="F306" s="54">
        <f t="array" ref="F306">migration!F51</f>
        <v/>
      </c>
      <c r="G306" s="54">
        <f t="array" ref="G306">migration!G51</f>
        <v/>
      </c>
      <c r="H306" s="54">
        <f t="array" ref="H306">migration!H51</f>
        <v/>
      </c>
      <c r="I306" s="54">
        <f t="array" ref="I306">migration!I51</f>
        <v/>
      </c>
      <c r="J306" s="54">
        <f t="array" ref="J306">migration!J51</f>
        <v/>
      </c>
      <c r="K306" s="54">
        <f t="array" ref="K306">migration!K51</f>
        <v/>
      </c>
      <c r="L306" s="54" t="n"/>
    </row>
    <row r="307" ht="20.1" customHeight="1" s="206">
      <c r="A307" s="156">
        <f t="array" ref="A307">migration!$A52</f>
        <v/>
      </c>
      <c r="B307" s="54" t="n"/>
      <c r="C307" s="54">
        <f t="array" ref="C307">migration!C52</f>
        <v/>
      </c>
      <c r="D307" s="54">
        <f t="array" ref="D307">migration!D52</f>
        <v/>
      </c>
      <c r="E307" s="54">
        <f t="array" ref="E307">migration!E52</f>
        <v/>
      </c>
      <c r="F307" s="54">
        <f t="array" ref="F307">migration!F52</f>
        <v/>
      </c>
      <c r="G307" s="54">
        <f t="array" ref="G307">migration!G52</f>
        <v/>
      </c>
      <c r="H307" s="54">
        <f t="array" ref="H307">migration!H52</f>
        <v/>
      </c>
      <c r="I307" s="54">
        <f t="array" ref="I307">migration!I52</f>
        <v/>
      </c>
      <c r="J307" s="54">
        <f t="array" ref="J307">migration!J52</f>
        <v/>
      </c>
      <c r="K307" s="54">
        <f t="array" ref="K307">migration!K52</f>
        <v/>
      </c>
      <c r="L307" s="54" t="n"/>
    </row>
    <row r="308" ht="20.1" customHeight="1" s="206">
      <c r="A308" s="156">
        <f t="array" ref="A308">migration!$A53</f>
        <v/>
      </c>
      <c r="B308" s="54" t="n"/>
      <c r="C308" s="54">
        <f t="array" ref="C308">migration!C53</f>
        <v/>
      </c>
      <c r="D308" s="54">
        <f t="array" ref="D308">migration!D53</f>
        <v/>
      </c>
      <c r="E308" s="54">
        <f t="array" ref="E308">migration!E53</f>
        <v/>
      </c>
      <c r="F308" s="54">
        <f t="array" ref="F308">migration!F53</f>
        <v/>
      </c>
      <c r="G308" s="54">
        <f t="array" ref="G308">migration!G53</f>
        <v/>
      </c>
      <c r="H308" s="54">
        <f t="array" ref="H308">migration!H53</f>
        <v/>
      </c>
      <c r="I308" s="54">
        <f t="array" ref="I308">migration!I53</f>
        <v/>
      </c>
      <c r="J308" s="54">
        <f t="array" ref="J308">migration!J53</f>
        <v/>
      </c>
      <c r="K308" s="54">
        <f t="array" ref="K308">migration!K53</f>
        <v/>
      </c>
      <c r="L308" s="54" t="n"/>
    </row>
    <row r="309" ht="20.1" customHeight="1" s="206">
      <c r="A309" s="156">
        <f t="array" ref="A309">migration!$A54</f>
        <v/>
      </c>
      <c r="B309" s="54" t="n"/>
      <c r="C309" s="54">
        <f t="array" ref="C309">migration!C54</f>
        <v/>
      </c>
      <c r="D309" s="54">
        <f t="array" ref="D309">migration!D54</f>
        <v/>
      </c>
      <c r="E309" s="54">
        <f t="array" ref="E309">migration!E54</f>
        <v/>
      </c>
      <c r="F309" s="54">
        <f t="array" ref="F309">migration!F54</f>
        <v/>
      </c>
      <c r="G309" s="54">
        <f t="array" ref="G309">migration!G54</f>
        <v/>
      </c>
      <c r="H309" s="54">
        <f t="array" ref="H309">migration!H54</f>
        <v/>
      </c>
      <c r="I309" s="54">
        <f t="array" ref="I309">migration!I54</f>
        <v/>
      </c>
      <c r="J309" s="54">
        <f t="array" ref="J309">migration!J54</f>
        <v/>
      </c>
      <c r="K309" s="54">
        <f t="array" ref="K309">migration!K54</f>
        <v/>
      </c>
      <c r="L309" s="54" t="n"/>
    </row>
    <row r="310" ht="20.1" customHeight="1" s="206">
      <c r="A310" s="156">
        <f t="array" ref="A310">migration!$A55</f>
        <v/>
      </c>
      <c r="B310" s="54" t="n"/>
      <c r="C310" s="54">
        <f t="array" ref="C310">migration!C55</f>
        <v/>
      </c>
      <c r="D310" s="54">
        <f t="array" ref="D310">migration!D55</f>
        <v/>
      </c>
      <c r="E310" s="54">
        <f t="array" ref="E310">migration!E55</f>
        <v/>
      </c>
      <c r="F310" s="54">
        <f t="array" ref="F310">migration!F55</f>
        <v/>
      </c>
      <c r="G310" s="54">
        <f t="array" ref="G310">migration!G55</f>
        <v/>
      </c>
      <c r="H310" s="54">
        <f t="array" ref="H310">migration!H55</f>
        <v/>
      </c>
      <c r="I310" s="54">
        <f t="array" ref="I310">migration!I55</f>
        <v/>
      </c>
      <c r="J310" s="54">
        <f t="array" ref="J310">migration!J55</f>
        <v/>
      </c>
      <c r="K310" s="54">
        <f t="array" ref="K310">migration!K55</f>
        <v/>
      </c>
      <c r="L310" s="54" t="n"/>
    </row>
    <row r="311" ht="20.1" customHeight="1" s="206">
      <c r="A311" s="156">
        <f t="array" ref="A311">migration!$A56</f>
        <v/>
      </c>
      <c r="B311" s="54" t="n"/>
      <c r="C311" s="54">
        <f t="array" ref="C311">migration!C56</f>
        <v/>
      </c>
      <c r="D311" s="54">
        <f t="array" ref="D311">migration!D56</f>
        <v/>
      </c>
      <c r="E311" s="54">
        <f t="array" ref="E311">migration!E56</f>
        <v/>
      </c>
      <c r="F311" s="54">
        <f t="array" ref="F311">migration!F56</f>
        <v/>
      </c>
      <c r="G311" s="54">
        <f t="array" ref="G311">migration!G56</f>
        <v/>
      </c>
      <c r="H311" s="54">
        <f t="array" ref="H311">migration!H56</f>
        <v/>
      </c>
      <c r="I311" s="54">
        <f t="array" ref="I311">migration!I56</f>
        <v/>
      </c>
      <c r="J311" s="54">
        <f t="array" ref="J311">migration!J56</f>
        <v/>
      </c>
      <c r="K311" s="54">
        <f t="array" ref="K311">migration!K56</f>
        <v/>
      </c>
      <c r="L311" s="54" t="n"/>
    </row>
    <row r="312" ht="20.1" customHeight="1" s="206">
      <c r="A312" s="156">
        <f t="array" ref="A312">migration!$A57</f>
        <v/>
      </c>
      <c r="B312" s="54" t="n"/>
      <c r="C312" s="54">
        <f t="array" ref="C312">migration!C57</f>
        <v/>
      </c>
      <c r="D312" s="54">
        <f t="array" ref="D312">migration!D57</f>
        <v/>
      </c>
      <c r="E312" s="54">
        <f t="array" ref="E312">migration!E57</f>
        <v/>
      </c>
      <c r="F312" s="54">
        <f t="array" ref="F312">migration!F57</f>
        <v/>
      </c>
      <c r="G312" s="54">
        <f t="array" ref="G312">migration!G57</f>
        <v/>
      </c>
      <c r="H312" s="54">
        <f t="array" ref="H312">migration!H57</f>
        <v/>
      </c>
      <c r="I312" s="54">
        <f t="array" ref="I312">migration!I57</f>
        <v/>
      </c>
      <c r="J312" s="54">
        <f t="array" ref="J312">migration!J57</f>
        <v/>
      </c>
      <c r="K312" s="54">
        <f t="array" ref="K312">migration!K57</f>
        <v/>
      </c>
      <c r="L312" s="54" t="n"/>
    </row>
    <row r="313" ht="20.1" customHeight="1" s="206">
      <c r="A313" s="156">
        <f t="array" ref="A313">migration!$A58</f>
        <v/>
      </c>
      <c r="B313" s="54" t="n"/>
      <c r="C313" s="54">
        <f t="array" ref="C313">migration!C58</f>
        <v/>
      </c>
      <c r="D313" s="54">
        <f t="array" ref="D313">migration!D58</f>
        <v/>
      </c>
      <c r="E313" s="54">
        <f t="array" ref="E313">migration!E58</f>
        <v/>
      </c>
      <c r="F313" s="54">
        <f t="array" ref="F313">migration!F58</f>
        <v/>
      </c>
      <c r="G313" s="54">
        <f t="array" ref="G313">migration!G58</f>
        <v/>
      </c>
      <c r="H313" s="54">
        <f t="array" ref="H313">migration!H58</f>
        <v/>
      </c>
      <c r="I313" s="54">
        <f t="array" ref="I313">migration!I58</f>
        <v/>
      </c>
      <c r="J313" s="54">
        <f t="array" ref="J313">migration!J58</f>
        <v/>
      </c>
      <c r="K313" s="54">
        <f t="array" ref="K313">migration!K58</f>
        <v/>
      </c>
      <c r="L313" s="54" t="n"/>
    </row>
    <row r="314" ht="20.1" customHeight="1" s="206">
      <c r="A314" s="156">
        <f t="array" ref="A314">migration!$A59</f>
        <v/>
      </c>
      <c r="B314" s="54" t="n"/>
      <c r="C314" s="54">
        <f t="array" ref="C314">migration!C59</f>
        <v/>
      </c>
      <c r="D314" s="54">
        <f t="array" ref="D314">migration!D59</f>
        <v/>
      </c>
      <c r="E314" s="54">
        <f t="array" ref="E314">migration!E59</f>
        <v/>
      </c>
      <c r="F314" s="54">
        <f t="array" ref="F314">migration!F59</f>
        <v/>
      </c>
      <c r="G314" s="54">
        <f t="array" ref="G314">migration!G59</f>
        <v/>
      </c>
      <c r="H314" s="54">
        <f t="array" ref="H314">migration!H59</f>
        <v/>
      </c>
      <c r="I314" s="54">
        <f t="array" ref="I314">migration!I59</f>
        <v/>
      </c>
      <c r="J314" s="54">
        <f t="array" ref="J314">migration!J59</f>
        <v/>
      </c>
      <c r="K314" s="54">
        <f t="array" ref="K314">migration!K59</f>
        <v/>
      </c>
      <c r="L314" s="54" t="n"/>
    </row>
    <row r="315" ht="20.1" customHeight="1" s="206">
      <c r="A315" s="156">
        <f t="array" ref="A315">migration!$A60</f>
        <v/>
      </c>
      <c r="B315" s="54" t="n"/>
      <c r="C315" s="54">
        <f t="array" ref="C315">migration!C60</f>
        <v/>
      </c>
      <c r="D315" s="54">
        <f t="array" ref="D315">migration!D60</f>
        <v/>
      </c>
      <c r="E315" s="54">
        <f t="array" ref="E315">migration!E60</f>
        <v/>
      </c>
      <c r="F315" s="54">
        <f t="array" ref="F315">migration!F60</f>
        <v/>
      </c>
      <c r="G315" s="54">
        <f t="array" ref="G315">migration!G60</f>
        <v/>
      </c>
      <c r="H315" s="54">
        <f t="array" ref="H315">migration!H60</f>
        <v/>
      </c>
      <c r="I315" s="54">
        <f t="array" ref="I315">migration!I60</f>
        <v/>
      </c>
      <c r="J315" s="54">
        <f t="array" ref="J315">migration!J60</f>
        <v/>
      </c>
      <c r="K315" s="54">
        <f t="array" ref="K315">migration!K60</f>
        <v/>
      </c>
      <c r="L315" s="54" t="n"/>
    </row>
    <row r="316" ht="20.1" customHeight="1" s="206">
      <c r="A316" s="156">
        <f t="array" ref="A316">migration!$A61</f>
        <v/>
      </c>
      <c r="B316" s="54" t="n"/>
      <c r="C316" s="54">
        <f t="array" ref="C316">migration!C61</f>
        <v/>
      </c>
      <c r="D316" s="54">
        <f t="array" ref="D316">migration!D61</f>
        <v/>
      </c>
      <c r="E316" s="54">
        <f t="array" ref="E316">migration!E61</f>
        <v/>
      </c>
      <c r="F316" s="54">
        <f t="array" ref="F316">migration!F61</f>
        <v/>
      </c>
      <c r="G316" s="54">
        <f t="array" ref="G316">migration!G61</f>
        <v/>
      </c>
      <c r="H316" s="54">
        <f t="array" ref="H316">migration!H61</f>
        <v/>
      </c>
      <c r="I316" s="54">
        <f t="array" ref="I316">migration!I61</f>
        <v/>
      </c>
      <c r="J316" s="54">
        <f t="array" ref="J316">migration!J61</f>
        <v/>
      </c>
      <c r="K316" s="54">
        <f t="array" ref="K316">migration!K61</f>
        <v/>
      </c>
      <c r="L316" s="54" t="n"/>
    </row>
    <row r="317" ht="20.1" customHeight="1" s="206">
      <c r="A317" s="156">
        <f t="array" ref="A317">migration!$A62</f>
        <v/>
      </c>
      <c r="B317" s="54" t="n"/>
      <c r="C317" s="54">
        <f t="array" ref="C317">migration!C62</f>
        <v/>
      </c>
      <c r="D317" s="54">
        <f t="array" ref="D317">migration!D62</f>
        <v/>
      </c>
      <c r="E317" s="54">
        <f t="array" ref="E317">migration!E62</f>
        <v/>
      </c>
      <c r="F317" s="54">
        <f t="array" ref="F317">migration!F62</f>
        <v/>
      </c>
      <c r="G317" s="54">
        <f t="array" ref="G317">migration!G62</f>
        <v/>
      </c>
      <c r="H317" s="54">
        <f t="array" ref="H317">migration!H62</f>
        <v/>
      </c>
      <c r="I317" s="54">
        <f t="array" ref="I317">migration!I62</f>
        <v/>
      </c>
      <c r="J317" s="54">
        <f t="array" ref="J317">migration!J62</f>
        <v/>
      </c>
      <c r="K317" s="54">
        <f t="array" ref="K317">migration!K62</f>
        <v/>
      </c>
      <c r="L317" s="54" t="n"/>
    </row>
    <row r="318" ht="20.1" customHeight="1" s="206">
      <c r="A318" s="156">
        <f t="array" ref="A318">migration!$A63</f>
        <v/>
      </c>
      <c r="B318" s="54" t="n"/>
      <c r="C318" s="54">
        <f t="array" ref="C318">migration!C63</f>
        <v/>
      </c>
      <c r="D318" s="54">
        <f t="array" ref="D318">migration!D63</f>
        <v/>
      </c>
      <c r="E318" s="54">
        <f t="array" ref="E318">migration!E63</f>
        <v/>
      </c>
      <c r="F318" s="54">
        <f t="array" ref="F318">migration!F63</f>
        <v/>
      </c>
      <c r="G318" s="54">
        <f t="array" ref="G318">migration!G63</f>
        <v/>
      </c>
      <c r="H318" s="54">
        <f t="array" ref="H318">migration!H63</f>
        <v/>
      </c>
      <c r="I318" s="54">
        <f t="array" ref="I318">migration!I63</f>
        <v/>
      </c>
      <c r="J318" s="54">
        <f t="array" ref="J318">migration!J63</f>
        <v/>
      </c>
      <c r="K318" s="54">
        <f t="array" ref="K318">migration!K63</f>
        <v/>
      </c>
      <c r="L318" s="54" t="n"/>
    </row>
    <row r="319" ht="20.1" customHeight="1" s="206">
      <c r="A319" s="156">
        <f t="array" ref="A319">migration!$A64</f>
        <v/>
      </c>
      <c r="B319" s="54" t="n"/>
      <c r="C319" s="54">
        <f t="array" ref="C319">migration!C64</f>
        <v/>
      </c>
      <c r="D319" s="54">
        <f t="array" ref="D319">migration!D64</f>
        <v/>
      </c>
      <c r="E319" s="54">
        <f t="array" ref="E319">migration!E64</f>
        <v/>
      </c>
      <c r="F319" s="54">
        <f t="array" ref="F319">migration!F64</f>
        <v/>
      </c>
      <c r="G319" s="54">
        <f t="array" ref="G319">migration!G64</f>
        <v/>
      </c>
      <c r="H319" s="54">
        <f t="array" ref="H319">migration!H64</f>
        <v/>
      </c>
      <c r="I319" s="54">
        <f t="array" ref="I319">migration!I64</f>
        <v/>
      </c>
      <c r="J319" s="54">
        <f t="array" ref="J319">migration!J64</f>
        <v/>
      </c>
      <c r="K319" s="54">
        <f t="array" ref="K319">migration!K64</f>
        <v/>
      </c>
      <c r="L319" s="54" t="n"/>
    </row>
    <row r="320" ht="20.1" customHeight="1" s="206">
      <c r="A320" s="156">
        <f t="array" ref="A320">migration!$A65</f>
        <v/>
      </c>
      <c r="B320" s="54" t="n"/>
      <c r="C320" s="54">
        <f t="array" ref="C320">migration!C65</f>
        <v/>
      </c>
      <c r="D320" s="54">
        <f t="array" ref="D320">migration!D65</f>
        <v/>
      </c>
      <c r="E320" s="54">
        <f t="array" ref="E320">migration!E65</f>
        <v/>
      </c>
      <c r="F320" s="54">
        <f t="array" ref="F320">migration!F65</f>
        <v/>
      </c>
      <c r="G320" s="54">
        <f t="array" ref="G320">migration!G65</f>
        <v/>
      </c>
      <c r="H320" s="54">
        <f t="array" ref="H320">migration!H65</f>
        <v/>
      </c>
      <c r="I320" s="54">
        <f t="array" ref="I320">migration!I65</f>
        <v/>
      </c>
      <c r="J320" s="54">
        <f t="array" ref="J320">migration!J65</f>
        <v/>
      </c>
      <c r="K320" s="54">
        <f t="array" ref="K320">migration!K65</f>
        <v/>
      </c>
      <c r="L320" s="54" t="n"/>
    </row>
    <row r="321" ht="20.1" customHeight="1" s="206">
      <c r="A321" s="156">
        <f t="array" ref="A321">migration!$A66</f>
        <v/>
      </c>
      <c r="B321" s="54" t="n"/>
      <c r="C321" s="54">
        <f t="array" ref="C321">migration!C66</f>
        <v/>
      </c>
      <c r="D321" s="54">
        <f t="array" ref="D321">migration!D66</f>
        <v/>
      </c>
      <c r="E321" s="54">
        <f t="array" ref="E321">migration!E66</f>
        <v/>
      </c>
      <c r="F321" s="54">
        <f t="array" ref="F321">migration!F66</f>
        <v/>
      </c>
      <c r="G321" s="54">
        <f t="array" ref="G321">migration!G66</f>
        <v/>
      </c>
      <c r="H321" s="54">
        <f t="array" ref="H321">migration!H66</f>
        <v/>
      </c>
      <c r="I321" s="54">
        <f t="array" ref="I321">migration!I66</f>
        <v/>
      </c>
      <c r="J321" s="54">
        <f t="array" ref="J321">migration!J66</f>
        <v/>
      </c>
      <c r="K321" s="54">
        <f t="array" ref="K321">migration!K66</f>
        <v/>
      </c>
      <c r="L321" s="54" t="n"/>
    </row>
    <row r="322" ht="20.1" customHeight="1" s="206">
      <c r="A322" s="156">
        <f t="array" ref="A322">migration!$A67</f>
        <v/>
      </c>
      <c r="B322" s="54" t="n"/>
      <c r="C322" s="54">
        <f t="array" ref="C322">migration!C67</f>
        <v/>
      </c>
      <c r="D322" s="54">
        <f t="array" ref="D322">migration!D67</f>
        <v/>
      </c>
      <c r="E322" s="54">
        <f t="array" ref="E322">migration!E67</f>
        <v/>
      </c>
      <c r="F322" s="54">
        <f t="array" ref="F322">migration!F67</f>
        <v/>
      </c>
      <c r="G322" s="54">
        <f t="array" ref="G322">migration!G67</f>
        <v/>
      </c>
      <c r="H322" s="54">
        <f t="array" ref="H322">migration!H67</f>
        <v/>
      </c>
      <c r="I322" s="54">
        <f t="array" ref="I322">migration!I67</f>
        <v/>
      </c>
      <c r="J322" s="54">
        <f t="array" ref="J322">migration!J67</f>
        <v/>
      </c>
      <c r="K322" s="54">
        <f t="array" ref="K322">migration!K67</f>
        <v/>
      </c>
      <c r="L322" s="54" t="n"/>
    </row>
    <row r="323" ht="20.1" customHeight="1" s="206">
      <c r="A323" s="156">
        <f t="array" ref="A323">migration!$A68</f>
        <v/>
      </c>
      <c r="B323" s="54" t="n"/>
      <c r="C323" s="54">
        <f t="array" ref="C323">migration!C68</f>
        <v/>
      </c>
      <c r="D323" s="54">
        <f t="array" ref="D323">migration!D68</f>
        <v/>
      </c>
      <c r="E323" s="54">
        <f t="array" ref="E323">migration!E68</f>
        <v/>
      </c>
      <c r="F323" s="54">
        <f t="array" ref="F323">migration!F68</f>
        <v/>
      </c>
      <c r="G323" s="54">
        <f t="array" ref="G323">migration!G68</f>
        <v/>
      </c>
      <c r="H323" s="54">
        <f t="array" ref="H323">migration!H68</f>
        <v/>
      </c>
      <c r="I323" s="54">
        <f t="array" ref="I323">migration!I68</f>
        <v/>
      </c>
      <c r="J323" s="54">
        <f t="array" ref="J323">migration!J68</f>
        <v/>
      </c>
      <c r="K323" s="54">
        <f t="array" ref="K323">migration!K68</f>
        <v/>
      </c>
      <c r="L323" s="54" t="n"/>
    </row>
    <row r="324" ht="20.1" customHeight="1" s="206">
      <c r="A324" s="156">
        <f t="array" ref="A324">migration!$A69</f>
        <v/>
      </c>
      <c r="B324" s="54" t="n"/>
      <c r="C324" s="54">
        <f t="array" ref="C324">migration!C69</f>
        <v/>
      </c>
      <c r="D324" s="54">
        <f t="array" ref="D324">migration!D69</f>
        <v/>
      </c>
      <c r="E324" s="54">
        <f t="array" ref="E324">migration!E69</f>
        <v/>
      </c>
      <c r="F324" s="54">
        <f t="array" ref="F324">migration!F69</f>
        <v/>
      </c>
      <c r="G324" s="54">
        <f t="array" ref="G324">migration!G69</f>
        <v/>
      </c>
      <c r="H324" s="54">
        <f t="array" ref="H324">migration!H69</f>
        <v/>
      </c>
      <c r="I324" s="54">
        <f t="array" ref="I324">migration!I69</f>
        <v/>
      </c>
      <c r="J324" s="54">
        <f t="array" ref="J324">migration!J69</f>
        <v/>
      </c>
      <c r="K324" s="54">
        <f t="array" ref="K324">migration!K69</f>
        <v/>
      </c>
      <c r="L324" s="54" t="n"/>
    </row>
    <row r="325" ht="20.1" customHeight="1" s="206">
      <c r="A325" s="156">
        <f t="array" ref="A325">migration!$A70</f>
        <v/>
      </c>
      <c r="B325" s="54" t="n"/>
      <c r="C325" s="54">
        <f t="array" ref="C325">migration!C70</f>
        <v/>
      </c>
      <c r="D325" s="54">
        <f t="array" ref="D325">migration!D70</f>
        <v/>
      </c>
      <c r="E325" s="54">
        <f t="array" ref="E325">migration!E70</f>
        <v/>
      </c>
      <c r="F325" s="54">
        <f t="array" ref="F325">migration!F70</f>
        <v/>
      </c>
      <c r="G325" s="54">
        <f t="array" ref="G325">migration!G70</f>
        <v/>
      </c>
      <c r="H325" s="54">
        <f t="array" ref="H325">migration!H70</f>
        <v/>
      </c>
      <c r="I325" s="54">
        <f t="array" ref="I325">migration!I70</f>
        <v/>
      </c>
      <c r="J325" s="54">
        <f t="array" ref="J325">migration!J70</f>
        <v/>
      </c>
      <c r="K325" s="54">
        <f t="array" ref="K325">migration!K70</f>
        <v/>
      </c>
      <c r="L325" s="54" t="n"/>
    </row>
    <row r="326" ht="20.1" customHeight="1" s="206">
      <c r="A326" s="156">
        <f t="array" ref="A326">migration!$A71</f>
        <v/>
      </c>
      <c r="B326" s="54" t="n"/>
      <c r="C326" s="54">
        <f t="array" ref="C326">migration!C71</f>
        <v/>
      </c>
      <c r="D326" s="54">
        <f t="array" ref="D326">migration!D71</f>
        <v/>
      </c>
      <c r="E326" s="54">
        <f t="array" ref="E326">migration!E71</f>
        <v/>
      </c>
      <c r="F326" s="54">
        <f t="array" ref="F326">migration!F71</f>
        <v/>
      </c>
      <c r="G326" s="54">
        <f t="array" ref="G326">migration!G71</f>
        <v/>
      </c>
      <c r="H326" s="54">
        <f t="array" ref="H326">migration!H71</f>
        <v/>
      </c>
      <c r="I326" s="54">
        <f t="array" ref="I326">migration!I71</f>
        <v/>
      </c>
      <c r="J326" s="54">
        <f t="array" ref="J326">migration!J71</f>
        <v/>
      </c>
      <c r="K326" s="54">
        <f t="array" ref="K326">migration!K71</f>
        <v/>
      </c>
      <c r="L326" s="54" t="n"/>
    </row>
    <row r="327" ht="20.1" customHeight="1" s="206">
      <c r="A327" s="156">
        <f t="array" ref="A327">migration!$A72</f>
        <v/>
      </c>
      <c r="B327" s="54" t="n"/>
      <c r="C327" s="54">
        <f t="array" ref="C327">migration!C72</f>
        <v/>
      </c>
      <c r="D327" s="54">
        <f t="array" ref="D327">migration!D72</f>
        <v/>
      </c>
      <c r="E327" s="54">
        <f t="array" ref="E327">migration!E72</f>
        <v/>
      </c>
      <c r="F327" s="54">
        <f t="array" ref="F327">migration!F72</f>
        <v/>
      </c>
      <c r="G327" s="54">
        <f t="array" ref="G327">migration!G72</f>
        <v/>
      </c>
      <c r="H327" s="54">
        <f t="array" ref="H327">migration!H72</f>
        <v/>
      </c>
      <c r="I327" s="54">
        <f t="array" ref="I327">migration!I72</f>
        <v/>
      </c>
      <c r="J327" s="54">
        <f t="array" ref="J327">migration!J72</f>
        <v/>
      </c>
      <c r="K327" s="54">
        <f t="array" ref="K327">migration!K72</f>
        <v/>
      </c>
      <c r="L327" s="54" t="n"/>
    </row>
    <row r="328" ht="20.1" customHeight="1" s="206">
      <c r="A328" s="156">
        <f t="array" ref="A328">migration!$A73</f>
        <v/>
      </c>
      <c r="B328" s="54" t="n"/>
      <c r="C328" s="54">
        <f t="array" ref="C328">migration!C73</f>
        <v/>
      </c>
      <c r="D328" s="54">
        <f t="array" ref="D328">migration!D73</f>
        <v/>
      </c>
      <c r="E328" s="54">
        <f t="array" ref="E328">migration!E73</f>
        <v/>
      </c>
      <c r="F328" s="54">
        <f t="array" ref="F328">migration!F73</f>
        <v/>
      </c>
      <c r="G328" s="54">
        <f t="array" ref="G328">migration!G73</f>
        <v/>
      </c>
      <c r="H328" s="54">
        <f t="array" ref="H328">migration!H73</f>
        <v/>
      </c>
      <c r="I328" s="54">
        <f t="array" ref="I328">migration!I73</f>
        <v/>
      </c>
      <c r="J328" s="54">
        <f t="array" ref="J328">migration!J73</f>
        <v/>
      </c>
      <c r="K328" s="54">
        <f t="array" ref="K328">migration!K73</f>
        <v/>
      </c>
      <c r="L328" s="54" t="n"/>
    </row>
    <row r="329" ht="20.1" customHeight="1" s="206">
      <c r="A329" s="156">
        <f t="array" ref="A329">migration!$A74</f>
        <v/>
      </c>
      <c r="B329" s="54" t="n"/>
      <c r="C329" s="54">
        <f t="array" ref="C329">migration!C74</f>
        <v/>
      </c>
      <c r="D329" s="54">
        <f t="array" ref="D329">migration!D74</f>
        <v/>
      </c>
      <c r="E329" s="54">
        <f t="array" ref="E329">migration!E74</f>
        <v/>
      </c>
      <c r="F329" s="54">
        <f t="array" ref="F329">migration!F74</f>
        <v/>
      </c>
      <c r="G329" s="54">
        <f t="array" ref="G329">migration!G74</f>
        <v/>
      </c>
      <c r="H329" s="54">
        <f t="array" ref="H329">migration!H74</f>
        <v/>
      </c>
      <c r="I329" s="54">
        <f t="array" ref="I329">migration!I74</f>
        <v/>
      </c>
      <c r="J329" s="54">
        <f t="array" ref="J329">migration!J74</f>
        <v/>
      </c>
      <c r="K329" s="54">
        <f t="array" ref="K329">migration!K74</f>
        <v/>
      </c>
      <c r="L329" s="54" t="n"/>
    </row>
    <row r="330" ht="20.1" customHeight="1" s="206">
      <c r="A330" s="156">
        <f t="array" ref="A330">migration!$A75</f>
        <v/>
      </c>
      <c r="B330" s="54" t="n"/>
      <c r="C330" s="54">
        <f t="array" ref="C330">migration!C75</f>
        <v/>
      </c>
      <c r="D330" s="54">
        <f t="array" ref="D330">migration!D75</f>
        <v/>
      </c>
      <c r="E330" s="54">
        <f t="array" ref="E330">migration!E75</f>
        <v/>
      </c>
      <c r="F330" s="54">
        <f t="array" ref="F330">migration!F75</f>
        <v/>
      </c>
      <c r="G330" s="54">
        <f t="array" ref="G330">migration!G75</f>
        <v/>
      </c>
      <c r="H330" s="54">
        <f t="array" ref="H330">migration!H75</f>
        <v/>
      </c>
      <c r="I330" s="54">
        <f t="array" ref="I330">migration!I75</f>
        <v/>
      </c>
      <c r="J330" s="54">
        <f t="array" ref="J330">migration!J75</f>
        <v/>
      </c>
      <c r="K330" s="54">
        <f t="array" ref="K330">migration!K75</f>
        <v/>
      </c>
      <c r="L330" s="54" t="n"/>
    </row>
    <row r="331" ht="20.1" customHeight="1" s="206">
      <c r="A331" s="156">
        <f t="array" ref="A331">migration!$A76</f>
        <v/>
      </c>
      <c r="B331" s="54" t="n"/>
      <c r="C331" s="54">
        <f t="array" ref="C331">migration!C76</f>
        <v/>
      </c>
      <c r="D331" s="54">
        <f t="array" ref="D331">migration!D76</f>
        <v/>
      </c>
      <c r="E331" s="54">
        <f t="array" ref="E331">migration!E76</f>
        <v/>
      </c>
      <c r="F331" s="54">
        <f t="array" ref="F331">migration!F76</f>
        <v/>
      </c>
      <c r="G331" s="54">
        <f t="array" ref="G331">migration!G76</f>
        <v/>
      </c>
      <c r="H331" s="54">
        <f t="array" ref="H331">migration!H76</f>
        <v/>
      </c>
      <c r="I331" s="54">
        <f t="array" ref="I331">migration!I76</f>
        <v/>
      </c>
      <c r="J331" s="54">
        <f t="array" ref="J331">migration!J76</f>
        <v/>
      </c>
      <c r="K331" s="54">
        <f t="array" ref="K331">migration!K76</f>
        <v/>
      </c>
      <c r="L331" s="54" t="n"/>
    </row>
    <row r="332" ht="20.1" customHeight="1" s="206">
      <c r="A332" s="156">
        <f t="array" ref="A332">migration!$A77</f>
        <v/>
      </c>
      <c r="B332" s="54" t="n"/>
      <c r="C332" s="54">
        <f t="array" ref="C332">migration!C77</f>
        <v/>
      </c>
      <c r="D332" s="54">
        <f t="array" ref="D332">migration!D77</f>
        <v/>
      </c>
      <c r="E332" s="54">
        <f t="array" ref="E332">migration!E77</f>
        <v/>
      </c>
      <c r="F332" s="54">
        <f t="array" ref="F332">migration!F77</f>
        <v/>
      </c>
      <c r="G332" s="54">
        <f t="array" ref="G332">migration!G77</f>
        <v/>
      </c>
      <c r="H332" s="54">
        <f t="array" ref="H332">migration!H77</f>
        <v/>
      </c>
      <c r="I332" s="54">
        <f t="array" ref="I332">migration!I77</f>
        <v/>
      </c>
      <c r="J332" s="54">
        <f t="array" ref="J332">migration!J77</f>
        <v/>
      </c>
      <c r="K332" s="54">
        <f t="array" ref="K332">migration!K77</f>
        <v/>
      </c>
      <c r="L332" s="54" t="n"/>
    </row>
    <row r="333" ht="20.1" customHeight="1" s="206">
      <c r="A333" s="156">
        <f t="array" ref="A333">migration!$A78</f>
        <v/>
      </c>
      <c r="B333" s="54" t="n"/>
      <c r="C333" s="54">
        <f t="array" ref="C333">migration!C78</f>
        <v/>
      </c>
      <c r="D333" s="54">
        <f t="array" ref="D333">migration!D78</f>
        <v/>
      </c>
      <c r="E333" s="54">
        <f t="array" ref="E333">migration!E78</f>
        <v/>
      </c>
      <c r="F333" s="54">
        <f t="array" ref="F333">migration!F78</f>
        <v/>
      </c>
      <c r="G333" s="54">
        <f t="array" ref="G333">migration!G78</f>
        <v/>
      </c>
      <c r="H333" s="54">
        <f t="array" ref="H333">migration!H78</f>
        <v/>
      </c>
      <c r="I333" s="54">
        <f t="array" ref="I333">migration!I78</f>
        <v/>
      </c>
      <c r="J333" s="54">
        <f t="array" ref="J333">migration!J78</f>
        <v/>
      </c>
      <c r="K333" s="54">
        <f t="array" ref="K333">migration!K78</f>
        <v/>
      </c>
      <c r="L333" s="54" t="n"/>
    </row>
    <row r="334" ht="20.1" customHeight="1" s="206">
      <c r="A334" s="156">
        <f t="array" ref="A334">migration!$A79</f>
        <v/>
      </c>
      <c r="B334" s="54" t="n"/>
      <c r="C334" s="54">
        <f t="array" ref="C334">migration!C79</f>
        <v/>
      </c>
      <c r="D334" s="54">
        <f t="array" ref="D334">migration!D79</f>
        <v/>
      </c>
      <c r="E334" s="54">
        <f t="array" ref="E334">migration!E79</f>
        <v/>
      </c>
      <c r="F334" s="54">
        <f t="array" ref="F334">migration!F79</f>
        <v/>
      </c>
      <c r="G334" s="54">
        <f t="array" ref="G334">migration!G79</f>
        <v/>
      </c>
      <c r="H334" s="54">
        <f t="array" ref="H334">migration!H79</f>
        <v/>
      </c>
      <c r="I334" s="54">
        <f t="array" ref="I334">migration!I79</f>
        <v/>
      </c>
      <c r="J334" s="54">
        <f t="array" ref="J334">migration!J79</f>
        <v/>
      </c>
      <c r="K334" s="54">
        <f t="array" ref="K334">migration!K79</f>
        <v/>
      </c>
      <c r="L334" s="54" t="n"/>
    </row>
    <row r="335" ht="20.1" customHeight="1" s="206">
      <c r="A335" s="156">
        <f t="array" ref="A335">migration!$A80</f>
        <v/>
      </c>
      <c r="B335" s="54" t="n"/>
      <c r="C335" s="54">
        <f t="array" ref="C335">migration!C80</f>
        <v/>
      </c>
      <c r="D335" s="54">
        <f t="array" ref="D335">migration!D80</f>
        <v/>
      </c>
      <c r="E335" s="54">
        <f t="array" ref="E335">migration!E80</f>
        <v/>
      </c>
      <c r="F335" s="54">
        <f t="array" ref="F335">migration!F80</f>
        <v/>
      </c>
      <c r="G335" s="54">
        <f t="array" ref="G335">migration!G80</f>
        <v/>
      </c>
      <c r="H335" s="54">
        <f t="array" ref="H335">migration!H80</f>
        <v/>
      </c>
      <c r="I335" s="54">
        <f t="array" ref="I335">migration!I80</f>
        <v/>
      </c>
      <c r="J335" s="54">
        <f t="array" ref="J335">migration!J80</f>
        <v/>
      </c>
      <c r="K335" s="54">
        <f t="array" ref="K335">migration!K80</f>
        <v/>
      </c>
      <c r="L335" s="54" t="n"/>
    </row>
    <row r="336" ht="20.1" customHeight="1" s="206">
      <c r="A336" s="156">
        <f t="array" ref="A336">migration!$A81</f>
        <v/>
      </c>
      <c r="B336" s="54" t="n"/>
      <c r="C336" s="54">
        <f t="array" ref="C336">migration!C81</f>
        <v/>
      </c>
      <c r="D336" s="54">
        <f t="array" ref="D336">migration!D81</f>
        <v/>
      </c>
      <c r="E336" s="54">
        <f t="array" ref="E336">migration!E81</f>
        <v/>
      </c>
      <c r="F336" s="54">
        <f t="array" ref="F336">migration!F81</f>
        <v/>
      </c>
      <c r="G336" s="54">
        <f t="array" ref="G336">migration!G81</f>
        <v/>
      </c>
      <c r="H336" s="54">
        <f t="array" ref="H336">migration!H81</f>
        <v/>
      </c>
      <c r="I336" s="54">
        <f t="array" ref="I336">migration!I81</f>
        <v/>
      </c>
      <c r="J336" s="54">
        <f t="array" ref="J336">migration!J81</f>
        <v/>
      </c>
      <c r="K336" s="54">
        <f t="array" ref="K336">migration!K81</f>
        <v/>
      </c>
      <c r="L336" s="54" t="n"/>
    </row>
    <row r="337" ht="20.1" customHeight="1" s="206">
      <c r="A337" s="156">
        <f t="array" ref="A337">migration!$A82</f>
        <v/>
      </c>
      <c r="B337" s="54" t="n"/>
      <c r="C337" s="54">
        <f t="array" ref="C337">migration!C82</f>
        <v/>
      </c>
      <c r="D337" s="54">
        <f t="array" ref="D337">migration!D82</f>
        <v/>
      </c>
      <c r="E337" s="54">
        <f t="array" ref="E337">migration!E82</f>
        <v/>
      </c>
      <c r="F337" s="54">
        <f t="array" ref="F337">migration!F82</f>
        <v/>
      </c>
      <c r="G337" s="54">
        <f t="array" ref="G337">migration!G82</f>
        <v/>
      </c>
      <c r="H337" s="54">
        <f t="array" ref="H337">migration!H82</f>
        <v/>
      </c>
      <c r="I337" s="54">
        <f t="array" ref="I337">migration!I82</f>
        <v/>
      </c>
      <c r="J337" s="54">
        <f t="array" ref="J337">migration!J82</f>
        <v/>
      </c>
      <c r="K337" s="54">
        <f t="array" ref="K337">migration!K82</f>
        <v/>
      </c>
      <c r="L337" s="54" t="n"/>
    </row>
    <row r="338" ht="20.1" customHeight="1" s="206">
      <c r="A338" s="156">
        <f t="array" ref="A338">migration!$A83</f>
        <v/>
      </c>
      <c r="B338" s="54" t="n"/>
      <c r="C338" s="54">
        <f t="array" ref="C338">migration!C83</f>
        <v/>
      </c>
      <c r="D338" s="54">
        <f t="array" ref="D338">migration!D83</f>
        <v/>
      </c>
      <c r="E338" s="54">
        <f t="array" ref="E338">migration!E83</f>
        <v/>
      </c>
      <c r="F338" s="54">
        <f t="array" ref="F338">migration!F83</f>
        <v/>
      </c>
      <c r="G338" s="54">
        <f t="array" ref="G338">migration!G83</f>
        <v/>
      </c>
      <c r="H338" s="54">
        <f t="array" ref="H338">migration!H83</f>
        <v/>
      </c>
      <c r="I338" s="54">
        <f t="array" ref="I338">migration!I83</f>
        <v/>
      </c>
      <c r="J338" s="54">
        <f t="array" ref="J338">migration!J83</f>
        <v/>
      </c>
      <c r="K338" s="54">
        <f t="array" ref="K338">migration!K83</f>
        <v/>
      </c>
      <c r="L338" s="54" t="n"/>
    </row>
    <row r="339" ht="20.1" customHeight="1" s="206">
      <c r="A339" s="156">
        <f t="array" ref="A339">migration!$A84</f>
        <v/>
      </c>
      <c r="B339" s="54" t="n"/>
      <c r="C339" s="54">
        <f t="array" ref="C339">migration!C84</f>
        <v/>
      </c>
      <c r="D339" s="54">
        <f t="array" ref="D339">migration!D84</f>
        <v/>
      </c>
      <c r="E339" s="54">
        <f t="array" ref="E339">migration!E84</f>
        <v/>
      </c>
      <c r="F339" s="54">
        <f t="array" ref="F339">migration!F84</f>
        <v/>
      </c>
      <c r="G339" s="54">
        <f t="array" ref="G339">migration!G84</f>
        <v/>
      </c>
      <c r="H339" s="54">
        <f t="array" ref="H339">migration!H84</f>
        <v/>
      </c>
      <c r="I339" s="54">
        <f t="array" ref="I339">migration!I84</f>
        <v/>
      </c>
      <c r="J339" s="54">
        <f t="array" ref="J339">migration!J84</f>
        <v/>
      </c>
      <c r="K339" s="54">
        <f t="array" ref="K339">migration!K84</f>
        <v/>
      </c>
      <c r="L339" s="54" t="n"/>
    </row>
    <row r="340" ht="20.1" customHeight="1" s="206">
      <c r="A340" s="156">
        <f t="array" ref="A340">migration!$A85</f>
        <v/>
      </c>
      <c r="B340" s="54" t="n"/>
      <c r="C340" s="54">
        <f t="array" ref="C340">migration!C85</f>
        <v/>
      </c>
      <c r="D340" s="54">
        <f t="array" ref="D340">migration!D85</f>
        <v/>
      </c>
      <c r="E340" s="54">
        <f t="array" ref="E340">migration!E85</f>
        <v/>
      </c>
      <c r="F340" s="54">
        <f t="array" ref="F340">migration!F85</f>
        <v/>
      </c>
      <c r="G340" s="54">
        <f t="array" ref="G340">migration!G85</f>
        <v/>
      </c>
      <c r="H340" s="54">
        <f t="array" ref="H340">migration!H85</f>
        <v/>
      </c>
      <c r="I340" s="54">
        <f t="array" ref="I340">migration!I85</f>
        <v/>
      </c>
      <c r="J340" s="54">
        <f t="array" ref="J340">migration!J85</f>
        <v/>
      </c>
      <c r="K340" s="54">
        <f t="array" ref="K340">migration!K85</f>
        <v/>
      </c>
      <c r="L340" s="54" t="n"/>
    </row>
    <row r="341" ht="20.1" customHeight="1" s="206">
      <c r="A341" s="156">
        <f t="array" ref="A341">migration!$A86</f>
        <v/>
      </c>
      <c r="B341" s="54" t="n"/>
      <c r="C341" s="54">
        <f t="array" ref="C341">migration!C86</f>
        <v/>
      </c>
      <c r="D341" s="54">
        <f t="array" ref="D341">migration!D86</f>
        <v/>
      </c>
      <c r="E341" s="54">
        <f t="array" ref="E341">migration!E86</f>
        <v/>
      </c>
      <c r="F341" s="54">
        <f t="array" ref="F341">migration!F86</f>
        <v/>
      </c>
      <c r="G341" s="54">
        <f t="array" ref="G341">migration!G86</f>
        <v/>
      </c>
      <c r="H341" s="54">
        <f t="array" ref="H341">migration!H86</f>
        <v/>
      </c>
      <c r="I341" s="54">
        <f t="array" ref="I341">migration!I86</f>
        <v/>
      </c>
      <c r="J341" s="54">
        <f t="array" ref="J341">migration!J86</f>
        <v/>
      </c>
      <c r="K341" s="54">
        <f t="array" ref="K341">migration!K86</f>
        <v/>
      </c>
      <c r="L341" s="54" t="n"/>
    </row>
    <row r="342" ht="20.1" customHeight="1" s="206">
      <c r="A342" s="156">
        <f t="array" ref="A342">migration!$A87</f>
        <v/>
      </c>
      <c r="B342" s="54" t="n"/>
      <c r="C342" s="54">
        <f t="array" ref="C342">migration!C87</f>
        <v/>
      </c>
      <c r="D342" s="54">
        <f t="array" ref="D342">migration!D87</f>
        <v/>
      </c>
      <c r="E342" s="54">
        <f t="array" ref="E342">migration!E87</f>
        <v/>
      </c>
      <c r="F342" s="54">
        <f t="array" ref="F342">migration!F87</f>
        <v/>
      </c>
      <c r="G342" s="54">
        <f t="array" ref="G342">migration!G87</f>
        <v/>
      </c>
      <c r="H342" s="54">
        <f t="array" ref="H342">migration!H87</f>
        <v/>
      </c>
      <c r="I342" s="54">
        <f t="array" ref="I342">migration!I87</f>
        <v/>
      </c>
      <c r="J342" s="54">
        <f t="array" ref="J342">migration!J87</f>
        <v/>
      </c>
      <c r="K342" s="54">
        <f t="array" ref="K342">migration!K87</f>
        <v/>
      </c>
      <c r="L342" s="54" t="n"/>
    </row>
    <row r="343" ht="20.1" customHeight="1" s="206">
      <c r="A343" s="156">
        <f t="array" ref="A343">migration!$A88</f>
        <v/>
      </c>
      <c r="B343" s="54" t="n"/>
      <c r="C343" s="54">
        <f t="array" ref="C343">migration!C88</f>
        <v/>
      </c>
      <c r="D343" s="54">
        <f t="array" ref="D343">migration!D88</f>
        <v/>
      </c>
      <c r="E343" s="54">
        <f t="array" ref="E343">migration!E88</f>
        <v/>
      </c>
      <c r="F343" s="54">
        <f t="array" ref="F343">migration!F88</f>
        <v/>
      </c>
      <c r="G343" s="54">
        <f t="array" ref="G343">migration!G88</f>
        <v/>
      </c>
      <c r="H343" s="54">
        <f t="array" ref="H343">migration!H88</f>
        <v/>
      </c>
      <c r="I343" s="54">
        <f t="array" ref="I343">migration!I88</f>
        <v/>
      </c>
      <c r="J343" s="54">
        <f t="array" ref="J343">migration!J88</f>
        <v/>
      </c>
      <c r="K343" s="54">
        <f t="array" ref="K343">migration!K88</f>
        <v/>
      </c>
      <c r="L343" s="54" t="n"/>
    </row>
    <row r="344" ht="20.1" customHeight="1" s="206">
      <c r="A344" s="156">
        <f t="array" ref="A344">migration!$A89</f>
        <v/>
      </c>
      <c r="B344" s="54" t="n"/>
      <c r="C344" s="54">
        <f t="array" ref="C344">migration!C89</f>
        <v/>
      </c>
      <c r="D344" s="54">
        <f t="array" ref="D344">migration!D89</f>
        <v/>
      </c>
      <c r="E344" s="54">
        <f t="array" ref="E344">migration!E89</f>
        <v/>
      </c>
      <c r="F344" s="54">
        <f t="array" ref="F344">migration!F89</f>
        <v/>
      </c>
      <c r="G344" s="54">
        <f t="array" ref="G344">migration!G89</f>
        <v/>
      </c>
      <c r="H344" s="54">
        <f t="array" ref="H344">migration!H89</f>
        <v/>
      </c>
      <c r="I344" s="54">
        <f t="array" ref="I344">migration!I89</f>
        <v/>
      </c>
      <c r="J344" s="54">
        <f t="array" ref="J344">migration!J89</f>
        <v/>
      </c>
      <c r="K344" s="54">
        <f t="array" ref="K344">migration!K89</f>
        <v/>
      </c>
      <c r="L344" s="54" t="n"/>
    </row>
    <row r="345" ht="20.1" customHeight="1" s="206">
      <c r="A345" s="156">
        <f t="array" ref="A345">migration!$A90</f>
        <v/>
      </c>
      <c r="B345" s="54" t="n"/>
      <c r="C345" s="54">
        <f t="array" ref="C345">migration!C90</f>
        <v/>
      </c>
      <c r="D345" s="54">
        <f t="array" ref="D345">migration!D90</f>
        <v/>
      </c>
      <c r="E345" s="54">
        <f t="array" ref="E345">migration!E90</f>
        <v/>
      </c>
      <c r="F345" s="54">
        <f t="array" ref="F345">migration!F90</f>
        <v/>
      </c>
      <c r="G345" s="54">
        <f t="array" ref="G345">migration!G90</f>
        <v/>
      </c>
      <c r="H345" s="54">
        <f t="array" ref="H345">migration!H90</f>
        <v/>
      </c>
      <c r="I345" s="54">
        <f t="array" ref="I345">migration!I90</f>
        <v/>
      </c>
      <c r="J345" s="54">
        <f t="array" ref="J345">migration!J90</f>
        <v/>
      </c>
      <c r="K345" s="54">
        <f t="array" ref="K345">migration!K90</f>
        <v/>
      </c>
      <c r="L345" s="54" t="n"/>
    </row>
    <row r="346" ht="20.1" customHeight="1" s="206">
      <c r="A346" s="156">
        <f t="array" ref="A346">migration!$A91</f>
        <v/>
      </c>
      <c r="B346" s="54" t="n"/>
      <c r="C346" s="54">
        <f t="array" ref="C346">migration!C91</f>
        <v/>
      </c>
      <c r="D346" s="54">
        <f t="array" ref="D346">migration!D91</f>
        <v/>
      </c>
      <c r="E346" s="54">
        <f t="array" ref="E346">migration!E91</f>
        <v/>
      </c>
      <c r="F346" s="54">
        <f t="array" ref="F346">migration!F91</f>
        <v/>
      </c>
      <c r="G346" s="54">
        <f t="array" ref="G346">migration!G91</f>
        <v/>
      </c>
      <c r="H346" s="54">
        <f t="array" ref="H346">migration!H91</f>
        <v/>
      </c>
      <c r="I346" s="54">
        <f t="array" ref="I346">migration!I91</f>
        <v/>
      </c>
      <c r="J346" s="54">
        <f t="array" ref="J346">migration!J91</f>
        <v/>
      </c>
      <c r="K346" s="54">
        <f t="array" ref="K346">migration!K91</f>
        <v/>
      </c>
      <c r="L346" s="54" t="n"/>
    </row>
    <row r="347" ht="20.1" customHeight="1" s="206">
      <c r="A347" s="156">
        <f t="array" ref="A347">migration!$A92</f>
        <v/>
      </c>
      <c r="B347" s="54" t="n"/>
      <c r="C347" s="54">
        <f t="array" ref="C347">migration!C92</f>
        <v/>
      </c>
      <c r="D347" s="54">
        <f t="array" ref="D347">migration!D92</f>
        <v/>
      </c>
      <c r="E347" s="54">
        <f t="array" ref="E347">migration!E92</f>
        <v/>
      </c>
      <c r="F347" s="54">
        <f t="array" ref="F347">migration!F92</f>
        <v/>
      </c>
      <c r="G347" s="54">
        <f t="array" ref="G347">migration!G92</f>
        <v/>
      </c>
      <c r="H347" s="54">
        <f t="array" ref="H347">migration!H92</f>
        <v/>
      </c>
      <c r="I347" s="54">
        <f t="array" ref="I347">migration!I92</f>
        <v/>
      </c>
      <c r="J347" s="54">
        <f t="array" ref="J347">migration!J92</f>
        <v/>
      </c>
      <c r="K347" s="54">
        <f t="array" ref="K347">migration!K92</f>
        <v/>
      </c>
      <c r="L347" s="54" t="n"/>
    </row>
    <row r="348" ht="20.1" customHeight="1" s="206">
      <c r="A348" s="156">
        <f t="array" ref="A348">migration!$A93</f>
        <v/>
      </c>
      <c r="B348" s="54" t="n"/>
      <c r="C348" s="54">
        <f t="array" ref="C348">migration!C93</f>
        <v/>
      </c>
      <c r="D348" s="54">
        <f t="array" ref="D348">migration!D93</f>
        <v/>
      </c>
      <c r="E348" s="54">
        <f t="array" ref="E348">migration!E93</f>
        <v/>
      </c>
      <c r="F348" s="54">
        <f t="array" ref="F348">migration!F93</f>
        <v/>
      </c>
      <c r="G348" s="54">
        <f t="array" ref="G348">migration!G93</f>
        <v/>
      </c>
      <c r="H348" s="54">
        <f t="array" ref="H348">migration!H93</f>
        <v/>
      </c>
      <c r="I348" s="54">
        <f t="array" ref="I348">migration!I93</f>
        <v/>
      </c>
      <c r="J348" s="54">
        <f t="array" ref="J348">migration!J93</f>
        <v/>
      </c>
      <c r="K348" s="54">
        <f t="array" ref="K348">migration!K93</f>
        <v/>
      </c>
      <c r="L348" s="54" t="n"/>
    </row>
    <row r="349" ht="20.1" customHeight="1" s="206">
      <c r="A349" s="156">
        <f t="array" ref="A349">migration!$A94</f>
        <v/>
      </c>
      <c r="B349" s="54" t="n"/>
      <c r="C349" s="54">
        <f t="array" ref="C349">migration!C94</f>
        <v/>
      </c>
      <c r="D349" s="54">
        <f t="array" ref="D349">migration!D94</f>
        <v/>
      </c>
      <c r="E349" s="54">
        <f t="array" ref="E349">migration!E94</f>
        <v/>
      </c>
      <c r="F349" s="54">
        <f t="array" ref="F349">migration!F94</f>
        <v/>
      </c>
      <c r="G349" s="54">
        <f t="array" ref="G349">migration!G94</f>
        <v/>
      </c>
      <c r="H349" s="54">
        <f t="array" ref="H349">migration!H94</f>
        <v/>
      </c>
      <c r="I349" s="54">
        <f t="array" ref="I349">migration!I94</f>
        <v/>
      </c>
      <c r="J349" s="54">
        <f t="array" ref="J349">migration!J94</f>
        <v/>
      </c>
      <c r="K349" s="54">
        <f t="array" ref="K349">migration!K94</f>
        <v/>
      </c>
      <c r="L349" s="54" t="n"/>
    </row>
    <row r="350" ht="20.1" customHeight="1" s="206">
      <c r="A350" s="156">
        <f t="array" ref="A350">migration!$A95</f>
        <v/>
      </c>
      <c r="B350" s="54" t="n"/>
      <c r="C350" s="54">
        <f t="array" ref="C350">migration!C95</f>
        <v/>
      </c>
      <c r="D350" s="54">
        <f t="array" ref="D350">migration!D95</f>
        <v/>
      </c>
      <c r="E350" s="54">
        <f t="array" ref="E350">migration!E95</f>
        <v/>
      </c>
      <c r="F350" s="54">
        <f t="array" ref="F350">migration!F95</f>
        <v/>
      </c>
      <c r="G350" s="54">
        <f t="array" ref="G350">migration!G95</f>
        <v/>
      </c>
      <c r="H350" s="54">
        <f t="array" ref="H350">migration!H95</f>
        <v/>
      </c>
      <c r="I350" s="54">
        <f t="array" ref="I350">migration!I95</f>
        <v/>
      </c>
      <c r="J350" s="54">
        <f t="array" ref="J350">migration!J95</f>
        <v/>
      </c>
      <c r="K350" s="54">
        <f t="array" ref="K350">migration!K95</f>
        <v/>
      </c>
      <c r="L350" s="54" t="n"/>
    </row>
    <row r="351" ht="20.1" customHeight="1" s="206">
      <c r="A351" s="156">
        <f t="array" ref="A351">migration!$A96</f>
        <v/>
      </c>
      <c r="B351" s="54" t="n"/>
      <c r="C351" s="54">
        <f t="array" ref="C351">migration!C96</f>
        <v/>
      </c>
      <c r="D351" s="54">
        <f t="array" ref="D351">migration!D96</f>
        <v/>
      </c>
      <c r="E351" s="54">
        <f t="array" ref="E351">migration!E96</f>
        <v/>
      </c>
      <c r="F351" s="54">
        <f t="array" ref="F351">migration!F96</f>
        <v/>
      </c>
      <c r="G351" s="54">
        <f t="array" ref="G351">migration!G96</f>
        <v/>
      </c>
      <c r="H351" s="54">
        <f t="array" ref="H351">migration!H96</f>
        <v/>
      </c>
      <c r="I351" s="54">
        <f t="array" ref="I351">migration!I96</f>
        <v/>
      </c>
      <c r="J351" s="54">
        <f t="array" ref="J351">migration!J96</f>
        <v/>
      </c>
      <c r="K351" s="54">
        <f t="array" ref="K351">migration!K96</f>
        <v/>
      </c>
      <c r="L351" s="54" t="n"/>
    </row>
    <row r="352" ht="20.1" customHeight="1" s="206">
      <c r="A352" s="156">
        <f t="array" ref="A352">migration!$A97</f>
        <v/>
      </c>
      <c r="B352" s="54" t="n"/>
      <c r="C352" s="54">
        <f t="array" ref="C352">migration!C97</f>
        <v/>
      </c>
      <c r="D352" s="54">
        <f t="array" ref="D352">migration!D97</f>
        <v/>
      </c>
      <c r="E352" s="54">
        <f t="array" ref="E352">migration!E97</f>
        <v/>
      </c>
      <c r="F352" s="54">
        <f t="array" ref="F352">migration!F97</f>
        <v/>
      </c>
      <c r="G352" s="54">
        <f t="array" ref="G352">migration!G97</f>
        <v/>
      </c>
      <c r="H352" s="54">
        <f t="array" ref="H352">migration!H97</f>
        <v/>
      </c>
      <c r="I352" s="54">
        <f t="array" ref="I352">migration!I97</f>
        <v/>
      </c>
      <c r="J352" s="54">
        <f t="array" ref="J352">migration!J97</f>
        <v/>
      </c>
      <c r="K352" s="54">
        <f t="array" ref="K352">migration!K97</f>
        <v/>
      </c>
      <c r="L352" s="54" t="n"/>
    </row>
    <row r="353" ht="20.1" customHeight="1" s="206">
      <c r="A353" s="156">
        <f t="array" ref="A353">migration!$A98</f>
        <v/>
      </c>
      <c r="B353" s="54" t="n"/>
      <c r="C353" s="54">
        <f t="array" ref="C353">migration!C98</f>
        <v/>
      </c>
      <c r="D353" s="54">
        <f t="array" ref="D353">migration!D98</f>
        <v/>
      </c>
      <c r="E353" s="54">
        <f t="array" ref="E353">migration!E98</f>
        <v/>
      </c>
      <c r="F353" s="54">
        <f t="array" ref="F353">migration!F98</f>
        <v/>
      </c>
      <c r="G353" s="54">
        <f t="array" ref="G353">migration!G98</f>
        <v/>
      </c>
      <c r="H353" s="54">
        <f t="array" ref="H353">migration!H98</f>
        <v/>
      </c>
      <c r="I353" s="54">
        <f t="array" ref="I353">migration!I98</f>
        <v/>
      </c>
      <c r="J353" s="54">
        <f t="array" ref="J353">migration!J98</f>
        <v/>
      </c>
      <c r="K353" s="54">
        <f t="array" ref="K353">migration!K98</f>
        <v/>
      </c>
      <c r="L353" s="54" t="n"/>
    </row>
    <row r="354" ht="20.1" customHeight="1" s="206">
      <c r="A354" s="156">
        <f t="array" ref="A354">migration!$A99</f>
        <v/>
      </c>
      <c r="B354" s="54" t="n"/>
      <c r="C354" s="54">
        <f t="array" ref="C354">migration!C99</f>
        <v/>
      </c>
      <c r="D354" s="54">
        <f t="array" ref="D354">migration!D99</f>
        <v/>
      </c>
      <c r="E354" s="54">
        <f t="array" ref="E354">migration!E99</f>
        <v/>
      </c>
      <c r="F354" s="54">
        <f t="array" ref="F354">migration!F99</f>
        <v/>
      </c>
      <c r="G354" s="54">
        <f t="array" ref="G354">migration!G99</f>
        <v/>
      </c>
      <c r="H354" s="54">
        <f t="array" ref="H354">migration!H99</f>
        <v/>
      </c>
      <c r="I354" s="54">
        <f t="array" ref="I354">migration!I99</f>
        <v/>
      </c>
      <c r="J354" s="54">
        <f t="array" ref="J354">migration!J99</f>
        <v/>
      </c>
      <c r="K354" s="54">
        <f t="array" ref="K354">migration!K99</f>
        <v/>
      </c>
      <c r="L354" s="54" t="n"/>
    </row>
    <row r="355" ht="20.1" customHeight="1" s="206">
      <c r="A355" s="156">
        <f t="array" ref="A355">migration!$A100</f>
        <v/>
      </c>
      <c r="B355" s="54" t="n"/>
      <c r="C355" s="54">
        <f t="array" ref="C355">migration!C100</f>
        <v/>
      </c>
      <c r="D355" s="54">
        <f t="array" ref="D355">migration!D100</f>
        <v/>
      </c>
      <c r="E355" s="54">
        <f t="array" ref="E355">migration!E100</f>
        <v/>
      </c>
      <c r="F355" s="54">
        <f t="array" ref="F355">migration!F100</f>
        <v/>
      </c>
      <c r="G355" s="54">
        <f t="array" ref="G355">migration!G100</f>
        <v/>
      </c>
      <c r="H355" s="54">
        <f t="array" ref="H355">migration!H100</f>
        <v/>
      </c>
      <c r="I355" s="54">
        <f t="array" ref="I355">migration!I100</f>
        <v/>
      </c>
      <c r="J355" s="54">
        <f t="array" ref="J355">migration!J100</f>
        <v/>
      </c>
      <c r="K355" s="54">
        <f t="array" ref="K355">migration!K100</f>
        <v/>
      </c>
      <c r="L355" s="54" t="n"/>
    </row>
    <row r="356" ht="20.1" customHeight="1" s="206">
      <c r="A356" s="156">
        <f t="array" ref="A356">migration!$A101</f>
        <v/>
      </c>
      <c r="B356" s="54" t="n"/>
      <c r="C356" s="54">
        <f t="array" ref="C356">migration!C101</f>
        <v/>
      </c>
      <c r="D356" s="54">
        <f t="array" ref="D356">migration!D101</f>
        <v/>
      </c>
      <c r="E356" s="54">
        <f t="array" ref="E356">migration!E101</f>
        <v/>
      </c>
      <c r="F356" s="54">
        <f t="array" ref="F356">migration!F101</f>
        <v/>
      </c>
      <c r="G356" s="54">
        <f t="array" ref="G356">migration!G101</f>
        <v/>
      </c>
      <c r="H356" s="54">
        <f t="array" ref="H356">migration!H101</f>
        <v/>
      </c>
      <c r="I356" s="54">
        <f t="array" ref="I356">migration!I101</f>
        <v/>
      </c>
      <c r="J356" s="54">
        <f t="array" ref="J356">migration!J101</f>
        <v/>
      </c>
      <c r="K356" s="54">
        <f t="array" ref="K356">migration!K101</f>
        <v/>
      </c>
      <c r="L356" s="54" t="n"/>
    </row>
    <row r="357" ht="20.1" customHeight="1" s="206">
      <c r="A357" s="156">
        <f t="array" ref="A357">migration!$A102</f>
        <v/>
      </c>
      <c r="B357" s="54" t="n"/>
      <c r="C357" s="54">
        <f t="array" ref="C357">migration!C102</f>
        <v/>
      </c>
      <c r="D357" s="54">
        <f t="array" ref="D357">migration!D102</f>
        <v/>
      </c>
      <c r="E357" s="54">
        <f t="array" ref="E357">migration!E102</f>
        <v/>
      </c>
      <c r="F357" s="54">
        <f t="array" ref="F357">migration!F102</f>
        <v/>
      </c>
      <c r="G357" s="54">
        <f t="array" ref="G357">migration!G102</f>
        <v/>
      </c>
      <c r="H357" s="54">
        <f t="array" ref="H357">migration!H102</f>
        <v/>
      </c>
      <c r="I357" s="54">
        <f t="array" ref="I357">migration!I102</f>
        <v/>
      </c>
      <c r="J357" s="54">
        <f t="array" ref="J357">migration!J102</f>
        <v/>
      </c>
      <c r="K357" s="54">
        <f t="array" ref="K357">migration!K102</f>
        <v/>
      </c>
      <c r="L357" s="54" t="n"/>
    </row>
    <row r="358" ht="20.1" customHeight="1" s="206">
      <c r="A358" s="156">
        <f t="array" ref="A358">migration!$A103</f>
        <v/>
      </c>
      <c r="B358" s="54" t="n"/>
      <c r="C358" s="54">
        <f t="array" ref="C358">migration!C103</f>
        <v/>
      </c>
      <c r="D358" s="54">
        <f t="array" ref="D358">migration!D103</f>
        <v/>
      </c>
      <c r="E358" s="54">
        <f t="array" ref="E358">migration!E103</f>
        <v/>
      </c>
      <c r="F358" s="54">
        <f t="array" ref="F358">migration!F103</f>
        <v/>
      </c>
      <c r="G358" s="54">
        <f t="array" ref="G358">migration!G103</f>
        <v/>
      </c>
      <c r="H358" s="54">
        <f t="array" ref="H358">migration!H103</f>
        <v/>
      </c>
      <c r="I358" s="54">
        <f t="array" ref="I358">migration!I103</f>
        <v/>
      </c>
      <c r="J358" s="54">
        <f t="array" ref="J358">migration!J103</f>
        <v/>
      </c>
      <c r="K358" s="54">
        <f t="array" ref="K358">migration!K103</f>
        <v/>
      </c>
      <c r="L358" s="54" t="n"/>
    </row>
    <row r="359" ht="20.1" customHeight="1" s="206">
      <c r="A359" s="156">
        <f t="array" ref="A359">migration!$A104</f>
        <v/>
      </c>
      <c r="B359" s="54" t="n"/>
      <c r="C359" s="54">
        <f t="array" ref="C359">migration!C104</f>
        <v/>
      </c>
      <c r="D359" s="54">
        <f t="array" ref="D359">migration!D104</f>
        <v/>
      </c>
      <c r="E359" s="54">
        <f t="array" ref="E359">migration!E104</f>
        <v/>
      </c>
      <c r="F359" s="54">
        <f t="array" ref="F359">migration!F104</f>
        <v/>
      </c>
      <c r="G359" s="54">
        <f t="array" ref="G359">migration!G104</f>
        <v/>
      </c>
      <c r="H359" s="54">
        <f t="array" ref="H359">migration!H104</f>
        <v/>
      </c>
      <c r="I359" s="54">
        <f t="array" ref="I359">migration!I104</f>
        <v/>
      </c>
      <c r="J359" s="54">
        <f t="array" ref="J359">migration!J104</f>
        <v/>
      </c>
      <c r="K359" s="54">
        <f t="array" ref="K359">migration!K104</f>
        <v/>
      </c>
      <c r="L359" s="54" t="n"/>
    </row>
    <row r="360" ht="20.1" customHeight="1" s="206">
      <c r="A360" s="156">
        <f t="array" ref="A360">migration!$A105</f>
        <v/>
      </c>
      <c r="B360" s="54" t="n"/>
      <c r="C360" s="54">
        <f t="array" ref="C360">migration!C105</f>
        <v/>
      </c>
      <c r="D360" s="54">
        <f t="array" ref="D360">migration!D105</f>
        <v/>
      </c>
      <c r="E360" s="54">
        <f t="array" ref="E360">migration!E105</f>
        <v/>
      </c>
      <c r="F360" s="54">
        <f t="array" ref="F360">migration!F105</f>
        <v/>
      </c>
      <c r="G360" s="54">
        <f t="array" ref="G360">migration!G105</f>
        <v/>
      </c>
      <c r="H360" s="54">
        <f t="array" ref="H360">migration!H105</f>
        <v/>
      </c>
      <c r="I360" s="54">
        <f t="array" ref="I360">migration!I105</f>
        <v/>
      </c>
      <c r="J360" s="54">
        <f t="array" ref="J360">migration!J105</f>
        <v/>
      </c>
      <c r="K360" s="54">
        <f t="array" ref="K360">migration!K105</f>
        <v/>
      </c>
      <c r="L360" s="54" t="n"/>
    </row>
    <row r="361" ht="20.1" customHeight="1" s="206">
      <c r="A361" s="156">
        <f t="array" ref="A361">migration!$A106</f>
        <v/>
      </c>
      <c r="B361" s="54" t="n"/>
      <c r="C361" s="54">
        <f t="array" ref="C361">migration!C106</f>
        <v/>
      </c>
      <c r="D361" s="54">
        <f t="array" ref="D361">migration!D106</f>
        <v/>
      </c>
      <c r="E361" s="54">
        <f t="array" ref="E361">migration!E106</f>
        <v/>
      </c>
      <c r="F361" s="54">
        <f t="array" ref="F361">migration!F106</f>
        <v/>
      </c>
      <c r="G361" s="54">
        <f t="array" ref="G361">migration!G106</f>
        <v/>
      </c>
      <c r="H361" s="54">
        <f t="array" ref="H361">migration!H106</f>
        <v/>
      </c>
      <c r="I361" s="54">
        <f t="array" ref="I361">migration!I106</f>
        <v/>
      </c>
      <c r="J361" s="54">
        <f t="array" ref="J361">migration!J106</f>
        <v/>
      </c>
      <c r="K361" s="54">
        <f t="array" ref="K361">migration!K106</f>
        <v/>
      </c>
      <c r="L361" s="54" t="n"/>
    </row>
    <row r="362" ht="20.1" customHeight="1" s="206">
      <c r="A362" s="156">
        <f t="array" ref="A362">migration!$A107</f>
        <v/>
      </c>
      <c r="B362" s="54" t="n"/>
      <c r="C362" s="54">
        <f t="array" ref="C362">migration!C107</f>
        <v/>
      </c>
      <c r="D362" s="54">
        <f t="array" ref="D362">migration!D107</f>
        <v/>
      </c>
      <c r="E362" s="54">
        <f t="array" ref="E362">migration!E107</f>
        <v/>
      </c>
      <c r="F362" s="54">
        <f t="array" ref="F362">migration!F107</f>
        <v/>
      </c>
      <c r="G362" s="54">
        <f t="array" ref="G362">migration!G107</f>
        <v/>
      </c>
      <c r="H362" s="54">
        <f t="array" ref="H362">migration!H107</f>
        <v/>
      </c>
      <c r="I362" s="54">
        <f t="array" ref="I362">migration!I107</f>
        <v/>
      </c>
      <c r="J362" s="54">
        <f t="array" ref="J362">migration!J107</f>
        <v/>
      </c>
      <c r="K362" s="54">
        <f t="array" ref="K362">migration!K107</f>
        <v/>
      </c>
      <c r="L362" s="54" t="n"/>
    </row>
    <row r="363" ht="20.1" customHeight="1" s="206">
      <c r="A363" s="156">
        <f t="array" ref="A363">migration!$A108</f>
        <v/>
      </c>
      <c r="B363" s="54" t="n"/>
      <c r="C363" s="54">
        <f t="array" ref="C363">migration!C108</f>
        <v/>
      </c>
      <c r="D363" s="54">
        <f t="array" ref="D363">migration!D108</f>
        <v/>
      </c>
      <c r="E363" s="54">
        <f t="array" ref="E363">migration!E108</f>
        <v/>
      </c>
      <c r="F363" s="54">
        <f t="array" ref="F363">migration!F108</f>
        <v/>
      </c>
      <c r="G363" s="54">
        <f t="array" ref="G363">migration!G108</f>
        <v/>
      </c>
      <c r="H363" s="54">
        <f t="array" ref="H363">migration!H108</f>
        <v/>
      </c>
      <c r="I363" s="54">
        <f t="array" ref="I363">migration!I108</f>
        <v/>
      </c>
      <c r="J363" s="54">
        <f t="array" ref="J363">migration!J108</f>
        <v/>
      </c>
      <c r="K363" s="54">
        <f t="array" ref="K363">migration!K108</f>
        <v/>
      </c>
      <c r="L363" s="54" t="n"/>
    </row>
    <row r="364" ht="20.1" customHeight="1" s="206">
      <c r="A364" s="156">
        <f t="array" ref="A364">migration!$A109</f>
        <v/>
      </c>
      <c r="B364" s="54" t="n"/>
      <c r="C364" s="54">
        <f t="array" ref="C364">migration!C109</f>
        <v/>
      </c>
      <c r="D364" s="54">
        <f t="array" ref="D364">migration!D109</f>
        <v/>
      </c>
      <c r="E364" s="54">
        <f t="array" ref="E364">migration!E109</f>
        <v/>
      </c>
      <c r="F364" s="54">
        <f t="array" ref="F364">migration!F109</f>
        <v/>
      </c>
      <c r="G364" s="54">
        <f t="array" ref="G364">migration!G109</f>
        <v/>
      </c>
      <c r="H364" s="54">
        <f t="array" ref="H364">migration!H109</f>
        <v/>
      </c>
      <c r="I364" s="54">
        <f t="array" ref="I364">migration!I109</f>
        <v/>
      </c>
      <c r="J364" s="54">
        <f t="array" ref="J364">migration!J109</f>
        <v/>
      </c>
      <c r="K364" s="54">
        <f t="array" ref="K364">migration!K109</f>
        <v/>
      </c>
      <c r="L364" s="54" t="n"/>
    </row>
    <row r="365" ht="20.1" customHeight="1" s="206">
      <c r="A365" s="156">
        <f t="array" ref="A365">migration!$A110</f>
        <v/>
      </c>
      <c r="B365" s="54" t="n"/>
      <c r="C365" s="54">
        <f t="array" ref="C365">migration!C110</f>
        <v/>
      </c>
      <c r="D365" s="54">
        <f t="array" ref="D365">migration!D110</f>
        <v/>
      </c>
      <c r="E365" s="54">
        <f t="array" ref="E365">migration!E110</f>
        <v/>
      </c>
      <c r="F365" s="54">
        <f t="array" ref="F365">migration!F110</f>
        <v/>
      </c>
      <c r="G365" s="54">
        <f t="array" ref="G365">migration!G110</f>
        <v/>
      </c>
      <c r="H365" s="54">
        <f t="array" ref="H365">migration!H110</f>
        <v/>
      </c>
      <c r="I365" s="54">
        <f t="array" ref="I365">migration!I110</f>
        <v/>
      </c>
      <c r="J365" s="54">
        <f t="array" ref="J365">migration!J110</f>
        <v/>
      </c>
      <c r="K365" s="54">
        <f t="array" ref="K365">migration!K110</f>
        <v/>
      </c>
      <c r="L365" s="54" t="n"/>
    </row>
    <row r="366" ht="20.1" customHeight="1" s="206">
      <c r="A366" s="161">
        <f t="array" ref="A366">migration!$A111</f>
        <v/>
      </c>
      <c r="B366" s="116" t="n"/>
      <c r="C366" s="116">
        <f t="array" ref="C366">migration!C111</f>
        <v/>
      </c>
      <c r="D366" s="54">
        <f t="array" ref="D366">migration!D111</f>
        <v/>
      </c>
      <c r="E366" s="54">
        <f t="array" ref="E366">migration!E111</f>
        <v/>
      </c>
      <c r="F366" s="54">
        <f t="array" ref="F366">migration!F111</f>
        <v/>
      </c>
      <c r="G366" s="54">
        <f t="array" ref="G366">migration!G111</f>
        <v/>
      </c>
      <c r="H366" s="54">
        <f t="array" ref="H366">migration!H111</f>
        <v/>
      </c>
      <c r="I366" s="54">
        <f t="array" ref="I366">migration!I111</f>
        <v/>
      </c>
      <c r="J366" s="54">
        <f t="array" ref="J366">migration!J111</f>
        <v/>
      </c>
      <c r="K366" s="54">
        <f t="array" ref="K366">migration!K111</f>
        <v/>
      </c>
      <c r="L366" s="54" t="n"/>
    </row>
    <row r="367" ht="92.09999999999999" customHeight="1" s="206">
      <c r="A367" s="162">
        <f t="array" ref="A367">migration!$A113</f>
        <v/>
      </c>
      <c r="B367" s="163" t="n"/>
      <c r="C367" s="143">
        <f t="array" ref="C367">migration!C113</f>
        <v/>
      </c>
      <c r="D367" s="168" t="n"/>
      <c r="E367" s="169" t="n"/>
      <c r="F367" s="169" t="n"/>
      <c r="G367" s="169" t="n"/>
      <c r="H367" s="169" t="n"/>
      <c r="I367" s="169" t="n"/>
      <c r="J367" s="169" t="n"/>
      <c r="K367" s="169" t="n"/>
      <c r="L367" s="169" t="n"/>
    </row>
    <row r="368" ht="20.1" customHeight="1" s="206">
      <c r="A368" s="170" t="n"/>
      <c r="B368" s="171" t="n"/>
      <c r="C368" s="171" t="n"/>
      <c r="D368" s="169" t="n"/>
      <c r="E368" s="169" t="n"/>
      <c r="F368" s="169" t="n"/>
      <c r="G368" s="169" t="n"/>
      <c r="H368" s="169" t="n"/>
      <c r="I368" s="169" t="n"/>
      <c r="J368" s="169" t="n"/>
      <c r="K368" s="169" t="n"/>
      <c r="L368" s="169" t="n"/>
    </row>
  </sheetData>
  <mergeCells count="7">
    <mergeCell ref="C160:K160"/>
    <mergeCell ref="C5:K5"/>
    <mergeCell ref="A1:L1"/>
    <mergeCell ref="C264:K264"/>
    <mergeCell ref="C13:K13"/>
    <mergeCell ref="C118:K118"/>
    <mergeCell ref="C4:K4"/>
  </mergeCells>
  <pageMargins left="1" right="1" top="1" bottom="1" header="0.25" footer="0.25"/>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2026-05-20T09:08:13Z</dcterms:created>
  <dcterms:modified xmlns:dcterms="http://purl.org/dc/terms/" xmlns:xsi="http://www.w3.org/2001/XMLSchema-instance" xsi:type="dcterms:W3CDTF">2026-05-25T15:03:02Z</dcterms:modified>
  <cp:lastModifiedBy>King Dom</cp:lastModifiedBy>
</cp:coreProperties>
</file>