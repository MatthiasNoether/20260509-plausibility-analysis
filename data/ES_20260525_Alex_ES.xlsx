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ES</t>
        </is>
      </c>
      <c r="D11" s="177" t="n"/>
      <c r="E11" s="177" t="n"/>
      <c r="F11" s="177" t="n"/>
      <c r="G11" s="177" t="n"/>
      <c r="H11" s="177" t="n"/>
      <c r="I11" s="177" t="n"/>
      <c r="J11" s="177" t="n"/>
      <c r="K11" s="177" t="n"/>
      <c r="L11" s="13" t="n"/>
    </row>
    <row r="12" ht="20.1" customHeight="1" s="206">
      <c r="A12" s="2" t="inlineStr">
        <is>
          <t>nn</t>
        </is>
      </c>
      <c r="B12" s="23" t="inlineStr">
        <is>
          <t>Name</t>
        </is>
      </c>
      <c r="C12" s="176" t="inlineStr">
        <is>
          <t>Spain</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17:02</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In Spain, a person is classified as having a migration background if they were either born abroad themselves (1st generation / M1) or were born in Spain, but at least one parent was born abroad (2nd generation / M2).
For the 2025/2026 model, the INE uses the category 'Nacidos en el extranjero' (born abroad) as the main indicator of migration, since naturalization rates in Spain (especially for Latin Americans) are very high and citizenship alone would distort the demographic reality.</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https://ine.es/metodologia/t20/t2030277.pdf; downloaded 2026-04-10</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83.99353346198831</v>
      </c>
      <c r="D60" s="40" t="n">
        <v>87</v>
      </c>
      <c r="E60" s="40" t="n">
        <v>81</v>
      </c>
      <c r="F60" s="40" t="n">
        <v>82</v>
      </c>
      <c r="G60" s="40" t="n">
        <v>85</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https://www.ine.es/dynt3/inebase/index.htm?padre=1153&amp;capsel=1153; downloaded 2026-04-10</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342453.6</v>
      </c>
      <c r="D9" s="56" t="n">
        <v>141876.4</v>
      </c>
      <c r="E9" s="56" t="n">
        <v>149906.4</v>
      </c>
      <c r="F9" s="56" t="n">
        <v>24683.2</v>
      </c>
      <c r="G9" s="56" t="n">
        <v>25987.6</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342453.6</v>
      </c>
      <c r="D10" s="56" t="n">
        <v>141876.4</v>
      </c>
      <c r="E10" s="56" t="n">
        <v>149906.4</v>
      </c>
      <c r="F10" s="56" t="n">
        <v>24683.2</v>
      </c>
      <c r="G10" s="56" t="n">
        <v>25987.6</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342453.6</v>
      </c>
      <c r="D11" s="56" t="n">
        <v>141876.4</v>
      </c>
      <c r="E11" s="56" t="n">
        <v>149906.4</v>
      </c>
      <c r="F11" s="56" t="n">
        <v>24683.2</v>
      </c>
      <c r="G11" s="56" t="n">
        <v>25987.6</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342453.6</v>
      </c>
      <c r="D12" s="56" t="n">
        <v>141876.4</v>
      </c>
      <c r="E12" s="56" t="n">
        <v>149906.4</v>
      </c>
      <c r="F12" s="56" t="n">
        <v>24683.2</v>
      </c>
      <c r="G12" s="56" t="n">
        <v>25987.6</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342453.6</v>
      </c>
      <c r="D13" s="56" t="n">
        <v>141876.4</v>
      </c>
      <c r="E13" s="56" t="n">
        <v>149906.4</v>
      </c>
      <c r="F13" s="56" t="n">
        <v>24683.2</v>
      </c>
      <c r="G13" s="56" t="n">
        <v>25987.6</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429774.6</v>
      </c>
      <c r="D14" s="56" t="n">
        <v>178867.4</v>
      </c>
      <c r="E14" s="56" t="n">
        <v>189159.4</v>
      </c>
      <c r="F14" s="56" t="n">
        <v>30138</v>
      </c>
      <c r="G14" s="56" t="n">
        <v>31609.8</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429774.6</v>
      </c>
      <c r="D15" s="56" t="n">
        <v>178867.4</v>
      </c>
      <c r="E15" s="56" t="n">
        <v>189159.4</v>
      </c>
      <c r="F15" s="56" t="n">
        <v>30138</v>
      </c>
      <c r="G15" s="56" t="n">
        <v>31609.8</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429774.6</v>
      </c>
      <c r="D16" s="56" t="n">
        <v>178867.4</v>
      </c>
      <c r="E16" s="56" t="n">
        <v>189159.4</v>
      </c>
      <c r="F16" s="56" t="n">
        <v>30138</v>
      </c>
      <c r="G16" s="56" t="n">
        <v>31609.8</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429774.6</v>
      </c>
      <c r="D17" s="56" t="n">
        <v>178867.4</v>
      </c>
      <c r="E17" s="56" t="n">
        <v>189159.4</v>
      </c>
      <c r="F17" s="56" t="n">
        <v>30138</v>
      </c>
      <c r="G17" s="56" t="n">
        <v>31609.8</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429774.6</v>
      </c>
      <c r="D18" s="56" t="n">
        <v>178867.4</v>
      </c>
      <c r="E18" s="56" t="n">
        <v>189159.4</v>
      </c>
      <c r="F18" s="56" t="n">
        <v>30138</v>
      </c>
      <c r="G18" s="56" t="n">
        <v>31609.8</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496584.4</v>
      </c>
      <c r="D19" s="56" t="n">
        <v>207899.2</v>
      </c>
      <c r="E19" s="56" t="n">
        <v>220354</v>
      </c>
      <c r="F19" s="56" t="n">
        <v>32971.6</v>
      </c>
      <c r="G19" s="56" t="n">
        <v>35359.6</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496584.4</v>
      </c>
      <c r="D20" s="56" t="n">
        <v>207899.2</v>
      </c>
      <c r="E20" s="56" t="n">
        <v>220354</v>
      </c>
      <c r="F20" s="56" t="n">
        <v>32971.6</v>
      </c>
      <c r="G20" s="56" t="n">
        <v>35359.6</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496584.4</v>
      </c>
      <c r="D21" s="56" t="n">
        <v>207899.2</v>
      </c>
      <c r="E21" s="56" t="n">
        <v>220354</v>
      </c>
      <c r="F21" s="56" t="n">
        <v>32971.6</v>
      </c>
      <c r="G21" s="56" t="n">
        <v>35359.6</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496584.4</v>
      </c>
      <c r="D22" s="56" t="n">
        <v>207899.2</v>
      </c>
      <c r="E22" s="56" t="n">
        <v>220354</v>
      </c>
      <c r="F22" s="56" t="n">
        <v>32971.6</v>
      </c>
      <c r="G22" s="56" t="n">
        <v>35359.6</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496584.4</v>
      </c>
      <c r="D23" s="56" t="n">
        <v>207899.2</v>
      </c>
      <c r="E23" s="56" t="n">
        <v>220354</v>
      </c>
      <c r="F23" s="56" t="n">
        <v>32971.6</v>
      </c>
      <c r="G23" s="56" t="n">
        <v>35359.6</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539453.2</v>
      </c>
      <c r="D24" s="56" t="n">
        <v>228321.2</v>
      </c>
      <c r="E24" s="56" t="n">
        <v>241914.4</v>
      </c>
      <c r="F24" s="56" t="n">
        <v>31860.8</v>
      </c>
      <c r="G24" s="56" t="n">
        <v>37356.8</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539453.2</v>
      </c>
      <c r="D25" s="56" t="n">
        <v>228321.2</v>
      </c>
      <c r="E25" s="56" t="n">
        <v>241914.4</v>
      </c>
      <c r="F25" s="56" t="n">
        <v>31860.8</v>
      </c>
      <c r="G25" s="56" t="n">
        <v>37356.8</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539453.2</v>
      </c>
      <c r="D26" s="56" t="n">
        <v>228321.2</v>
      </c>
      <c r="E26" s="56" t="n">
        <v>241914.4</v>
      </c>
      <c r="F26" s="56" t="n">
        <v>31860.8</v>
      </c>
      <c r="G26" s="56" t="n">
        <v>37356.8</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539453.2</v>
      </c>
      <c r="D27" s="56" t="n">
        <v>228321.2</v>
      </c>
      <c r="E27" s="56" t="n">
        <v>241914.4</v>
      </c>
      <c r="F27" s="56" t="n">
        <v>31860.8</v>
      </c>
      <c r="G27" s="56" t="n">
        <v>37356.8</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539453.2</v>
      </c>
      <c r="D28" s="56" t="n">
        <v>228321.2</v>
      </c>
      <c r="E28" s="56" t="n">
        <v>241914.4</v>
      </c>
      <c r="F28" s="56" t="n">
        <v>31860.8</v>
      </c>
      <c r="G28" s="56" t="n">
        <v>37356.8</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538726.2</v>
      </c>
      <c r="D29" s="56" t="n">
        <v>215106.8</v>
      </c>
      <c r="E29" s="56" t="n">
        <v>225842.8</v>
      </c>
      <c r="F29" s="56" t="n">
        <v>45463.4</v>
      </c>
      <c r="G29" s="56" t="n">
        <v>52313.2</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538726.2</v>
      </c>
      <c r="D30" s="56" t="n">
        <v>215106.8</v>
      </c>
      <c r="E30" s="56" t="n">
        <v>225842.8</v>
      </c>
      <c r="F30" s="56" t="n">
        <v>45463.4</v>
      </c>
      <c r="G30" s="56" t="n">
        <v>52313.2</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538726.2</v>
      </c>
      <c r="D31" s="56" t="n">
        <v>215106.8</v>
      </c>
      <c r="E31" s="56" t="n">
        <v>225842.8</v>
      </c>
      <c r="F31" s="56" t="n">
        <v>45463.4</v>
      </c>
      <c r="G31" s="56" t="n">
        <v>52313.2</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538726.2</v>
      </c>
      <c r="D32" s="56" t="n">
        <v>215106.8</v>
      </c>
      <c r="E32" s="56" t="n">
        <v>225842.8</v>
      </c>
      <c r="F32" s="56" t="n">
        <v>45463.4</v>
      </c>
      <c r="G32" s="56" t="n">
        <v>52313.2</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538726.2</v>
      </c>
      <c r="D33" s="56" t="n">
        <v>215106.8</v>
      </c>
      <c r="E33" s="56" t="n">
        <v>225842.8</v>
      </c>
      <c r="F33" s="56" t="n">
        <v>45463.4</v>
      </c>
      <c r="G33" s="56" t="n">
        <v>52313.2</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539594.2</v>
      </c>
      <c r="D34" s="56" t="n">
        <v>198846.8</v>
      </c>
      <c r="E34" s="56" t="n">
        <v>207244.2</v>
      </c>
      <c r="F34" s="56" t="n">
        <v>64339.4</v>
      </c>
      <c r="G34" s="56" t="n">
        <v>69163.8</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539594.2</v>
      </c>
      <c r="D35" s="56" t="n">
        <v>198846.8</v>
      </c>
      <c r="E35" s="56" t="n">
        <v>207244.2</v>
      </c>
      <c r="F35" s="56" t="n">
        <v>64339.4</v>
      </c>
      <c r="G35" s="56" t="n">
        <v>69163.8</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539594.2</v>
      </c>
      <c r="D36" s="56" t="n">
        <v>198846.8</v>
      </c>
      <c r="E36" s="56" t="n">
        <v>207244.2</v>
      </c>
      <c r="F36" s="56" t="n">
        <v>64339.4</v>
      </c>
      <c r="G36" s="56" t="n">
        <v>69163.8</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539594.2</v>
      </c>
      <c r="D37" s="56" t="n">
        <v>198846.8</v>
      </c>
      <c r="E37" s="56" t="n">
        <v>207244.2</v>
      </c>
      <c r="F37" s="56" t="n">
        <v>64339.4</v>
      </c>
      <c r="G37" s="56" t="n">
        <v>69163.8</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539594.2</v>
      </c>
      <c r="D38" s="56" t="n">
        <v>198846.8</v>
      </c>
      <c r="E38" s="56" t="n">
        <v>207244.2</v>
      </c>
      <c r="F38" s="56" t="n">
        <v>64339.4</v>
      </c>
      <c r="G38" s="56" t="n">
        <v>69163.8</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574737.2</v>
      </c>
      <c r="D39" s="56" t="n">
        <v>209602.6</v>
      </c>
      <c r="E39" s="56" t="n">
        <v>215857.6</v>
      </c>
      <c r="F39" s="56" t="n">
        <v>73432.2</v>
      </c>
      <c r="G39" s="56" t="n">
        <v>75844.8</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574737.2</v>
      </c>
      <c r="D40" s="56" t="n">
        <v>209602.6</v>
      </c>
      <c r="E40" s="56" t="n">
        <v>215857.6</v>
      </c>
      <c r="F40" s="56" t="n">
        <v>73432.2</v>
      </c>
      <c r="G40" s="56" t="n">
        <v>75844.8</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574737.2</v>
      </c>
      <c r="D41" s="56" t="n">
        <v>209602.6</v>
      </c>
      <c r="E41" s="56" t="n">
        <v>215857.6</v>
      </c>
      <c r="F41" s="56" t="n">
        <v>73432.2</v>
      </c>
      <c r="G41" s="56" t="n">
        <v>75844.8</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574737.2</v>
      </c>
      <c r="D42" s="56" t="n">
        <v>209602.6</v>
      </c>
      <c r="E42" s="56" t="n">
        <v>215857.6</v>
      </c>
      <c r="F42" s="56" t="n">
        <v>73432.2</v>
      </c>
      <c r="G42" s="56" t="n">
        <v>75844.8</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574737.2</v>
      </c>
      <c r="D43" s="56" t="n">
        <v>209602.6</v>
      </c>
      <c r="E43" s="56" t="n">
        <v>215857.6</v>
      </c>
      <c r="F43" s="56" t="n">
        <v>73432.2</v>
      </c>
      <c r="G43" s="56" t="n">
        <v>75844.8</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612428.4</v>
      </c>
      <c r="D44" s="56" t="n">
        <v>230196</v>
      </c>
      <c r="E44" s="56" t="n">
        <v>232597.6</v>
      </c>
      <c r="F44" s="56" t="n">
        <v>75673.8</v>
      </c>
      <c r="G44" s="56" t="n">
        <v>73961</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612428.4</v>
      </c>
      <c r="D45" s="56" t="n">
        <v>230196</v>
      </c>
      <c r="E45" s="56" t="n">
        <v>232597.6</v>
      </c>
      <c r="F45" s="56" t="n">
        <v>75673.8</v>
      </c>
      <c r="G45" s="56" t="n">
        <v>73961</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612428.4</v>
      </c>
      <c r="D46" s="56" t="n">
        <v>230196</v>
      </c>
      <c r="E46" s="56" t="n">
        <v>232597.6</v>
      </c>
      <c r="F46" s="56" t="n">
        <v>75673.8</v>
      </c>
      <c r="G46" s="56" t="n">
        <v>73961</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612428.4</v>
      </c>
      <c r="D47" s="56" t="n">
        <v>230196</v>
      </c>
      <c r="E47" s="56" t="n">
        <v>232597.6</v>
      </c>
      <c r="F47" s="56" t="n">
        <v>75673.8</v>
      </c>
      <c r="G47" s="56" t="n">
        <v>73961</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612428.4</v>
      </c>
      <c r="D48" s="56" t="n">
        <v>230196</v>
      </c>
      <c r="E48" s="56" t="n">
        <v>232597.6</v>
      </c>
      <c r="F48" s="56" t="n">
        <v>75673.8</v>
      </c>
      <c r="G48" s="56" t="n">
        <v>73961</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709376.2</v>
      </c>
      <c r="D49" s="56" t="n">
        <v>283683.6</v>
      </c>
      <c r="E49" s="56" t="n">
        <v>283164.8</v>
      </c>
      <c r="F49" s="56" t="n">
        <v>71496.39999999999</v>
      </c>
      <c r="G49" s="56" t="n">
        <v>71031.39999999999</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709376.2</v>
      </c>
      <c r="D50" s="56" t="n">
        <v>283683.6</v>
      </c>
      <c r="E50" s="56" t="n">
        <v>283164.8</v>
      </c>
      <c r="F50" s="56" t="n">
        <v>71496.39999999999</v>
      </c>
      <c r="G50" s="56" t="n">
        <v>71031.39999999999</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709376.2</v>
      </c>
      <c r="D51" s="56" t="n">
        <v>283683.6</v>
      </c>
      <c r="E51" s="56" t="n">
        <v>283164.8</v>
      </c>
      <c r="F51" s="56" t="n">
        <v>71496.39999999999</v>
      </c>
      <c r="G51" s="56" t="n">
        <v>71031.39999999999</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709376.2</v>
      </c>
      <c r="D52" s="56" t="n">
        <v>283683.6</v>
      </c>
      <c r="E52" s="56" t="n">
        <v>283164.8</v>
      </c>
      <c r="F52" s="56" t="n">
        <v>71496.39999999999</v>
      </c>
      <c r="G52" s="56" t="n">
        <v>71031.39999999999</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709376.2</v>
      </c>
      <c r="D53" s="56" t="n">
        <v>283683.6</v>
      </c>
      <c r="E53" s="56" t="n">
        <v>283164.8</v>
      </c>
      <c r="F53" s="56" t="n">
        <v>71496.39999999999</v>
      </c>
      <c r="G53" s="56" t="n">
        <v>71031.39999999999</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817457</v>
      </c>
      <c r="D54" s="56" t="n">
        <v>345828</v>
      </c>
      <c r="E54" s="56" t="n">
        <v>347298.8</v>
      </c>
      <c r="F54" s="56" t="n">
        <v>60666.8</v>
      </c>
      <c r="G54" s="56" t="n">
        <v>63663.4</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817457</v>
      </c>
      <c r="D55" s="56" t="n">
        <v>345828</v>
      </c>
      <c r="E55" s="56" t="n">
        <v>347298.8</v>
      </c>
      <c r="F55" s="56" t="n">
        <v>60666.8</v>
      </c>
      <c r="G55" s="56" t="n">
        <v>63663.4</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817457</v>
      </c>
      <c r="D56" s="56" t="n">
        <v>345828</v>
      </c>
      <c r="E56" s="56" t="n">
        <v>347298.8</v>
      </c>
      <c r="F56" s="56" t="n">
        <v>60666.8</v>
      </c>
      <c r="G56" s="56" t="n">
        <v>63663.4</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817457</v>
      </c>
      <c r="D57" s="56" t="n">
        <v>345828</v>
      </c>
      <c r="E57" s="56" t="n">
        <v>347298.8</v>
      </c>
      <c r="F57" s="56" t="n">
        <v>60666.8</v>
      </c>
      <c r="G57" s="56" t="n">
        <v>63663.4</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817457</v>
      </c>
      <c r="D58" s="56" t="n">
        <v>345828</v>
      </c>
      <c r="E58" s="56" t="n">
        <v>347298.8</v>
      </c>
      <c r="F58" s="56" t="n">
        <v>60666.8</v>
      </c>
      <c r="G58" s="56" t="n">
        <v>63663.4</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788796.2</v>
      </c>
      <c r="D59" s="56" t="n">
        <v>346201.4</v>
      </c>
      <c r="E59" s="56" t="n">
        <v>345540.4</v>
      </c>
      <c r="F59" s="56" t="n">
        <v>47792.2</v>
      </c>
      <c r="G59" s="56" t="n">
        <v>49262.2</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788796.2</v>
      </c>
      <c r="D60" s="56" t="n">
        <v>346201.4</v>
      </c>
      <c r="E60" s="56" t="n">
        <v>345540.4</v>
      </c>
      <c r="F60" s="56" t="n">
        <v>47792.2</v>
      </c>
      <c r="G60" s="56" t="n">
        <v>49262.2</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788796.2</v>
      </c>
      <c r="D61" s="56" t="n">
        <v>346201.4</v>
      </c>
      <c r="E61" s="56" t="n">
        <v>345540.4</v>
      </c>
      <c r="F61" s="56" t="n">
        <v>47792.2</v>
      </c>
      <c r="G61" s="56" t="n">
        <v>49262.2</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788796.2</v>
      </c>
      <c r="D62" s="56" t="n">
        <v>346201.4</v>
      </c>
      <c r="E62" s="56" t="n">
        <v>345540.4</v>
      </c>
      <c r="F62" s="56" t="n">
        <v>47792.2</v>
      </c>
      <c r="G62" s="56" t="n">
        <v>49262.2</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788796.2</v>
      </c>
      <c r="D63" s="56" t="n">
        <v>346201.4</v>
      </c>
      <c r="E63" s="56" t="n">
        <v>345540.4</v>
      </c>
      <c r="F63" s="56" t="n">
        <v>47792.2</v>
      </c>
      <c r="G63" s="56" t="n">
        <v>49262.2</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734789.8</v>
      </c>
      <c r="D64" s="56" t="n">
        <v>334927</v>
      </c>
      <c r="E64" s="56" t="n">
        <v>325672</v>
      </c>
      <c r="F64" s="56" t="n">
        <v>37651.8</v>
      </c>
      <c r="G64" s="56" t="n">
        <v>36539</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734789.8</v>
      </c>
      <c r="D65" s="56" t="n">
        <v>334927</v>
      </c>
      <c r="E65" s="56" t="n">
        <v>325672</v>
      </c>
      <c r="F65" s="56" t="n">
        <v>37651.8</v>
      </c>
      <c r="G65" s="56" t="n">
        <v>36539</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734789.8</v>
      </c>
      <c r="D66" s="56" t="n">
        <v>334927</v>
      </c>
      <c r="E66" s="56" t="n">
        <v>325672</v>
      </c>
      <c r="F66" s="56" t="n">
        <v>37651.8</v>
      </c>
      <c r="G66" s="56" t="n">
        <v>36539</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734789.8</v>
      </c>
      <c r="D67" s="56" t="n">
        <v>334927</v>
      </c>
      <c r="E67" s="56" t="n">
        <v>325672</v>
      </c>
      <c r="F67" s="56" t="n">
        <v>37651.8</v>
      </c>
      <c r="G67" s="56" t="n">
        <v>36539</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734789.8</v>
      </c>
      <c r="D68" s="56" t="n">
        <v>334927</v>
      </c>
      <c r="E68" s="56" t="n">
        <v>325672</v>
      </c>
      <c r="F68" s="56" t="n">
        <v>37651.8</v>
      </c>
      <c r="G68" s="56" t="n">
        <v>36539</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665763.4</v>
      </c>
      <c r="D69" s="56" t="n">
        <v>314384</v>
      </c>
      <c r="E69" s="56" t="n">
        <v>296852</v>
      </c>
      <c r="F69" s="56" t="n">
        <v>28543.6</v>
      </c>
      <c r="G69" s="56" t="n">
        <v>25983.8</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665763.4</v>
      </c>
      <c r="D70" s="56" t="n">
        <v>314384</v>
      </c>
      <c r="E70" s="56" t="n">
        <v>296852</v>
      </c>
      <c r="F70" s="56" t="n">
        <v>28543.6</v>
      </c>
      <c r="G70" s="56" t="n">
        <v>25983.8</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665763.4</v>
      </c>
      <c r="D71" s="56" t="n">
        <v>314384</v>
      </c>
      <c r="E71" s="56" t="n">
        <v>296852</v>
      </c>
      <c r="F71" s="56" t="n">
        <v>28543.6</v>
      </c>
      <c r="G71" s="56" t="n">
        <v>25983.8</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665763.4</v>
      </c>
      <c r="D72" s="56" t="n">
        <v>314384</v>
      </c>
      <c r="E72" s="56" t="n">
        <v>296852</v>
      </c>
      <c r="F72" s="56" t="n">
        <v>28543.6</v>
      </c>
      <c r="G72" s="56" t="n">
        <v>25983.8</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665763.4</v>
      </c>
      <c r="D73" s="56" t="n">
        <v>314384</v>
      </c>
      <c r="E73" s="56" t="n">
        <v>296852</v>
      </c>
      <c r="F73" s="56" t="n">
        <v>28543.6</v>
      </c>
      <c r="G73" s="56" t="n">
        <v>25983.8</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567817.4</v>
      </c>
      <c r="D74" s="56" t="n">
        <v>275489.2</v>
      </c>
      <c r="E74" s="56" t="n">
        <v>250954.2</v>
      </c>
      <c r="F74" s="56" t="n">
        <v>22326</v>
      </c>
      <c r="G74" s="56" t="n">
        <v>19048</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567817.4</v>
      </c>
      <c r="D75" s="56" t="n">
        <v>275489.2</v>
      </c>
      <c r="E75" s="56" t="n">
        <v>250954.2</v>
      </c>
      <c r="F75" s="56" t="n">
        <v>22326</v>
      </c>
      <c r="G75" s="56" t="n">
        <v>19048</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567817.4</v>
      </c>
      <c r="D76" s="56" t="n">
        <v>275489.2</v>
      </c>
      <c r="E76" s="56" t="n">
        <v>250954.2</v>
      </c>
      <c r="F76" s="56" t="n">
        <v>22326</v>
      </c>
      <c r="G76" s="56" t="n">
        <v>19048</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567817.4</v>
      </c>
      <c r="D77" s="56" t="n">
        <v>275489.2</v>
      </c>
      <c r="E77" s="56" t="n">
        <v>250954.2</v>
      </c>
      <c r="F77" s="56" t="n">
        <v>22326</v>
      </c>
      <c r="G77" s="56" t="n">
        <v>19048</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567817.4</v>
      </c>
      <c r="D78" s="56" t="n">
        <v>275489.2</v>
      </c>
      <c r="E78" s="56" t="n">
        <v>250954.2</v>
      </c>
      <c r="F78" s="56" t="n">
        <v>22326</v>
      </c>
      <c r="G78" s="56" t="n">
        <v>19048</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460118.2</v>
      </c>
      <c r="D79" s="56" t="n">
        <v>230677.4</v>
      </c>
      <c r="E79" s="56" t="n">
        <v>199638.4</v>
      </c>
      <c r="F79" s="56" t="n">
        <v>16299.6</v>
      </c>
      <c r="G79" s="56" t="n">
        <v>13502.8</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460118.2</v>
      </c>
      <c r="D80" s="56" t="n">
        <v>230677.4</v>
      </c>
      <c r="E80" s="56" t="n">
        <v>199638.4</v>
      </c>
      <c r="F80" s="56" t="n">
        <v>16299.6</v>
      </c>
      <c r="G80" s="56" t="n">
        <v>13502.8</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460118.2</v>
      </c>
      <c r="D81" s="56" t="n">
        <v>230677.4</v>
      </c>
      <c r="E81" s="56" t="n">
        <v>199638.4</v>
      </c>
      <c r="F81" s="56" t="n">
        <v>16299.6</v>
      </c>
      <c r="G81" s="56" t="n">
        <v>13502.8</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460118.2</v>
      </c>
      <c r="D82" s="56" t="n">
        <v>230677.4</v>
      </c>
      <c r="E82" s="56" t="n">
        <v>199638.4</v>
      </c>
      <c r="F82" s="56" t="n">
        <v>16299.6</v>
      </c>
      <c r="G82" s="56" t="n">
        <v>13502.8</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460118.2</v>
      </c>
      <c r="D83" s="56" t="n">
        <v>230677.4</v>
      </c>
      <c r="E83" s="56" t="n">
        <v>199638.4</v>
      </c>
      <c r="F83" s="56" t="n">
        <v>16299.6</v>
      </c>
      <c r="G83" s="56" t="n">
        <v>13502.8</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401588.8</v>
      </c>
      <c r="D84" s="56" t="n">
        <v>212780</v>
      </c>
      <c r="E84" s="56" t="n">
        <v>168691</v>
      </c>
      <c r="F84" s="56" t="n">
        <v>11008.4</v>
      </c>
      <c r="G84" s="56" t="n">
        <v>9109.4</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401588.8</v>
      </c>
      <c r="D85" s="56" t="n">
        <v>212780</v>
      </c>
      <c r="E85" s="56" t="n">
        <v>168691</v>
      </c>
      <c r="F85" s="56" t="n">
        <v>11008.4</v>
      </c>
      <c r="G85" s="56" t="n">
        <v>9109.4</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401588.8</v>
      </c>
      <c r="D86" s="56" t="n">
        <v>212780</v>
      </c>
      <c r="E86" s="56" t="n">
        <v>168691</v>
      </c>
      <c r="F86" s="56" t="n">
        <v>11008.4</v>
      </c>
      <c r="G86" s="56" t="n">
        <v>9109.4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401588.8</v>
      </c>
      <c r="D87" s="56" t="n">
        <v>212780</v>
      </c>
      <c r="E87" s="56" t="n">
        <v>168691</v>
      </c>
      <c r="F87" s="56" t="n">
        <v>11008.4</v>
      </c>
      <c r="G87" s="56" t="n">
        <v>9109.4</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401588.8</v>
      </c>
      <c r="D88" s="56" t="n">
        <v>212780</v>
      </c>
      <c r="E88" s="56" t="n">
        <v>168691</v>
      </c>
      <c r="F88" s="56" t="n">
        <v>11008.4</v>
      </c>
      <c r="G88" s="56" t="n">
        <v>9109.4</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292830.6</v>
      </c>
      <c r="D89" s="56" t="n">
        <v>164813.8</v>
      </c>
      <c r="E89" s="56" t="n">
        <v>116753.4</v>
      </c>
      <c r="F89" s="56" t="n">
        <v>6159.8</v>
      </c>
      <c r="G89" s="56" t="n">
        <v>5103.6</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292830.6</v>
      </c>
      <c r="D90" s="56" t="n">
        <v>164813.8</v>
      </c>
      <c r="E90" s="56" t="n">
        <v>116753.4</v>
      </c>
      <c r="F90" s="56" t="n">
        <v>6159.8</v>
      </c>
      <c r="G90" s="56" t="n">
        <v>5103.6</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292830.6</v>
      </c>
      <c r="D91" s="56" t="n">
        <v>164813.8</v>
      </c>
      <c r="E91" s="56" t="n">
        <v>116753.4</v>
      </c>
      <c r="F91" s="56" t="n">
        <v>6159.8</v>
      </c>
      <c r="G91" s="56" t="n">
        <v>5103.6</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292830.6</v>
      </c>
      <c r="D92" s="56" t="n">
        <v>164813.8</v>
      </c>
      <c r="E92" s="56" t="n">
        <v>116753.4</v>
      </c>
      <c r="F92" s="56" t="n">
        <v>6159.8</v>
      </c>
      <c r="G92" s="56" t="n">
        <v>5103.6</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292830.6</v>
      </c>
      <c r="D93" s="56" t="n">
        <v>164813.8</v>
      </c>
      <c r="E93" s="56" t="n">
        <v>116753.4</v>
      </c>
      <c r="F93" s="56" t="n">
        <v>6159.8</v>
      </c>
      <c r="G93" s="56" t="n">
        <v>5103.6</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179247.6</v>
      </c>
      <c r="D94" s="56" t="n">
        <v>110668.4</v>
      </c>
      <c r="E94" s="56" t="n">
        <v>63510</v>
      </c>
      <c r="F94" s="56" t="n">
        <v>2864.8</v>
      </c>
      <c r="G94" s="56" t="n">
        <v>2204.4</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179247.6</v>
      </c>
      <c r="D95" s="56" t="n">
        <v>110668.4</v>
      </c>
      <c r="E95" s="56" t="n">
        <v>63510</v>
      </c>
      <c r="F95" s="56" t="n">
        <v>2864.8</v>
      </c>
      <c r="G95" s="56" t="n">
        <v>2204.4</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179247.6</v>
      </c>
      <c r="D96" s="56" t="n">
        <v>110668.4</v>
      </c>
      <c r="E96" s="56" t="n">
        <v>63510</v>
      </c>
      <c r="F96" s="56" t="n">
        <v>2864.8</v>
      </c>
      <c r="G96" s="56" t="n">
        <v>2204.4</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179247.6</v>
      </c>
      <c r="D97" s="56" t="n">
        <v>110668.4</v>
      </c>
      <c r="E97" s="56" t="n">
        <v>63510</v>
      </c>
      <c r="F97" s="56" t="n">
        <v>2864.8</v>
      </c>
      <c r="G97" s="56" t="n">
        <v>2204.4</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179247.6</v>
      </c>
      <c r="D98" s="56" t="n">
        <v>110668.4</v>
      </c>
      <c r="E98" s="56" t="n">
        <v>63510</v>
      </c>
      <c r="F98" s="56" t="n">
        <v>2864.8</v>
      </c>
      <c r="G98" s="56" t="n">
        <v>2204.4</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109736.509090909</v>
      </c>
      <c r="D99" s="56" t="n">
        <v>75917.94545454549</v>
      </c>
      <c r="E99" s="56" t="n">
        <v>32200.3636363636</v>
      </c>
      <c r="F99" s="56" t="n">
        <v>1027.63636363636</v>
      </c>
      <c r="G99" s="56" t="n">
        <v>590.563636363636</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97543.5636363637</v>
      </c>
      <c r="D100" s="56" t="n">
        <v>67482.61818181819</v>
      </c>
      <c r="E100" s="56" t="n">
        <v>28622.5454545455</v>
      </c>
      <c r="F100" s="56" t="n">
        <v>913.454545454545</v>
      </c>
      <c r="G100" s="56" t="n">
        <v>524.945454545455</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85350.61818181819</v>
      </c>
      <c r="D101" s="56" t="n">
        <v>59047.2909090909</v>
      </c>
      <c r="E101" s="56" t="n">
        <v>25044.7272727273</v>
      </c>
      <c r="F101" s="56" t="n">
        <v>799.272727272727</v>
      </c>
      <c r="G101" s="56" t="n">
        <v>459.327272727273</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73157.6727272727</v>
      </c>
      <c r="D102" s="56" t="n">
        <v>50611.9636363636</v>
      </c>
      <c r="E102" s="56" t="n">
        <v>21466.9090909091</v>
      </c>
      <c r="F102" s="56" t="n">
        <v>685.090909090909</v>
      </c>
      <c r="G102" s="56" t="n">
        <v>393.709090909091</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60964.7272727273</v>
      </c>
      <c r="D103" s="56" t="n">
        <v>42176.6363636364</v>
      </c>
      <c r="E103" s="56" t="n">
        <v>17889.0909090909</v>
      </c>
      <c r="F103" s="56" t="n">
        <v>570.909090909091</v>
      </c>
      <c r="G103" s="56" t="n">
        <v>328.090909090909</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121929.454545454</v>
      </c>
      <c r="D104" s="56" t="n">
        <v>84353.27272727271</v>
      </c>
      <c r="E104" s="56" t="n">
        <v>35778.1818181818</v>
      </c>
      <c r="F104" s="56" t="n">
        <v>1141.81818181818</v>
      </c>
      <c r="G104" s="56" t="n">
        <v>656.181818181818</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48771.7818181818</v>
      </c>
      <c r="D105" s="56" t="n">
        <v>33741.3090909091</v>
      </c>
      <c r="E105" s="56" t="n">
        <v>14311.2727272727</v>
      </c>
      <c r="F105" s="56" t="n">
        <v>456.727272727273</v>
      </c>
      <c r="G105" s="56" t="n">
        <v>262.472727272727</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36578.8363636363</v>
      </c>
      <c r="D106" s="56" t="n">
        <v>25305.9818181818</v>
      </c>
      <c r="E106" s="56" t="n">
        <v>10733.4545454545</v>
      </c>
      <c r="F106" s="56" t="n">
        <v>342.545454545455</v>
      </c>
      <c r="G106" s="56" t="n">
        <v>196.854545454545</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24385.8909090909</v>
      </c>
      <c r="D107" s="56" t="n">
        <v>16870.6545454545</v>
      </c>
      <c r="E107" s="56" t="n">
        <v>7155.63636363636</v>
      </c>
      <c r="F107" s="56" t="n">
        <v>228.363636363636</v>
      </c>
      <c r="G107" s="56" t="n">
        <v>131.236363636364</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12192.9454545454</v>
      </c>
      <c r="D108" s="56" t="n">
        <v>8435.327272727271</v>
      </c>
      <c r="E108" s="56" t="n">
        <v>3577.81818181818</v>
      </c>
      <c r="F108" s="56" t="n">
        <v>114.181818181818</v>
      </c>
      <c r="G108" s="56" t="n">
        <v>65.6181818181818</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49128297</v>
      </c>
      <c r="D109" s="55" t="n">
        <v>21614789</v>
      </c>
      <c r="E109" s="55" t="n">
        <v>20601537</v>
      </c>
      <c r="F109" s="55" t="n">
        <v>3423139</v>
      </c>
      <c r="G109" s="55" t="n">
        <v>3488832</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https://www.ine.es/jaxiT3/Tabla.htm?t=56936; downloaded 2026-04-09; the data is available only in 5 year batches, so we calculated the numbers per age by dividing the batches; numbers for ages over 90 geometrically distributed</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2367.97000839279</v>
      </c>
      <c r="D23" s="55" t="n">
        <v>981.035270467996</v>
      </c>
      <c r="E23" s="55" t="n">
        <v>1036.56045451452</v>
      </c>
      <c r="F23" s="55" t="n">
        <v>170.677362746839</v>
      </c>
      <c r="G23" s="55" t="n">
        <v>179.696920663437</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2849.18870338292</v>
      </c>
      <c r="D24" s="55" t="n">
        <v>1180.40118765473</v>
      </c>
      <c r="E24" s="55" t="n">
        <v>1247.21019561424</v>
      </c>
      <c r="F24" s="55" t="n">
        <v>205.362404142755</v>
      </c>
      <c r="G24" s="55" t="n">
        <v>216.214915971197</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3394.08923392631</v>
      </c>
      <c r="D25" s="55" t="n">
        <v>1406.15009387614</v>
      </c>
      <c r="E25" s="55" t="n">
        <v>1485.73616494804</v>
      </c>
      <c r="F25" s="55" t="n">
        <v>244.637473160889</v>
      </c>
      <c r="G25" s="55" t="n">
        <v>257.565501941236</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4002.96990210174</v>
      </c>
      <c r="D26" s="55" t="n">
        <v>1658.40557383116</v>
      </c>
      <c r="E26" s="55" t="n">
        <v>1752.26894193089</v>
      </c>
      <c r="F26" s="55" t="n">
        <v>288.524070669889</v>
      </c>
      <c r="G26" s="55" t="n">
        <v>303.7713156698</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4674.10451737873</v>
      </c>
      <c r="D27" s="55" t="n">
        <v>1936.45247750186</v>
      </c>
      <c r="E27" s="55" t="n">
        <v>2046.05290008335</v>
      </c>
      <c r="F27" s="55" t="n">
        <v>336.897777168535</v>
      </c>
      <c r="G27" s="55" t="n">
        <v>354.701362624985</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5403.45501529242</v>
      </c>
      <c r="D28" s="55" t="n">
        <v>2238.61785985498</v>
      </c>
      <c r="E28" s="55" t="n">
        <v>2365.32040809158</v>
      </c>
      <c r="F28" s="55" t="n">
        <v>389.467539057747</v>
      </c>
      <c r="G28" s="55" t="n">
        <v>410.049208288111</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6184.4586088347</v>
      </c>
      <c r="D29" s="55" t="n">
        <v>2562.18279898496</v>
      </c>
      <c r="E29" s="55" t="n">
        <v>2707.19865698424</v>
      </c>
      <c r="F29" s="55" t="n">
        <v>445.760327044565</v>
      </c>
      <c r="G29" s="55" t="n">
        <v>469.316825820937</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7007.91556156854</v>
      </c>
      <c r="D30" s="55" t="n">
        <v>2903.33590121208</v>
      </c>
      <c r="E30" s="55" t="n">
        <v>3067.66053368608</v>
      </c>
      <c r="F30" s="55" t="n">
        <v>505.113047108597</v>
      </c>
      <c r="G30" s="55" t="n">
        <v>531.806079561782</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7862.00036530002</v>
      </c>
      <c r="D31" s="55" t="n">
        <v>3257.17793192261</v>
      </c>
      <c r="E31" s="55" t="n">
        <v>3441.52951395696</v>
      </c>
      <c r="F31" s="55" t="n">
        <v>566.6733461606869</v>
      </c>
      <c r="G31" s="55" t="n">
        <v>596.619573259766</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8732.41335377738</v>
      </c>
      <c r="D32" s="55" t="n">
        <v>3617.7846281828</v>
      </c>
      <c r="E32" s="55" t="n">
        <v>3822.54603010946</v>
      </c>
      <c r="F32" s="55" t="n">
        <v>629.410539979599</v>
      </c>
      <c r="G32" s="55" t="n">
        <v>662.672155505519</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9602.68176944544</v>
      </c>
      <c r="D33" s="55" t="n">
        <v>3978.33142882583</v>
      </c>
      <c r="E33" s="55" t="n">
        <v>4203.49926063909</v>
      </c>
      <c r="F33" s="55" t="n">
        <v>692.1373133515769</v>
      </c>
      <c r="G33" s="55" t="n">
        <v>728.71376662894</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10454.6094689612</v>
      </c>
      <c r="D34" s="55" t="n">
        <v>4331.27978465439</v>
      </c>
      <c r="E34" s="55" t="n">
        <v>4576.4239853162</v>
      </c>
      <c r="F34" s="55" t="n">
        <v>753.542133720486</v>
      </c>
      <c r="G34" s="55" t="n">
        <v>793.363565270083</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11268.8635001339</v>
      </c>
      <c r="D35" s="55" t="n">
        <v>4668.6201736247</v>
      </c>
      <c r="E35" s="55" t="n">
        <v>4932.85735467952</v>
      </c>
      <c r="F35" s="55" t="n">
        <v>812.231530188341</v>
      </c>
      <c r="G35" s="55" t="n">
        <v>855.154441641381</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12025.6746041094</v>
      </c>
      <c r="D36" s="55" t="n">
        <v>4982.16231455144</v>
      </c>
      <c r="E36" s="55" t="n">
        <v>5264.14552941909</v>
      </c>
      <c r="F36" s="55" t="n">
        <v>866.780583962774</v>
      </c>
      <c r="G36" s="55" t="n">
        <v>912.586176176144</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12705.6183095905</v>
      </c>
      <c r="D37" s="55" t="n">
        <v>5263.85876959329</v>
      </c>
      <c r="E37" s="55" t="n">
        <v>5561.78559829654</v>
      </c>
      <c r="F37" s="55" t="n">
        <v>915.789227677225</v>
      </c>
      <c r="G37" s="55" t="n">
        <v>964.184714023492</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13290.434727241</v>
      </c>
      <c r="D38" s="55" t="n">
        <v>5506.14457998378</v>
      </c>
      <c r="E38" s="55" t="n">
        <v>5817.78443676947</v>
      </c>
      <c r="F38" s="55" t="n">
        <v>957.941334123615</v>
      </c>
      <c r="G38" s="55" t="n">
        <v>1008.56437636412</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13763.8393623983</v>
      </c>
      <c r="D39" s="55" t="n">
        <v>5702.27318070349</v>
      </c>
      <c r="E39" s="55" t="n">
        <v>6025.01363395046</v>
      </c>
      <c r="F39" s="55" t="n">
        <v>992.063157607187</v>
      </c>
      <c r="G39" s="55" t="n">
        <v>1044.48939013712</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14112.2749732196</v>
      </c>
      <c r="D40" s="55" t="n">
        <v>5846.62789064124</v>
      </c>
      <c r="E40" s="55" t="n">
        <v>6177.53861266301</v>
      </c>
      <c r="F40" s="55" t="n">
        <v>1017.17752600345</v>
      </c>
      <c r="G40" s="55" t="n">
        <v>1070.93094391194</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14325.5561332413</v>
      </c>
      <c r="D41" s="55" t="n">
        <v>5934.9889508599</v>
      </c>
      <c r="E41" s="55" t="n">
        <v>6270.90078168874</v>
      </c>
      <c r="F41" s="55" t="n">
        <v>1032.55029921724</v>
      </c>
      <c r="G41" s="55" t="n">
        <v>1087.11610147542</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14397.3637634074</v>
      </c>
      <c r="D42" s="55" t="n">
        <v>5964.73840614522</v>
      </c>
      <c r="E42" s="55" t="n">
        <v>6302.334013317</v>
      </c>
      <c r="F42" s="55" t="n">
        <v>1037.726013816</v>
      </c>
      <c r="G42" s="55" t="n">
        <v>1092.56533012918</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14325.5561332413</v>
      </c>
      <c r="D43" s="55" t="n">
        <v>5934.9889508599</v>
      </c>
      <c r="E43" s="55" t="n">
        <v>6270.90078168874</v>
      </c>
      <c r="F43" s="55" t="n">
        <v>1032.55029921724</v>
      </c>
      <c r="G43" s="55" t="n">
        <v>1087.11610147542</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14112.2749732196</v>
      </c>
      <c r="D44" s="55" t="n">
        <v>5846.62789064124</v>
      </c>
      <c r="E44" s="55" t="n">
        <v>6177.53861266301</v>
      </c>
      <c r="F44" s="55" t="n">
        <v>1017.17752600345</v>
      </c>
      <c r="G44" s="55" t="n">
        <v>1070.93094391194</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13763.8393623983</v>
      </c>
      <c r="D45" s="55" t="n">
        <v>5702.27318070349</v>
      </c>
      <c r="E45" s="55" t="n">
        <v>6025.01363395046</v>
      </c>
      <c r="F45" s="55" t="n">
        <v>992.063157607187</v>
      </c>
      <c r="G45" s="55" t="n">
        <v>1044.48939013712</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13290.434727241</v>
      </c>
      <c r="D46" s="55" t="n">
        <v>5506.14457998378</v>
      </c>
      <c r="E46" s="55" t="n">
        <v>5817.78443676947</v>
      </c>
      <c r="F46" s="55" t="n">
        <v>957.941334123615</v>
      </c>
      <c r="G46" s="55" t="n">
        <v>1008.56437636412</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12705.6183095905</v>
      </c>
      <c r="D47" s="55" t="n">
        <v>5263.85876959329</v>
      </c>
      <c r="E47" s="55" t="n">
        <v>5561.78559829654</v>
      </c>
      <c r="F47" s="55" t="n">
        <v>915.789227677225</v>
      </c>
      <c r="G47" s="55" t="n">
        <v>964.184714023492</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12025.6746041094</v>
      </c>
      <c r="D48" s="55" t="n">
        <v>4982.16231455144</v>
      </c>
      <c r="E48" s="55" t="n">
        <v>5264.14552941909</v>
      </c>
      <c r="F48" s="55" t="n">
        <v>866.780583962774</v>
      </c>
      <c r="G48" s="55" t="n">
        <v>912.586176176144</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11268.8635001339</v>
      </c>
      <c r="D49" s="55" t="n">
        <v>4668.6201736247</v>
      </c>
      <c r="E49" s="55" t="n">
        <v>4932.85735467952</v>
      </c>
      <c r="F49" s="55" t="n">
        <v>812.231530188341</v>
      </c>
      <c r="G49" s="55" t="n">
        <v>855.154441641381</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10454.6094689612</v>
      </c>
      <c r="D50" s="55" t="n">
        <v>4331.27978465439</v>
      </c>
      <c r="E50" s="55" t="n">
        <v>4576.4239853162</v>
      </c>
      <c r="F50" s="55" t="n">
        <v>753.542133720486</v>
      </c>
      <c r="G50" s="55" t="n">
        <v>793.363565270083</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9602.68176944544</v>
      </c>
      <c r="D51" s="55" t="n">
        <v>3978.33142882583</v>
      </c>
      <c r="E51" s="55" t="n">
        <v>4203.49926063909</v>
      </c>
      <c r="F51" s="55" t="n">
        <v>692.1373133515769</v>
      </c>
      <c r="G51" s="55" t="n">
        <v>728.71376662894</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8732.41335377738</v>
      </c>
      <c r="D52" s="55" t="n">
        <v>3617.7846281828</v>
      </c>
      <c r="E52" s="55" t="n">
        <v>3822.54603010946</v>
      </c>
      <c r="F52" s="55" t="n">
        <v>629.410539979599</v>
      </c>
      <c r="G52" s="55" t="n">
        <v>662.672155505519</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7862.00036530002</v>
      </c>
      <c r="D53" s="55" t="n">
        <v>3257.17793192261</v>
      </c>
      <c r="E53" s="55" t="n">
        <v>3441.52951395696</v>
      </c>
      <c r="F53" s="55" t="n">
        <v>566.6733461606869</v>
      </c>
      <c r="G53" s="55" t="n">
        <v>596.619573259766</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7007.91556156854</v>
      </c>
      <c r="D54" s="55" t="n">
        <v>2903.33590121208</v>
      </c>
      <c r="E54" s="55" t="n">
        <v>3067.66053368608</v>
      </c>
      <c r="F54" s="55" t="n">
        <v>505.113047108597</v>
      </c>
      <c r="G54" s="55" t="n">
        <v>531.806079561782</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6184.4586088347</v>
      </c>
      <c r="D55" s="55" t="n">
        <v>2562.18279898496</v>
      </c>
      <c r="E55" s="55" t="n">
        <v>2707.19865698424</v>
      </c>
      <c r="F55" s="55" t="n">
        <v>445.760327044565</v>
      </c>
      <c r="G55" s="55" t="n">
        <v>469.316825820937</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5403.45501529242</v>
      </c>
      <c r="D56" s="55" t="n">
        <v>2238.61785985498</v>
      </c>
      <c r="E56" s="55" t="n">
        <v>2365.32040809158</v>
      </c>
      <c r="F56" s="55" t="n">
        <v>389.467539057747</v>
      </c>
      <c r="G56" s="55" t="n">
        <v>410.049208288111</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1155</v>
      </c>
      <c r="D7" s="56" t="n">
        <v>415</v>
      </c>
      <c r="E7" s="56" t="n">
        <v>555</v>
      </c>
      <c r="F7" s="56" t="n">
        <v>81</v>
      </c>
      <c r="G7" s="56" t="n">
        <v>104</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88</v>
      </c>
      <c r="D8" s="56" t="n">
        <v>29</v>
      </c>
      <c r="E8" s="56" t="n">
        <v>39</v>
      </c>
      <c r="F8" s="56" t="n">
        <v>5</v>
      </c>
      <c r="G8" s="56" t="n">
        <v>15</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65</v>
      </c>
      <c r="D9" s="56" t="n">
        <v>24</v>
      </c>
      <c r="E9" s="56" t="n">
        <v>28</v>
      </c>
      <c r="F9" s="56" t="n">
        <v>7</v>
      </c>
      <c r="G9" s="56" t="n">
        <v>6</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61</v>
      </c>
      <c r="D10" s="56" t="n">
        <v>22</v>
      </c>
      <c r="E10" s="56" t="n">
        <v>26</v>
      </c>
      <c r="F10" s="56" t="n">
        <v>8</v>
      </c>
      <c r="G10" s="56" t="n">
        <v>5</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50</v>
      </c>
      <c r="D11" s="56" t="n">
        <v>15</v>
      </c>
      <c r="E11" s="56" t="n">
        <v>19</v>
      </c>
      <c r="F11" s="56" t="n">
        <v>8</v>
      </c>
      <c r="G11" s="56" t="n">
        <v>8</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51</v>
      </c>
      <c r="D12" s="56" t="n">
        <v>15</v>
      </c>
      <c r="E12" s="56" t="n">
        <v>24</v>
      </c>
      <c r="F12" s="56" t="n">
        <v>3</v>
      </c>
      <c r="G12" s="56" t="n">
        <v>9</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44</v>
      </c>
      <c r="D13" s="56" t="n">
        <v>9</v>
      </c>
      <c r="E13" s="56" t="n">
        <v>23</v>
      </c>
      <c r="F13" s="56" t="n">
        <v>4</v>
      </c>
      <c r="G13" s="56" t="n">
        <v>8</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46</v>
      </c>
      <c r="D14" s="56" t="n">
        <v>18</v>
      </c>
      <c r="E14" s="56" t="n">
        <v>18</v>
      </c>
      <c r="F14" s="56" t="n">
        <v>3</v>
      </c>
      <c r="G14" s="56" t="n">
        <v>7</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46</v>
      </c>
      <c r="D15" s="56" t="n">
        <v>15</v>
      </c>
      <c r="E15" s="56" t="n">
        <v>22</v>
      </c>
      <c r="F15" s="56" t="n">
        <v>2</v>
      </c>
      <c r="G15" s="56" t="n">
        <v>7</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32</v>
      </c>
      <c r="D16" s="56" t="n">
        <v>8</v>
      </c>
      <c r="E16" s="56" t="n">
        <v>19</v>
      </c>
      <c r="F16" s="56" t="n">
        <v>0</v>
      </c>
      <c r="G16" s="56" t="n">
        <v>5</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44</v>
      </c>
      <c r="D17" s="56" t="n">
        <v>15</v>
      </c>
      <c r="E17" s="56" t="n">
        <v>20</v>
      </c>
      <c r="F17" s="56" t="n">
        <v>4</v>
      </c>
      <c r="G17" s="56" t="n">
        <v>5</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54</v>
      </c>
      <c r="D18" s="56" t="n">
        <v>20</v>
      </c>
      <c r="E18" s="56" t="n">
        <v>21</v>
      </c>
      <c r="F18" s="56" t="n">
        <v>8</v>
      </c>
      <c r="G18" s="56" t="n">
        <v>5</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40</v>
      </c>
      <c r="D19" s="56" t="n">
        <v>15</v>
      </c>
      <c r="E19" s="56" t="n">
        <v>18</v>
      </c>
      <c r="F19" s="56" t="n">
        <v>3</v>
      </c>
      <c r="G19" s="56" t="n">
        <v>4</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50</v>
      </c>
      <c r="D20" s="56" t="n">
        <v>18</v>
      </c>
      <c r="E20" s="56" t="n">
        <v>21</v>
      </c>
      <c r="F20" s="56" t="n">
        <v>6</v>
      </c>
      <c r="G20" s="56" t="n">
        <v>5</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73</v>
      </c>
      <c r="D21" s="56" t="n">
        <v>22</v>
      </c>
      <c r="E21" s="56" t="n">
        <v>40</v>
      </c>
      <c r="F21" s="56" t="n">
        <v>1</v>
      </c>
      <c r="G21" s="56" t="n">
        <v>10</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84</v>
      </c>
      <c r="D22" s="56" t="n">
        <v>26</v>
      </c>
      <c r="E22" s="56" t="n">
        <v>44</v>
      </c>
      <c r="F22" s="56" t="n">
        <v>3</v>
      </c>
      <c r="G22" s="56" t="n">
        <v>11</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83</v>
      </c>
      <c r="D23" s="56" t="n">
        <v>32</v>
      </c>
      <c r="E23" s="56" t="n">
        <v>39</v>
      </c>
      <c r="F23" s="56" t="n">
        <v>6</v>
      </c>
      <c r="G23" s="56" t="n">
        <v>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110</v>
      </c>
      <c r="D24" s="56" t="n">
        <v>24</v>
      </c>
      <c r="E24" s="56" t="n">
        <v>63</v>
      </c>
      <c r="F24" s="56" t="n">
        <v>4</v>
      </c>
      <c r="G24" s="56" t="n">
        <v>19</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138</v>
      </c>
      <c r="D25" s="56" t="n">
        <v>28</v>
      </c>
      <c r="E25" s="56" t="n">
        <v>76</v>
      </c>
      <c r="F25" s="56" t="n">
        <v>6</v>
      </c>
      <c r="G25" s="56" t="n">
        <v>28</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126</v>
      </c>
      <c r="D26" s="56" t="n">
        <v>33</v>
      </c>
      <c r="E26" s="56" t="n">
        <v>67</v>
      </c>
      <c r="F26" s="56" t="n">
        <v>8</v>
      </c>
      <c r="G26" s="56" t="n">
        <v>18</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201</v>
      </c>
      <c r="D27" s="56" t="n">
        <v>50</v>
      </c>
      <c r="E27" s="56" t="n">
        <v>105</v>
      </c>
      <c r="F27" s="56" t="n">
        <v>12</v>
      </c>
      <c r="G27" s="56" t="n">
        <v>34</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163</v>
      </c>
      <c r="D28" s="56" t="n">
        <v>35</v>
      </c>
      <c r="E28" s="56" t="n">
        <v>94</v>
      </c>
      <c r="F28" s="56" t="n">
        <v>12</v>
      </c>
      <c r="G28" s="56" t="n">
        <v>22</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164</v>
      </c>
      <c r="D29" s="56" t="n">
        <v>35</v>
      </c>
      <c r="E29" s="56" t="n">
        <v>83</v>
      </c>
      <c r="F29" s="56" t="n">
        <v>10</v>
      </c>
      <c r="G29" s="56" t="n">
        <v>36</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144</v>
      </c>
      <c r="D30" s="56" t="n">
        <v>29</v>
      </c>
      <c r="E30" s="56" t="n">
        <v>85</v>
      </c>
      <c r="F30" s="56" t="n">
        <v>3</v>
      </c>
      <c r="G30" s="56" t="n">
        <v>27</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190</v>
      </c>
      <c r="D31" s="56" t="n">
        <v>41</v>
      </c>
      <c r="E31" s="56" t="n">
        <v>103</v>
      </c>
      <c r="F31" s="56" t="n">
        <v>8</v>
      </c>
      <c r="G31" s="56" t="n">
        <v>38</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253</v>
      </c>
      <c r="D32" s="56" t="n">
        <v>50</v>
      </c>
      <c r="E32" s="56" t="n">
        <v>131</v>
      </c>
      <c r="F32" s="56" t="n">
        <v>16</v>
      </c>
      <c r="G32" s="56" t="n">
        <v>56</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202</v>
      </c>
      <c r="D33" s="56" t="n">
        <v>42</v>
      </c>
      <c r="E33" s="56" t="n">
        <v>113</v>
      </c>
      <c r="F33" s="56" t="n">
        <v>11</v>
      </c>
      <c r="G33" s="56" t="n">
        <v>36</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201</v>
      </c>
      <c r="D34" s="56" t="n">
        <v>44</v>
      </c>
      <c r="E34" s="56" t="n">
        <v>108</v>
      </c>
      <c r="F34" s="56" t="n">
        <v>10</v>
      </c>
      <c r="G34" s="56" t="n">
        <v>39</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186</v>
      </c>
      <c r="D35" s="56" t="n">
        <v>44</v>
      </c>
      <c r="E35" s="56" t="n">
        <v>102</v>
      </c>
      <c r="F35" s="56" t="n">
        <v>9</v>
      </c>
      <c r="G35" s="56" t="n">
        <v>31</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235</v>
      </c>
      <c r="D36" s="56" t="n">
        <v>58</v>
      </c>
      <c r="E36" s="56" t="n">
        <v>116</v>
      </c>
      <c r="F36" s="56" t="n">
        <v>14</v>
      </c>
      <c r="G36" s="56" t="n">
        <v>47</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310</v>
      </c>
      <c r="D37" s="56" t="n">
        <v>54</v>
      </c>
      <c r="E37" s="56" t="n">
        <v>162</v>
      </c>
      <c r="F37" s="56" t="n">
        <v>20</v>
      </c>
      <c r="G37" s="56" t="n">
        <v>74</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245</v>
      </c>
      <c r="D38" s="56" t="n">
        <v>62</v>
      </c>
      <c r="E38" s="56" t="n">
        <v>130</v>
      </c>
      <c r="F38" s="56" t="n">
        <v>17</v>
      </c>
      <c r="G38" s="56" t="n">
        <v>36</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268</v>
      </c>
      <c r="D39" s="56" t="n">
        <v>74</v>
      </c>
      <c r="E39" s="56" t="n">
        <v>137</v>
      </c>
      <c r="F39" s="56" t="n">
        <v>16</v>
      </c>
      <c r="G39" s="56" t="n">
        <v>41</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275</v>
      </c>
      <c r="D40" s="56" t="n">
        <v>68</v>
      </c>
      <c r="E40" s="56" t="n">
        <v>145</v>
      </c>
      <c r="F40" s="56" t="n">
        <v>17</v>
      </c>
      <c r="G40" s="56" t="n">
        <v>45</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381</v>
      </c>
      <c r="D41" s="56" t="n">
        <v>97</v>
      </c>
      <c r="E41" s="56" t="n">
        <v>198</v>
      </c>
      <c r="F41" s="56" t="n">
        <v>26</v>
      </c>
      <c r="G41" s="56" t="n">
        <v>60</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365</v>
      </c>
      <c r="D42" s="56" t="n">
        <v>92</v>
      </c>
      <c r="E42" s="56" t="n">
        <v>194</v>
      </c>
      <c r="F42" s="56" t="n">
        <v>27</v>
      </c>
      <c r="G42" s="56" t="n">
        <v>52</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356</v>
      </c>
      <c r="D43" s="56" t="n">
        <v>94</v>
      </c>
      <c r="E43" s="56" t="n">
        <v>194</v>
      </c>
      <c r="F43" s="56" t="n">
        <v>17</v>
      </c>
      <c r="G43" s="56" t="n">
        <v>51</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418</v>
      </c>
      <c r="D44" s="56" t="n">
        <v>107</v>
      </c>
      <c r="E44" s="56" t="n">
        <v>223</v>
      </c>
      <c r="F44" s="56" t="n">
        <v>26</v>
      </c>
      <c r="G44" s="56" t="n">
        <v>62</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435</v>
      </c>
      <c r="D45" s="56" t="n">
        <v>104</v>
      </c>
      <c r="E45" s="56" t="n">
        <v>243</v>
      </c>
      <c r="F45" s="56" t="n">
        <v>25</v>
      </c>
      <c r="G45" s="56" t="n">
        <v>63</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521</v>
      </c>
      <c r="D46" s="56" t="n">
        <v>135</v>
      </c>
      <c r="E46" s="56" t="n">
        <v>285</v>
      </c>
      <c r="F46" s="56" t="n">
        <v>33</v>
      </c>
      <c r="G46" s="56" t="n">
        <v>68</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575</v>
      </c>
      <c r="D47" s="56" t="n">
        <v>170</v>
      </c>
      <c r="E47" s="56" t="n">
        <v>294</v>
      </c>
      <c r="F47" s="56" t="n">
        <v>44</v>
      </c>
      <c r="G47" s="56" t="n">
        <v>67</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621</v>
      </c>
      <c r="D48" s="56" t="n">
        <v>169</v>
      </c>
      <c r="E48" s="56" t="n">
        <v>350</v>
      </c>
      <c r="F48" s="56" t="n">
        <v>38</v>
      </c>
      <c r="G48" s="56" t="n">
        <v>64</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754</v>
      </c>
      <c r="D49" s="56" t="n">
        <v>202</v>
      </c>
      <c r="E49" s="56" t="n">
        <v>417</v>
      </c>
      <c r="F49" s="56" t="n">
        <v>45</v>
      </c>
      <c r="G49" s="56" t="n">
        <v>90</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865</v>
      </c>
      <c r="D50" s="56" t="n">
        <v>257</v>
      </c>
      <c r="E50" s="56" t="n">
        <v>452</v>
      </c>
      <c r="F50" s="56" t="n">
        <v>51</v>
      </c>
      <c r="G50" s="56" t="n">
        <v>105</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895</v>
      </c>
      <c r="D51" s="56" t="n">
        <v>248</v>
      </c>
      <c r="E51" s="56" t="n">
        <v>496</v>
      </c>
      <c r="F51" s="56" t="n">
        <v>44</v>
      </c>
      <c r="G51" s="56" t="n">
        <v>107</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1062</v>
      </c>
      <c r="D52" s="56" t="n">
        <v>330</v>
      </c>
      <c r="E52" s="56" t="n">
        <v>560</v>
      </c>
      <c r="F52" s="56" t="n">
        <v>61</v>
      </c>
      <c r="G52" s="56" t="n">
        <v>111</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1166</v>
      </c>
      <c r="D53" s="56" t="n">
        <v>356</v>
      </c>
      <c r="E53" s="56" t="n">
        <v>622</v>
      </c>
      <c r="F53" s="56" t="n">
        <v>65</v>
      </c>
      <c r="G53" s="56" t="n">
        <v>123</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1250</v>
      </c>
      <c r="D54" s="56" t="n">
        <v>384</v>
      </c>
      <c r="E54" s="56" t="n">
        <v>687</v>
      </c>
      <c r="F54" s="56" t="n">
        <v>47</v>
      </c>
      <c r="G54" s="56" t="n">
        <v>132</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1418</v>
      </c>
      <c r="D55" s="56" t="n">
        <v>442</v>
      </c>
      <c r="E55" s="56" t="n">
        <v>780</v>
      </c>
      <c r="F55" s="56" t="n">
        <v>74</v>
      </c>
      <c r="G55" s="56" t="n">
        <v>122</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1484</v>
      </c>
      <c r="D56" s="56" t="n">
        <v>445</v>
      </c>
      <c r="E56" s="56" t="n">
        <v>844</v>
      </c>
      <c r="F56" s="56" t="n">
        <v>58</v>
      </c>
      <c r="G56" s="56" t="n">
        <v>137</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1644</v>
      </c>
      <c r="D57" s="56" t="n">
        <v>540</v>
      </c>
      <c r="E57" s="56" t="n">
        <v>888</v>
      </c>
      <c r="F57" s="56" t="n">
        <v>92</v>
      </c>
      <c r="G57" s="56" t="n">
        <v>124</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1803</v>
      </c>
      <c r="D58" s="56" t="n">
        <v>566</v>
      </c>
      <c r="E58" s="56" t="n">
        <v>1027</v>
      </c>
      <c r="F58" s="56" t="n">
        <v>71</v>
      </c>
      <c r="G58" s="56" t="n">
        <v>139</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1974</v>
      </c>
      <c r="D59" s="56" t="n">
        <v>631</v>
      </c>
      <c r="E59" s="56" t="n">
        <v>1116</v>
      </c>
      <c r="F59" s="56" t="n">
        <v>71</v>
      </c>
      <c r="G59" s="56" t="n">
        <v>156</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2180</v>
      </c>
      <c r="D60" s="56" t="n">
        <v>664</v>
      </c>
      <c r="E60" s="56" t="n">
        <v>1283</v>
      </c>
      <c r="F60" s="56" t="n">
        <v>72</v>
      </c>
      <c r="G60" s="56" t="n">
        <v>161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2351</v>
      </c>
      <c r="D61" s="56" t="n">
        <v>731</v>
      </c>
      <c r="E61" s="56" t="n">
        <v>1385</v>
      </c>
      <c r="F61" s="56" t="n">
        <v>72</v>
      </c>
      <c r="G61" s="56" t="n">
        <v>163</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2569</v>
      </c>
      <c r="D62" s="56" t="n">
        <v>781</v>
      </c>
      <c r="E62" s="56" t="n">
        <v>1545</v>
      </c>
      <c r="F62" s="56" t="n">
        <v>74</v>
      </c>
      <c r="G62" s="56" t="n">
        <v>169</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2997</v>
      </c>
      <c r="D63" s="56" t="n">
        <v>939</v>
      </c>
      <c r="E63" s="56" t="n">
        <v>1792</v>
      </c>
      <c r="F63" s="56" t="n">
        <v>91</v>
      </c>
      <c r="G63" s="56" t="n">
        <v>175</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3143</v>
      </c>
      <c r="D64" s="56" t="n">
        <v>981</v>
      </c>
      <c r="E64" s="56" t="n">
        <v>1879</v>
      </c>
      <c r="F64" s="56" t="n">
        <v>97</v>
      </c>
      <c r="G64" s="56" t="n">
        <v>186</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3361</v>
      </c>
      <c r="D65" s="56" t="n">
        <v>1043</v>
      </c>
      <c r="E65" s="56" t="n">
        <v>2062</v>
      </c>
      <c r="F65" s="56" t="n">
        <v>78</v>
      </c>
      <c r="G65" s="56" t="n">
        <v>178</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3649</v>
      </c>
      <c r="D66" s="56" t="n">
        <v>1149</v>
      </c>
      <c r="E66" s="56" t="n">
        <v>2218</v>
      </c>
      <c r="F66" s="56" t="n">
        <v>99</v>
      </c>
      <c r="G66" s="56" t="n">
        <v>183</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3927</v>
      </c>
      <c r="D67" s="56" t="n">
        <v>1188</v>
      </c>
      <c r="E67" s="56" t="n">
        <v>2457</v>
      </c>
      <c r="F67" s="56" t="n">
        <v>94</v>
      </c>
      <c r="G67" s="56" t="n">
        <v>188</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4191</v>
      </c>
      <c r="D68" s="56" t="n">
        <v>1285</v>
      </c>
      <c r="E68" s="56" t="n">
        <v>2616</v>
      </c>
      <c r="F68" s="56" t="n">
        <v>107</v>
      </c>
      <c r="G68" s="56" t="n">
        <v>183</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4529</v>
      </c>
      <c r="D69" s="56" t="n">
        <v>1375</v>
      </c>
      <c r="E69" s="56" t="n">
        <v>2828</v>
      </c>
      <c r="F69" s="56" t="n">
        <v>128</v>
      </c>
      <c r="G69" s="56" t="n">
        <v>198</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4820</v>
      </c>
      <c r="D70" s="56" t="n">
        <v>1519</v>
      </c>
      <c r="E70" s="56" t="n">
        <v>2960</v>
      </c>
      <c r="F70" s="56" t="n">
        <v>119</v>
      </c>
      <c r="G70" s="56" t="n">
        <v>222</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5102</v>
      </c>
      <c r="D71" s="56" t="n">
        <v>1600</v>
      </c>
      <c r="E71" s="56" t="n">
        <v>3135</v>
      </c>
      <c r="F71" s="56" t="n">
        <v>130</v>
      </c>
      <c r="G71" s="56" t="n">
        <v>237</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5448</v>
      </c>
      <c r="D72" s="56" t="n">
        <v>1648</v>
      </c>
      <c r="E72" s="56" t="n">
        <v>3416</v>
      </c>
      <c r="F72" s="56" t="n">
        <v>111</v>
      </c>
      <c r="G72" s="56" t="n">
        <v>273</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5676</v>
      </c>
      <c r="D73" s="56" t="n">
        <v>1875</v>
      </c>
      <c r="E73" s="56" t="n">
        <v>3396</v>
      </c>
      <c r="F73" s="56" t="n">
        <v>156</v>
      </c>
      <c r="G73" s="56" t="n">
        <v>249</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5671</v>
      </c>
      <c r="D74" s="56" t="n">
        <v>1841</v>
      </c>
      <c r="E74" s="56" t="n">
        <v>3467</v>
      </c>
      <c r="F74" s="56" t="n">
        <v>146</v>
      </c>
      <c r="G74" s="56" t="n">
        <v>217</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5940</v>
      </c>
      <c r="D75" s="56" t="n">
        <v>1951</v>
      </c>
      <c r="E75" s="56" t="n">
        <v>3591</v>
      </c>
      <c r="F75" s="56" t="n">
        <v>152</v>
      </c>
      <c r="G75" s="56" t="n">
        <v>246</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6284</v>
      </c>
      <c r="D76" s="56" t="n">
        <v>2058</v>
      </c>
      <c r="E76" s="56" t="n">
        <v>3761</v>
      </c>
      <c r="F76" s="56" t="n">
        <v>170</v>
      </c>
      <c r="G76" s="56" t="n">
        <v>295</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6497</v>
      </c>
      <c r="D77" s="56" t="n">
        <v>2145</v>
      </c>
      <c r="E77" s="56" t="n">
        <v>3879</v>
      </c>
      <c r="F77" s="56" t="n">
        <v>185</v>
      </c>
      <c r="G77" s="56" t="n">
        <v>288</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6982</v>
      </c>
      <c r="D78" s="56" t="n">
        <v>2243</v>
      </c>
      <c r="E78" s="56" t="n">
        <v>4278</v>
      </c>
      <c r="F78" s="56" t="n">
        <v>177</v>
      </c>
      <c r="G78" s="56" t="n">
        <v>284</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7122</v>
      </c>
      <c r="D79" s="56" t="n">
        <v>2336</v>
      </c>
      <c r="E79" s="56" t="n">
        <v>4369</v>
      </c>
      <c r="F79" s="56" t="n">
        <v>168</v>
      </c>
      <c r="G79" s="56" t="n">
        <v>249</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7399</v>
      </c>
      <c r="D80" s="56" t="n">
        <v>2450</v>
      </c>
      <c r="E80" s="56" t="n">
        <v>4453</v>
      </c>
      <c r="F80" s="56" t="n">
        <v>194</v>
      </c>
      <c r="G80" s="56" t="n">
        <v>302</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7982</v>
      </c>
      <c r="D81" s="56" t="n">
        <v>2705</v>
      </c>
      <c r="E81" s="56" t="n">
        <v>4764</v>
      </c>
      <c r="F81" s="56" t="n">
        <v>204</v>
      </c>
      <c r="G81" s="56" t="n">
        <v>309</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9123</v>
      </c>
      <c r="D82" s="56" t="n">
        <v>3146</v>
      </c>
      <c r="E82" s="56" t="n">
        <v>5469</v>
      </c>
      <c r="F82" s="56" t="n">
        <v>222</v>
      </c>
      <c r="G82" s="56" t="n">
        <v>286</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9950</v>
      </c>
      <c r="D83" s="56" t="n">
        <v>3556</v>
      </c>
      <c r="E83" s="56" t="n">
        <v>5828</v>
      </c>
      <c r="F83" s="56" t="n">
        <v>252</v>
      </c>
      <c r="G83" s="56" t="n">
        <v>314</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9559</v>
      </c>
      <c r="D84" s="56" t="n">
        <v>3463</v>
      </c>
      <c r="E84" s="56" t="n">
        <v>5548</v>
      </c>
      <c r="F84" s="56" t="n">
        <v>216</v>
      </c>
      <c r="G84" s="56" t="n">
        <v>332</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10756</v>
      </c>
      <c r="D85" s="56" t="n">
        <v>4028</v>
      </c>
      <c r="E85" s="56" t="n">
        <v>6186</v>
      </c>
      <c r="F85" s="56" t="n">
        <v>225</v>
      </c>
      <c r="G85" s="56" t="n">
        <v>317</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11523</v>
      </c>
      <c r="D86" s="56" t="n">
        <v>4447</v>
      </c>
      <c r="E86" s="56" t="n">
        <v>6502</v>
      </c>
      <c r="F86" s="56" t="n">
        <v>236</v>
      </c>
      <c r="G86" s="56" t="n">
        <v>338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12360</v>
      </c>
      <c r="D87" s="56" t="n">
        <v>5092</v>
      </c>
      <c r="E87" s="56" t="n">
        <v>6764</v>
      </c>
      <c r="F87" s="56" t="n">
        <v>219</v>
      </c>
      <c r="G87" s="56" t="n">
        <v>285</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12524</v>
      </c>
      <c r="D88" s="56" t="n">
        <v>5264</v>
      </c>
      <c r="E88" s="56" t="n">
        <v>6742</v>
      </c>
      <c r="F88" s="56" t="n">
        <v>214</v>
      </c>
      <c r="G88" s="56" t="n">
        <v>304</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11471</v>
      </c>
      <c r="D89" s="56" t="n">
        <v>4901</v>
      </c>
      <c r="E89" s="56" t="n">
        <v>6078</v>
      </c>
      <c r="F89" s="56" t="n">
        <v>183</v>
      </c>
      <c r="G89" s="56" t="n">
        <v>309</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13513</v>
      </c>
      <c r="D90" s="56" t="n">
        <v>6087</v>
      </c>
      <c r="E90" s="56" t="n">
        <v>6946</v>
      </c>
      <c r="F90" s="56" t="n">
        <v>221</v>
      </c>
      <c r="G90" s="56" t="n">
        <v>259</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13782</v>
      </c>
      <c r="D91" s="56" t="n">
        <v>6410</v>
      </c>
      <c r="E91" s="56" t="n">
        <v>6893</v>
      </c>
      <c r="F91" s="56" t="n">
        <v>232</v>
      </c>
      <c r="G91" s="56" t="n">
        <v>247</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12495</v>
      </c>
      <c r="D92" s="56" t="n">
        <v>6142</v>
      </c>
      <c r="E92" s="56" t="n">
        <v>5901</v>
      </c>
      <c r="F92" s="56" t="n">
        <v>212</v>
      </c>
      <c r="G92" s="56" t="n">
        <v>240</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15146</v>
      </c>
      <c r="D93" s="56" t="n">
        <v>7718</v>
      </c>
      <c r="E93" s="56" t="n">
        <v>7003</v>
      </c>
      <c r="F93" s="56" t="n">
        <v>212</v>
      </c>
      <c r="G93" s="56" t="n">
        <v>213</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17490</v>
      </c>
      <c r="D94" s="56" t="n">
        <v>9184</v>
      </c>
      <c r="E94" s="56" t="n">
        <v>7902</v>
      </c>
      <c r="F94" s="56" t="n">
        <v>184</v>
      </c>
      <c r="G94" s="56" t="n">
        <v>220</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18816</v>
      </c>
      <c r="D95" s="56" t="n">
        <v>10380</v>
      </c>
      <c r="E95" s="56" t="n">
        <v>8099</v>
      </c>
      <c r="F95" s="56" t="n">
        <v>173</v>
      </c>
      <c r="G95" s="56" t="n">
        <v>164</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18418</v>
      </c>
      <c r="D96" s="56" t="n">
        <v>10540</v>
      </c>
      <c r="E96" s="56" t="n">
        <v>7567</v>
      </c>
      <c r="F96" s="56" t="n">
        <v>168</v>
      </c>
      <c r="G96" s="56" t="n">
        <v>143</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19117</v>
      </c>
      <c r="D97" s="56" t="n">
        <v>11181</v>
      </c>
      <c r="E97" s="56" t="n">
        <v>7658</v>
      </c>
      <c r="F97" s="56" t="n">
        <v>153</v>
      </c>
      <c r="G97" s="56" t="n">
        <v>125</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18597</v>
      </c>
      <c r="D98" s="56" t="n">
        <v>11206</v>
      </c>
      <c r="E98" s="56" t="n">
        <v>7159</v>
      </c>
      <c r="F98" s="56" t="n">
        <v>130</v>
      </c>
      <c r="G98" s="56" t="n">
        <v>102</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17181</v>
      </c>
      <c r="D99" s="56" t="n">
        <v>10672</v>
      </c>
      <c r="E99" s="56" t="n">
        <v>6286</v>
      </c>
      <c r="F99" s="56" t="n">
        <v>128</v>
      </c>
      <c r="G99" s="56" t="n">
        <v>95</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15705</v>
      </c>
      <c r="D100" s="56" t="n">
        <v>10112</v>
      </c>
      <c r="E100" s="56" t="n">
        <v>5387</v>
      </c>
      <c r="F100" s="56" t="n">
        <v>126</v>
      </c>
      <c r="G100" s="56" t="n">
        <v>80</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13435</v>
      </c>
      <c r="D101" s="56" t="n">
        <v>8971</v>
      </c>
      <c r="E101" s="56" t="n">
        <v>4299</v>
      </c>
      <c r="F101" s="56" t="n">
        <v>109</v>
      </c>
      <c r="G101" s="56" t="n">
        <v>56</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11336</v>
      </c>
      <c r="D102" s="56" t="n">
        <v>7703</v>
      </c>
      <c r="E102" s="56" t="n">
        <v>3520</v>
      </c>
      <c r="F102" s="56" t="n">
        <v>68</v>
      </c>
      <c r="G102" s="56" t="n">
        <v>45</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8980</v>
      </c>
      <c r="D103" s="56" t="n">
        <v>6263</v>
      </c>
      <c r="E103" s="56" t="n">
        <v>2600</v>
      </c>
      <c r="F103" s="56" t="n">
        <v>79</v>
      </c>
      <c r="G103" s="56" t="n">
        <v>38</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7225</v>
      </c>
      <c r="D104" s="56" t="n">
        <v>5264</v>
      </c>
      <c r="E104" s="56" t="n">
        <v>1877</v>
      </c>
      <c r="F104" s="56" t="n">
        <v>59</v>
      </c>
      <c r="G104" s="56" t="n">
        <v>25</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5414</v>
      </c>
      <c r="D105" s="56" t="n">
        <v>4040</v>
      </c>
      <c r="E105" s="56" t="n">
        <v>1315</v>
      </c>
      <c r="F105" s="56" t="n">
        <v>41</v>
      </c>
      <c r="G105" s="56" t="n">
        <v>18</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11369</v>
      </c>
      <c r="D106" s="56" t="n">
        <v>8893</v>
      </c>
      <c r="E106" s="56" t="n">
        <v>2361</v>
      </c>
      <c r="F106" s="56" t="n">
        <v>94</v>
      </c>
      <c r="G106" s="56" t="n">
        <v>21</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https://ine.es/dynt3/inebase/index.htm?padre=1684&amp;capsel=10021; downloaded 2026-04-10</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344334.2</v>
      </c>
      <c r="D9" s="118" t="n">
        <v>-1441.800000000003</v>
      </c>
      <c r="E9" s="118" t="n">
        <v>-5379.199999999997</v>
      </c>
      <c r="F9" s="118" t="n">
        <v>184553.9</v>
      </c>
      <c r="G9" s="118" t="n">
        <v>166601.3</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2380.97382671383</v>
      </c>
      <c r="D17" s="83" t="n">
        <v>-9.969640144244011</v>
      </c>
      <c r="E17" s="83" t="n">
        <v>-37.19565006513699</v>
      </c>
      <c r="F17" s="83" t="n">
        <v>1276.13813997553</v>
      </c>
      <c r="G17" s="83" t="n">
        <v>1152.00097694768</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2864.83515672896</v>
      </c>
      <c r="D18" s="83" t="n">
        <v>-11.995669698136</v>
      </c>
      <c r="E18" s="83" t="n">
        <v>-44.754547399231</v>
      </c>
      <c r="F18" s="83" t="n">
        <v>1535.47484110333</v>
      </c>
      <c r="G18" s="83" t="n">
        <v>1386.110532723</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3412.72803408296</v>
      </c>
      <c r="D19" s="83" t="n">
        <v>-14.28981286070598</v>
      </c>
      <c r="E19" s="83" t="n">
        <v>-53.31374763511502</v>
      </c>
      <c r="F19" s="83" t="n">
        <v>1829.13073499334</v>
      </c>
      <c r="G19" s="83" t="n">
        <v>1651.20085958544</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4024.952398994449</v>
      </c>
      <c r="D20" s="83" t="n">
        <v>-16.85332554497995</v>
      </c>
      <c r="E20" s="83" t="n">
        <v>-62.87793644857504</v>
      </c>
      <c r="F20" s="83" t="n">
        <v>2157.26658156169</v>
      </c>
      <c r="G20" s="83" t="n">
        <v>1947.41707942631</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4699.772581476671</v>
      </c>
      <c r="D21" s="83" t="n">
        <v>-19.67894013424495</v>
      </c>
      <c r="E21" s="83" t="n">
        <v>-73.41999914699011</v>
      </c>
      <c r="F21" s="83" t="n">
        <v>2518.95210822682</v>
      </c>
      <c r="G21" s="83" t="n">
        <v>2273.91941253112</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5433.12834184457</v>
      </c>
      <c r="D22" s="83" t="n">
        <v>-22.74965554763799</v>
      </c>
      <c r="E22" s="83" t="n">
        <v>-84.87650653478602</v>
      </c>
      <c r="F22" s="83" t="n">
        <v>2912.01113536776</v>
      </c>
      <c r="G22" s="83" t="n">
        <v>2628.74336855923</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6218.42085323742</v>
      </c>
      <c r="D23" s="83" t="n">
        <v>-26.03784110378103</v>
      </c>
      <c r="E23" s="83" t="n">
        <v>-97.14437152549306</v>
      </c>
      <c r="F23" s="83" t="n">
        <v>3332.90686869409</v>
      </c>
      <c r="G23" s="83" t="n">
        <v>3008.69619717256</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7046.39985843415</v>
      </c>
      <c r="D24" s="83" t="n">
        <v>-29.50476402254003</v>
      </c>
      <c r="E24" s="83" t="n">
        <v>-110.0790863018801</v>
      </c>
      <c r="F24" s="83" t="n">
        <v>3776.68141832401</v>
      </c>
      <c r="G24" s="83" t="n">
        <v>3409.30229043453</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7905.1749089082</v>
      </c>
      <c r="D25" s="83" t="n">
        <v>-33.10063648532014</v>
      </c>
      <c r="E25" s="83" t="n">
        <v>-123.4948978928001</v>
      </c>
      <c r="F25" s="83" t="n">
        <v>4236.961822616389</v>
      </c>
      <c r="G25" s="83" t="n">
        <v>3824.80862066995</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8780.367811120201</v>
      </c>
      <c r="D26" s="83" t="n">
        <v>-36.76525395988006</v>
      </c>
      <c r="E26" s="83" t="n">
        <v>-137.16718969414</v>
      </c>
      <c r="F26" s="83" t="n">
        <v>4706.04175529675</v>
      </c>
      <c r="G26" s="83" t="n">
        <v>4248.258499477511</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9655.415346594698</v>
      </c>
      <c r="D27" s="83" t="n">
        <v>-40.42926275321997</v>
      </c>
      <c r="E27" s="83" t="n">
        <v>-150.83721057159</v>
      </c>
      <c r="F27" s="83" t="n">
        <v>5175.04377530286</v>
      </c>
      <c r="G27" s="83" t="n">
        <v>4671.638044616589</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10512.021447014</v>
      </c>
      <c r="D28" s="83" t="n">
        <v>-44.01605336415992</v>
      </c>
      <c r="E28" s="83" t="n">
        <v>-164.21913875467</v>
      </c>
      <c r="F28" s="83" t="n">
        <v>5634.161680512971</v>
      </c>
      <c r="G28" s="83" t="n">
        <v>5086.094958619869</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11330.7469923746</v>
      </c>
      <c r="D29" s="83" t="n">
        <v>-47.44423009275988</v>
      </c>
      <c r="E29" s="83" t="n">
        <v>-177.0092956824599</v>
      </c>
      <c r="F29" s="83" t="n">
        <v>6072.97662374516</v>
      </c>
      <c r="G29" s="83" t="n">
        <v>5482.22389440463</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12091.7141600099</v>
      </c>
      <c r="D30" s="83" t="n">
        <v>-50.63056029840004</v>
      </c>
      <c r="E30" s="83" t="n">
        <v>-188.8971493668801</v>
      </c>
      <c r="F30" s="83" t="n">
        <v>6480.83462495173</v>
      </c>
      <c r="G30" s="83" t="n">
        <v>5850.407244723399</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12775.391808228</v>
      </c>
      <c r="D31" s="83" t="n">
        <v>-53.49326296692016</v>
      </c>
      <c r="E31" s="83" t="n">
        <v>-199.5775836812702</v>
      </c>
      <c r="F31" s="83" t="n">
        <v>6847.267515792921</v>
      </c>
      <c r="G31" s="83" t="n">
        <v>6181.19513908332</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13363.4197726545</v>
      </c>
      <c r="D32" s="83" t="n">
        <v>-55.95546021339987</v>
      </c>
      <c r="E32" s="83" t="n">
        <v>-208.7637755444098</v>
      </c>
      <c r="F32" s="83" t="n">
        <v>7162.43474037869</v>
      </c>
      <c r="G32" s="83" t="n">
        <v>6465.704268033671</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13839.424131561</v>
      </c>
      <c r="D33" s="83" t="n">
        <v>-57.94859097029985</v>
      </c>
      <c r="E33" s="83" t="n">
        <v>-216.1999310219303</v>
      </c>
      <c r="F33" s="83" t="n">
        <v>7417.56031562852</v>
      </c>
      <c r="G33" s="83" t="n">
        <v>6696.01233792467</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14189.7731928752</v>
      </c>
      <c r="D34" s="83" t="n">
        <v>-59.41557646463002</v>
      </c>
      <c r="E34" s="83" t="n">
        <v>-221.6730953797601</v>
      </c>
      <c r="F34" s="83" t="n">
        <v>7605.33802004146</v>
      </c>
      <c r="G34" s="83" t="n">
        <v>6865.52384467812</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14404.2255963865</v>
      </c>
      <c r="D35" s="83" t="n">
        <v>-60.31353395878</v>
      </c>
      <c r="E35" s="83" t="n">
        <v>-225.0232777577198</v>
      </c>
      <c r="F35" s="83" t="n">
        <v>7720.27875910368</v>
      </c>
      <c r="G35" s="83" t="n">
        <v>6969.283648999361</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14476.4275615203</v>
      </c>
      <c r="D36" s="83" t="n">
        <v>-60.61585883191992</v>
      </c>
      <c r="E36" s="83" t="n">
        <v>-226.1512191903403</v>
      </c>
      <c r="F36" s="83" t="n">
        <v>7758.977076764629</v>
      </c>
      <c r="G36" s="83" t="n">
        <v>7004.217562777981</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14404.2255963865</v>
      </c>
      <c r="D37" s="83" t="n">
        <v>-60.31353395878</v>
      </c>
      <c r="E37" s="83" t="n">
        <v>-225.0232777577198</v>
      </c>
      <c r="F37" s="83" t="n">
        <v>7720.27875910368</v>
      </c>
      <c r="G37" s="83" t="n">
        <v>6969.283648999361</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14189.7731928752</v>
      </c>
      <c r="D38" s="83" t="n">
        <v>-59.41557646463002</v>
      </c>
      <c r="E38" s="83" t="n">
        <v>-221.6730953797601</v>
      </c>
      <c r="F38" s="83" t="n">
        <v>7605.33802004146</v>
      </c>
      <c r="G38" s="83" t="n">
        <v>6865.52384467812</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13839.424131561</v>
      </c>
      <c r="D39" s="83" t="n">
        <v>-57.94859097029985</v>
      </c>
      <c r="E39" s="83" t="n">
        <v>-216.1999310219303</v>
      </c>
      <c r="F39" s="83" t="n">
        <v>7417.56031562852</v>
      </c>
      <c r="G39" s="83" t="n">
        <v>6696.01233792467</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13363.4197726545</v>
      </c>
      <c r="D40" s="83" t="n">
        <v>-55.95546021339987</v>
      </c>
      <c r="E40" s="83" t="n">
        <v>-208.7637755444098</v>
      </c>
      <c r="F40" s="83" t="n">
        <v>7162.43474037869</v>
      </c>
      <c r="G40" s="83" t="n">
        <v>6465.704268033671</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12775.391808228</v>
      </c>
      <c r="D41" s="83" t="n">
        <v>-53.49326296692016</v>
      </c>
      <c r="E41" s="83" t="n">
        <v>-199.5775836812702</v>
      </c>
      <c r="F41" s="83" t="n">
        <v>6847.267515792921</v>
      </c>
      <c r="G41" s="83" t="n">
        <v>6181.19513908332</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12091.7141600099</v>
      </c>
      <c r="D42" s="83" t="n">
        <v>-50.63056029840004</v>
      </c>
      <c r="E42" s="83" t="n">
        <v>-188.8971493668801</v>
      </c>
      <c r="F42" s="83" t="n">
        <v>6480.83462495173</v>
      </c>
      <c r="G42" s="83" t="n">
        <v>5850.407244723399</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11330.7469923746</v>
      </c>
      <c r="D43" s="83" t="n">
        <v>-47.44423009275988</v>
      </c>
      <c r="E43" s="83" t="n">
        <v>-177.0092956824599</v>
      </c>
      <c r="F43" s="83" t="n">
        <v>6072.97662374516</v>
      </c>
      <c r="G43" s="83" t="n">
        <v>5482.22389440463</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10512.021447014</v>
      </c>
      <c r="D44" s="83" t="n">
        <v>-44.01605336415992</v>
      </c>
      <c r="E44" s="83" t="n">
        <v>-164.21913875467</v>
      </c>
      <c r="F44" s="83" t="n">
        <v>5634.161680512971</v>
      </c>
      <c r="G44" s="83" t="n">
        <v>5086.094958619869</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9655.415346594698</v>
      </c>
      <c r="D45" s="83" t="n">
        <v>-40.42926275321997</v>
      </c>
      <c r="E45" s="83" t="n">
        <v>-150.83721057159</v>
      </c>
      <c r="F45" s="83" t="n">
        <v>5175.04377530286</v>
      </c>
      <c r="G45" s="83" t="n">
        <v>4671.638044616589</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8780.367811120201</v>
      </c>
      <c r="D46" s="83" t="n">
        <v>-36.76525395988006</v>
      </c>
      <c r="E46" s="83" t="n">
        <v>-137.16718969414</v>
      </c>
      <c r="F46" s="83" t="n">
        <v>4706.04175529675</v>
      </c>
      <c r="G46" s="83" t="n">
        <v>4248.258499477511</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7905.1749089082</v>
      </c>
      <c r="D47" s="83" t="n">
        <v>-33.10063648532014</v>
      </c>
      <c r="E47" s="83" t="n">
        <v>-123.4948978928001</v>
      </c>
      <c r="F47" s="83" t="n">
        <v>4236.961822616389</v>
      </c>
      <c r="G47" s="83" t="n">
        <v>3824.80862066995</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7046.39985843415</v>
      </c>
      <c r="D48" s="83" t="n">
        <v>-29.50476402254003</v>
      </c>
      <c r="E48" s="83" t="n">
        <v>-110.0790863018801</v>
      </c>
      <c r="F48" s="83" t="n">
        <v>3776.68141832401</v>
      </c>
      <c r="G48" s="83" t="n">
        <v>3409.30229043453</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6218.42085323742</v>
      </c>
      <c r="D49" s="83" t="n">
        <v>-26.03784110378103</v>
      </c>
      <c r="E49" s="83" t="n">
        <v>-97.14437152549306</v>
      </c>
      <c r="F49" s="83" t="n">
        <v>3332.90686869409</v>
      </c>
      <c r="G49" s="83" t="n">
        <v>3008.69619717256</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5433.12834184457</v>
      </c>
      <c r="D50" s="83" t="n">
        <v>-22.74965554763799</v>
      </c>
      <c r="E50" s="83" t="n">
        <v>-84.87650653478602</v>
      </c>
      <c r="F50" s="83" t="n">
        <v>2912.01113536776</v>
      </c>
      <c r="G50" s="83" t="n">
        <v>2628.74336855923</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4699.772581476671</v>
      </c>
      <c r="D51" s="83" t="n">
        <v>-19.67894013424495</v>
      </c>
      <c r="E51" s="83" t="n">
        <v>-73.41999914699011</v>
      </c>
      <c r="F51" s="83" t="n">
        <v>2518.95210822682</v>
      </c>
      <c r="G51" s="83" t="n">
        <v>2273.91941253112</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4024.952398994449</v>
      </c>
      <c r="D52" s="83" t="n">
        <v>-16.85332554497995</v>
      </c>
      <c r="E52" s="83" t="n">
        <v>-62.87793644857504</v>
      </c>
      <c r="F52" s="83" t="n">
        <v>2157.26658156169</v>
      </c>
      <c r="G52" s="83" t="n">
        <v>1947.41707942631</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3412.72803408296</v>
      </c>
      <c r="D53" s="83" t="n">
        <v>-14.28981286070598</v>
      </c>
      <c r="E53" s="83" t="n">
        <v>-53.31374763511502</v>
      </c>
      <c r="F53" s="83" t="n">
        <v>1829.13073499334</v>
      </c>
      <c r="G53" s="83" t="n">
        <v>1651.20085958544</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2864.83515672896</v>
      </c>
      <c r="D54" s="83" t="n">
        <v>-11.995669698136</v>
      </c>
      <c r="E54" s="83" t="n">
        <v>-44.754547399231</v>
      </c>
      <c r="F54" s="83" t="n">
        <v>1535.47484110333</v>
      </c>
      <c r="G54" s="83" t="n">
        <v>1386.110532723</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2380.97382671383</v>
      </c>
      <c r="D55" s="83" t="n">
        <v>-9.969640144244011</v>
      </c>
      <c r="E55" s="83" t="n">
        <v>-37.19565006513699</v>
      </c>
      <c r="F55" s="83" t="n">
        <v>1276.13813997553</v>
      </c>
      <c r="G55" s="83" t="n">
        <v>1152.00097694768</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342114</v>
      </c>
      <c r="D189" s="112" t="n">
        <v>25377</v>
      </c>
      <c r="E189" s="112" t="n">
        <v>26732</v>
      </c>
      <c r="F189" s="129" t="n">
        <v>147111</v>
      </c>
      <c r="G189" s="118" t="n">
        <v>142894</v>
      </c>
      <c r="H189" s="83">
        <f t="array" ref="H189">E189+D189</f>
        <v/>
      </c>
      <c r="I189" s="128">
        <f t="array" ref="I189">G189+F189</f>
        <v/>
      </c>
      <c r="J189" s="112" t="n">
        <v>69345</v>
      </c>
      <c r="K189" s="112" t="n">
        <v>96978</v>
      </c>
      <c r="L189" s="131" t="n"/>
    </row>
    <row r="190" ht="20.65" customHeight="1" s="206">
      <c r="A190" s="10" t="n"/>
      <c r="B190" s="127">
        <f t="array" ref="B190">$B191-1</f>
        <v/>
      </c>
      <c r="C190" s="128" t="n">
        <v>414746</v>
      </c>
      <c r="D190" s="112" t="n">
        <v>30533</v>
      </c>
      <c r="E190" s="112" t="n">
        <v>32040</v>
      </c>
      <c r="F190" s="129" t="n">
        <v>180004</v>
      </c>
      <c r="G190" s="118" t="n">
        <v>172169</v>
      </c>
      <c r="H190" s="83">
        <f t="array" ref="H190">E190+D190</f>
        <v/>
      </c>
      <c r="I190" s="128">
        <f t="array" ref="I190">G190+F190</f>
        <v/>
      </c>
      <c r="J190" s="112" t="n">
        <v>59191</v>
      </c>
      <c r="K190" s="112" t="n">
        <v>70318</v>
      </c>
      <c r="L190" s="131" t="n"/>
    </row>
    <row r="191" ht="20.65" customHeight="1" s="206">
      <c r="A191" s="10" t="n"/>
      <c r="B191" s="127">
        <f t="array" ref="B191">$B192-1</f>
        <v/>
      </c>
      <c r="C191" s="128" t="n">
        <v>532132</v>
      </c>
      <c r="D191" s="112" t="n">
        <v>38200</v>
      </c>
      <c r="E191" s="112" t="n">
        <v>39982</v>
      </c>
      <c r="F191" s="129" t="n">
        <v>233771</v>
      </c>
      <c r="G191" s="118" t="n">
        <v>220179</v>
      </c>
      <c r="H191" s="83">
        <f t="array" ref="H191">E191+D191</f>
        <v/>
      </c>
      <c r="I191" s="128">
        <f t="array" ref="I191">G191+F191</f>
        <v/>
      </c>
      <c r="J191" s="112" t="n">
        <v>52863</v>
      </c>
      <c r="K191" s="112" t="n">
        <v>58938</v>
      </c>
      <c r="L191" s="131" t="n"/>
    </row>
    <row r="192" ht="20.65" customHeight="1" s="206">
      <c r="A192" s="10" t="n"/>
      <c r="B192" s="127">
        <f t="array" ref="B192">$B193-1</f>
        <v/>
      </c>
      <c r="C192" s="128" t="n">
        <v>643684</v>
      </c>
      <c r="D192" s="112" t="n">
        <v>40888</v>
      </c>
      <c r="E192" s="112" t="n">
        <v>42798</v>
      </c>
      <c r="F192" s="129" t="n">
        <v>283714</v>
      </c>
      <c r="G192" s="118" t="n">
        <v>276284</v>
      </c>
      <c r="H192" s="83">
        <f t="array" ref="H192">E192+D192</f>
        <v/>
      </c>
      <c r="I192" s="128">
        <f t="array" ref="I192">G192+F192</f>
        <v/>
      </c>
      <c r="J192" s="112" t="n">
        <v>49456</v>
      </c>
      <c r="K192" s="112" t="n">
        <v>56177</v>
      </c>
      <c r="L192" s="131" t="n"/>
    </row>
    <row r="193" ht="20.65" customHeight="1" s="206">
      <c r="A193" s="10" t="n"/>
      <c r="B193" s="127">
        <f t="array" ref="B193">$B194-1</f>
        <v/>
      </c>
      <c r="C193" s="128" t="n">
        <v>750480</v>
      </c>
      <c r="D193" s="112" t="n">
        <v>40866</v>
      </c>
      <c r="E193" s="112" t="n">
        <v>43592</v>
      </c>
      <c r="F193" s="129" t="n">
        <v>333579</v>
      </c>
      <c r="G193" s="118" t="n">
        <v>332443</v>
      </c>
      <c r="H193" s="83">
        <f t="array" ref="H193">E193+D193</f>
        <v/>
      </c>
      <c r="I193" s="128">
        <f t="array" ref="I193">G193+F193</f>
        <v/>
      </c>
      <c r="J193" s="112" t="n">
        <v>50613</v>
      </c>
      <c r="K193" s="112" t="n">
        <v>58554</v>
      </c>
      <c r="L193" s="131" t="n"/>
    </row>
    <row r="194" ht="20.65" customHeight="1" s="206">
      <c r="A194" s="10" t="n"/>
      <c r="B194" s="127">
        <f t="array" ref="B194">$B195-1</f>
        <v/>
      </c>
      <c r="C194" s="128" t="n">
        <v>467918</v>
      </c>
      <c r="D194" s="112" t="n">
        <v>25338</v>
      </c>
      <c r="E194" s="112" t="n">
        <v>27430</v>
      </c>
      <c r="F194" s="129" t="n">
        <v>206178</v>
      </c>
      <c r="G194" s="118" t="n">
        <v>208972</v>
      </c>
      <c r="H194" s="83">
        <f t="array" ref="H194">E194+D194</f>
        <v/>
      </c>
      <c r="I194" s="128">
        <f t="array" ref="I194">G194+F194</f>
        <v/>
      </c>
      <c r="J194" s="112" t="n">
        <v>47156</v>
      </c>
      <c r="K194" s="112" t="n">
        <v>56409</v>
      </c>
      <c r="L194" s="131" t="n"/>
    </row>
    <row r="195" ht="20.65" customHeight="1" s="206">
      <c r="A195" s="10" t="n"/>
      <c r="B195" s="127">
        <f t="array" ref="B195">$B196-1</f>
        <v/>
      </c>
      <c r="C195" s="128" t="n">
        <v>887960</v>
      </c>
      <c r="D195" s="112" t="n">
        <v>62859</v>
      </c>
      <c r="E195" s="112" t="n">
        <v>72792</v>
      </c>
      <c r="F195" s="129" t="n">
        <v>357939</v>
      </c>
      <c r="G195" s="118" t="n">
        <v>394370</v>
      </c>
      <c r="H195" s="83">
        <f t="array" ref="H195">E195+D195</f>
        <v/>
      </c>
      <c r="I195" s="128">
        <f t="array" ref="I195">G195+F195</f>
        <v/>
      </c>
      <c r="J195" s="112" t="n">
        <v>50392</v>
      </c>
      <c r="K195" s="112" t="n">
        <v>68119</v>
      </c>
      <c r="L195" s="131" t="n"/>
    </row>
    <row r="196" ht="20.65" customHeight="1" s="206">
      <c r="A196" s="10" t="n"/>
      <c r="B196" s="127">
        <f t="array" ref="B196">$B197-1</f>
        <v/>
      </c>
      <c r="C196" s="128" t="n">
        <v>1258894</v>
      </c>
      <c r="D196" s="112" t="n">
        <v>65373</v>
      </c>
      <c r="E196" s="112" t="n">
        <v>73047</v>
      </c>
      <c r="F196" s="129" t="n">
        <v>566717</v>
      </c>
      <c r="G196" s="118" t="n">
        <v>553757</v>
      </c>
      <c r="H196" s="83">
        <f t="array" ref="H196">E196+D196</f>
        <v/>
      </c>
      <c r="I196" s="128">
        <f t="array" ref="I196">G196+F196</f>
        <v/>
      </c>
      <c r="J196" s="112" t="n">
        <v>102165</v>
      </c>
      <c r="K196" s="112" t="n">
        <v>99457</v>
      </c>
      <c r="L196" s="131" t="n"/>
    </row>
    <row r="197" ht="20.65" customHeight="1" s="206">
      <c r="A197" s="10" t="n"/>
      <c r="B197" s="127">
        <f t="array" ref="B197">$B198-1</f>
        <v/>
      </c>
      <c r="C197" s="128" t="n">
        <v>1250991</v>
      </c>
      <c r="D197" s="112" t="n">
        <v>71895</v>
      </c>
      <c r="E197" s="112" t="n">
        <v>81068</v>
      </c>
      <c r="F197" s="129" t="n">
        <v>537099</v>
      </c>
      <c r="G197" s="118" t="n">
        <v>560929</v>
      </c>
      <c r="H197" s="83">
        <f t="array" ref="H197">E197+D197</f>
        <v/>
      </c>
      <c r="I197" s="128">
        <f t="array" ref="I197">G197+F197</f>
        <v/>
      </c>
      <c r="J197" s="112" t="n">
        <v>68403</v>
      </c>
      <c r="K197" s="112" t="n">
        <v>79188</v>
      </c>
      <c r="L197" s="131" t="n"/>
    </row>
    <row r="198" ht="20.45" customHeight="1" s="206">
      <c r="A198" s="10" t="n"/>
      <c r="B198" s="127">
        <f t="array" ref="B198">$C$7</f>
        <v/>
      </c>
      <c r="C198" s="128" t="n">
        <v>1288562</v>
      </c>
      <c r="D198" s="132" t="n">
        <v>68761</v>
      </c>
      <c r="E198" s="133" t="n">
        <v>75574</v>
      </c>
      <c r="F198" s="118" t="n">
        <v>538195</v>
      </c>
      <c r="G198" s="118" t="n">
        <v>606032</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343875</v>
      </c>
      <c r="D276" s="112" t="n">
        <v>45363</v>
      </c>
      <c r="E276" s="112" t="n">
        <v>49282</v>
      </c>
      <c r="F276" s="129" t="n">
        <v>108104</v>
      </c>
      <c r="G276" s="118" t="n">
        <v>141126</v>
      </c>
      <c r="H276" s="83">
        <f t="array" ref="H276">E276+D276</f>
        <v/>
      </c>
      <c r="I276" s="128">
        <f t="array" ref="I276">G276+F276</f>
        <v/>
      </c>
      <c r="J276" s="112" t="n">
        <v>24746</v>
      </c>
      <c r="K276" s="112" t="n">
        <v>31943</v>
      </c>
      <c r="L276" s="131" t="n"/>
    </row>
    <row r="277" ht="20.65" customHeight="1" s="206">
      <c r="A277" s="10" t="n"/>
      <c r="B277" s="127">
        <f t="array" ref="B277">$B278-1</f>
        <v/>
      </c>
      <c r="C277" s="128" t="n">
        <v>327325</v>
      </c>
      <c r="D277" s="112" t="n">
        <v>43156</v>
      </c>
      <c r="E277" s="112" t="n">
        <v>46669</v>
      </c>
      <c r="F277" s="129" t="n">
        <v>104349</v>
      </c>
      <c r="G277" s="118" t="n">
        <v>133151</v>
      </c>
      <c r="H277" s="83">
        <f t="array" ref="H277">E277+D277</f>
        <v/>
      </c>
      <c r="I277" s="128">
        <f t="array" ref="I277">G277+F277</f>
        <v/>
      </c>
      <c r="J277" s="112" t="n">
        <v>28284</v>
      </c>
      <c r="K277" s="112" t="n">
        <v>36144</v>
      </c>
      <c r="L277" s="131" t="n"/>
    </row>
    <row r="278" ht="20.65" customHeight="1" s="206">
      <c r="A278" s="10" t="n"/>
      <c r="B278" s="127">
        <f t="array" ref="B278">$B279-1</f>
        <v/>
      </c>
      <c r="C278" s="128" t="n">
        <v>368860</v>
      </c>
      <c r="D278" s="112" t="n">
        <v>41299</v>
      </c>
      <c r="E278" s="112" t="n">
        <v>45528</v>
      </c>
      <c r="F278" s="129" t="n">
        <v>126556</v>
      </c>
      <c r="G278" s="118" t="n">
        <v>155477</v>
      </c>
      <c r="H278" s="83">
        <f t="array" ref="H278">E278+D278</f>
        <v/>
      </c>
      <c r="I278" s="128">
        <f t="array" ref="I278">G278+F278</f>
        <v/>
      </c>
      <c r="J278" s="112" t="n">
        <v>28364</v>
      </c>
      <c r="K278" s="112" t="n">
        <v>37780</v>
      </c>
      <c r="L278" s="131" t="n"/>
    </row>
    <row r="279" ht="20.65" customHeight="1" s="206">
      <c r="A279" s="10" t="n"/>
      <c r="B279" s="127">
        <f t="array" ref="B279">$B280-1</f>
        <v/>
      </c>
      <c r="C279" s="128" t="n">
        <v>309526</v>
      </c>
      <c r="D279" s="112" t="n">
        <v>37131</v>
      </c>
      <c r="E279" s="112" t="n">
        <v>42129</v>
      </c>
      <c r="F279" s="129" t="n">
        <v>105258</v>
      </c>
      <c r="G279" s="118" t="n">
        <v>125008</v>
      </c>
      <c r="H279" s="83">
        <f t="array" ref="H279">E279+D279</f>
        <v/>
      </c>
      <c r="I279" s="128">
        <f t="array" ref="I279">G279+F279</f>
        <v/>
      </c>
      <c r="J279" s="112" t="n">
        <v>28381</v>
      </c>
      <c r="K279" s="112" t="n">
        <v>38831</v>
      </c>
      <c r="L279" s="131" t="n"/>
    </row>
    <row r="280" ht="20.65" customHeight="1" s="206">
      <c r="A280" s="10" t="n"/>
      <c r="B280" s="127">
        <f t="array" ref="B280">$B281-1</f>
        <v/>
      </c>
      <c r="C280" s="128" t="n">
        <v>296248</v>
      </c>
      <c r="D280" s="112" t="n">
        <v>35986</v>
      </c>
      <c r="E280" s="112" t="n">
        <v>40106</v>
      </c>
      <c r="F280" s="129" t="n">
        <v>101186</v>
      </c>
      <c r="G280" s="118" t="n">
        <v>118970</v>
      </c>
      <c r="H280" s="83">
        <f t="array" ref="H280">E280+D280</f>
        <v/>
      </c>
      <c r="I280" s="128">
        <f t="array" ref="I280">G280+F280</f>
        <v/>
      </c>
      <c r="J280" s="112" t="n">
        <v>28842</v>
      </c>
      <c r="K280" s="112" t="n">
        <v>39438</v>
      </c>
      <c r="L280" s="131" t="n"/>
    </row>
    <row r="281" ht="20.65" customHeight="1" s="206">
      <c r="A281" s="10" t="n"/>
      <c r="B281" s="127">
        <f t="array" ref="B281">$B282-1</f>
        <v/>
      </c>
      <c r="C281" s="128" t="n">
        <v>248561</v>
      </c>
      <c r="D281" s="112" t="n">
        <v>30930</v>
      </c>
      <c r="E281" s="112" t="n">
        <v>34499</v>
      </c>
      <c r="F281" s="129" t="n">
        <v>84008</v>
      </c>
      <c r="G281" s="118" t="n">
        <v>99124</v>
      </c>
      <c r="H281" s="83">
        <f t="array" ref="H281">E281+D281</f>
        <v/>
      </c>
      <c r="I281" s="128">
        <f t="array" ref="I281">G281+F281</f>
        <v/>
      </c>
      <c r="J281" s="112" t="n">
        <v>26795</v>
      </c>
      <c r="K281" s="112" t="n">
        <v>35786</v>
      </c>
      <c r="L281" s="131" t="n"/>
    </row>
    <row r="282" ht="20.65" customHeight="1" s="206">
      <c r="A282" s="10" t="n"/>
      <c r="B282" s="127">
        <f t="array" ref="B282">$B283-1</f>
        <v/>
      </c>
      <c r="C282" s="128" t="n">
        <v>696866</v>
      </c>
      <c r="D282" s="112" t="n">
        <v>70274</v>
      </c>
      <c r="E282" s="112" t="n">
        <v>85259</v>
      </c>
      <c r="F282" s="129" t="n">
        <v>253745</v>
      </c>
      <c r="G282" s="118" t="n">
        <v>287588</v>
      </c>
      <c r="H282" s="83">
        <f t="array" ref="H282">E282+D282</f>
        <v/>
      </c>
      <c r="I282" s="128">
        <f t="array" ref="I282">G282+F282</f>
        <v/>
      </c>
      <c r="J282" s="112" t="n">
        <v>28792</v>
      </c>
      <c r="K282" s="112" t="n">
        <v>38507</v>
      </c>
      <c r="L282" s="131" t="n"/>
    </row>
    <row r="283" ht="20.65" customHeight="1" s="206">
      <c r="A283" s="10" t="n"/>
      <c r="B283" s="127">
        <f t="array" ref="B283">$B284-1</f>
        <v/>
      </c>
      <c r="C283" s="128" t="n">
        <v>531889</v>
      </c>
      <c r="D283" s="112" t="n">
        <v>63002</v>
      </c>
      <c r="E283" s="112" t="n">
        <v>78122</v>
      </c>
      <c r="F283" s="129" t="n">
        <v>181029</v>
      </c>
      <c r="G283" s="118" t="n">
        <v>209736</v>
      </c>
      <c r="H283" s="83">
        <f t="array" ref="H283">E283+D283</f>
        <v/>
      </c>
      <c r="I283" s="128">
        <f t="array" ref="I283">G283+F283</f>
        <v/>
      </c>
      <c r="J283" s="112" t="n">
        <v>33347</v>
      </c>
      <c r="K283" s="112" t="n">
        <v>40924</v>
      </c>
      <c r="L283" s="131" t="n"/>
    </row>
    <row r="284" ht="20.65" customHeight="1" s="206">
      <c r="A284" s="10" t="n"/>
      <c r="B284" s="127">
        <f t="array" ref="B284">$B285-1</f>
        <v/>
      </c>
      <c r="C284" s="128" t="n">
        <v>608695</v>
      </c>
      <c r="D284" s="112" t="n">
        <v>56806</v>
      </c>
      <c r="E284" s="112" t="n">
        <v>70095</v>
      </c>
      <c r="F284" s="129" t="n">
        <v>224227</v>
      </c>
      <c r="G284" s="118" t="n">
        <v>257567</v>
      </c>
      <c r="H284" s="83">
        <f t="array" ref="H284">E284+D284</f>
        <v/>
      </c>
      <c r="I284" s="128">
        <f t="array" ref="I284">G284+F284</f>
        <v/>
      </c>
      <c r="J284" s="112" t="n">
        <v>33164</v>
      </c>
      <c r="K284" s="112" t="n">
        <v>40872</v>
      </c>
      <c r="L284" s="131" t="n"/>
    </row>
    <row r="285" ht="20.65" customHeight="1" s="206">
      <c r="A285" s="10" t="n"/>
      <c r="B285" s="127">
        <f t="array" ref="B285">$C$7</f>
        <v/>
      </c>
      <c r="C285" s="128" t="n">
        <v>662294</v>
      </c>
      <c r="D285" s="112" t="n">
        <v>60561</v>
      </c>
      <c r="E285" s="134" t="n">
        <v>77158</v>
      </c>
      <c r="F285" s="118" t="n">
        <v>250306</v>
      </c>
      <c r="G285" s="118" t="n">
        <v>274269</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21634</v>
      </c>
      <c r="G15" s="89" t="n">
        <v>23010</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56073</v>
      </c>
      <c r="G16" s="89" t="n">
        <v>53531</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8151</v>
      </c>
      <c r="G18" s="89" t="n">
        <v>7236</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68433</v>
      </c>
      <c r="G20" s="89" t="n">
        <v>63397</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4250</v>
      </c>
      <c r="G21" s="89" t="n">
        <v>5021</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6575</v>
      </c>
      <c r="G24" s="89" t="n">
        <v>5010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63591</v>
      </c>
      <c r="G26" s="89" t="n">
        <v>63424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130522</v>
      </c>
      <c r="G27" s="89" t="n">
        <v>135940</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11540</v>
      </c>
      <c r="G33" s="89" t="n">
        <v>13638</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160198</v>
      </c>
      <c r="G36" s="89" t="n">
        <v>185579</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10380</v>
      </c>
      <c r="G39" s="89" t="n">
        <v>7441</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8304</v>
      </c>
      <c r="G43" s="89" t="n">
        <v>7160</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29761</v>
      </c>
      <c r="G47" s="89" t="n">
        <v>33135</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5705</v>
      </c>
      <c r="G48" s="89" t="n">
        <v>5723</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35620</v>
      </c>
      <c r="G49" s="89" t="n">
        <v>25638</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48856</v>
      </c>
      <c r="G50" s="89" t="n">
        <v>61074</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314325</v>
      </c>
      <c r="G51" s="89" t="n">
        <v>294945</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67551</v>
      </c>
      <c r="G53" s="89" t="n">
        <v>43114</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13087</v>
      </c>
      <c r="G54" s="89" t="n">
        <v>12480</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117423</v>
      </c>
      <c r="G59" s="89" t="n">
        <v>84682</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1181979</v>
      </c>
      <c r="G62" s="55" t="n">
        <v>1131178</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4040</v>
      </c>
      <c r="G74" s="89" t="n">
        <v>3622</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31526</v>
      </c>
      <c r="G75" s="89" t="n">
        <v>24850</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46877</v>
      </c>
      <c r="G76" s="89" t="n">
        <v>41490</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32391</v>
      </c>
      <c r="G79" s="89" t="n">
        <v>31821</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114186</v>
      </c>
      <c r="G84" s="89" t="n">
        <v>63743</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23752</v>
      </c>
      <c r="G93" s="89" t="n">
        <v>15898</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47079</v>
      </c>
      <c r="G94" s="89" t="n">
        <v>25413</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30817</v>
      </c>
      <c r="G102" s="89" t="n">
        <v>26562</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76282</v>
      </c>
      <c r="G106" s="89" t="n">
        <v>72303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406950</v>
      </c>
      <c r="G107" s="55" t="n">
        <v>305702</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34161</v>
      </c>
      <c r="G110" s="89" t="n">
        <v>33081</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64340</v>
      </c>
      <c r="G111" s="89" t="n">
        <v>41650</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19707</v>
      </c>
      <c r="G112" s="89" t="n">
        <v>17747</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367232</v>
      </c>
      <c r="G113" s="89" t="n">
        <v>309302</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60848</v>
      </c>
      <c r="G114" s="89" t="n">
        <v>71524</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v>38</v>
      </c>
      <c r="G116" s="89" t="n">
        <v>32</v>
      </c>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142035</v>
      </c>
      <c r="G118" s="89" t="n">
        <v>118509</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75656</v>
      </c>
      <c r="G119" s="89" t="n">
        <v>46979</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14663</v>
      </c>
      <c r="G121" s="89" t="n">
        <v>14107</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206077</v>
      </c>
      <c r="G122" s="89" t="n">
        <v>171732</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984757</v>
      </c>
      <c r="G123" s="55" t="n">
        <v>824663</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29796</v>
      </c>
      <c r="G138" s="89" t="n">
        <v>59796</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6768</v>
      </c>
      <c r="G144" s="89" t="n">
        <v>14365</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5101</v>
      </c>
      <c r="G145" s="89" t="n">
        <v>21852</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3038</v>
      </c>
      <c r="G146" s="89" t="n">
        <v>8556</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8706</v>
      </c>
      <c r="G147" s="89" t="n">
        <v>5576</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402512</v>
      </c>
      <c r="G155" s="89" t="n">
        <v>566487</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5332</v>
      </c>
      <c r="G157" s="89" t="n">
        <v>33185</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3031</v>
      </c>
      <c r="G158" s="89" t="n">
        <v>7469</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13807</v>
      </c>
      <c r="G164" s="89" t="n">
        <v>18416</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20620</v>
      </c>
      <c r="G170" s="89" t="n">
        <v>80812</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19985</v>
      </c>
      <c r="G171" s="89" t="n">
        <v>32374</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518696</v>
      </c>
      <c r="G184" s="55" t="n">
        <v>848888</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39435</v>
      </c>
      <c r="G194" s="89" t="n">
        <v>38938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36872</v>
      </c>
      <c r="G200" s="89" t="n">
        <v>79769</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76307</v>
      </c>
      <c r="G208" s="55" t="n">
        <v>118707</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6759</v>
      </c>
      <c r="G212" s="89" t="n">
        <v>17562</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120520</v>
      </c>
      <c r="G215" s="89" t="n">
        <v>117852</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23270</v>
      </c>
      <c r="G219" s="89" t="n">
        <v>39745</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26854</v>
      </c>
      <c r="G234" s="89" t="n">
        <v>15717</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177403</v>
      </c>
      <c r="G243" s="55" t="n">
        <v>190876</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2246</v>
      </c>
      <c r="G247" s="89" t="n">
        <v>2803</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2246</v>
      </c>
      <c r="G273" s="55" t="n">
        <v>2803</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3348338</v>
      </c>
      <c r="G285" s="79" t="n">
        <v>3422817</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2026-05-25T15:02:37Z</dcterms:modified>
  <cp:lastModifiedBy>King Dom</cp:lastModifiedBy>
</cp:coreProperties>
</file>