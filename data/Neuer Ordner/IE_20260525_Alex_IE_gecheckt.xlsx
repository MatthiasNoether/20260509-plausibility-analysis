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IE</t>
        </is>
      </c>
      <c r="D11" s="177" t="n"/>
      <c r="E11" s="177" t="n"/>
      <c r="F11" s="177" t="n"/>
      <c r="G11" s="177" t="n"/>
      <c r="H11" s="177" t="n"/>
      <c r="I11" s="177" t="n"/>
      <c r="J11" s="177" t="n"/>
      <c r="K11" s="177" t="n"/>
      <c r="L11" s="13" t="n"/>
    </row>
    <row r="12" ht="20.1" customHeight="1" s="206">
      <c r="A12" s="2" t="inlineStr">
        <is>
          <t>nn</t>
        </is>
      </c>
      <c r="B12" s="23" t="inlineStr">
        <is>
          <t>Name</t>
        </is>
      </c>
      <c r="C12" s="176" t="inlineStr">
        <is>
          <t>Ireland</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Country of birth is the country in which a person was born. Foreign-born (born outside Ireland) = Migrant; Ireland-born = Native.</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https://www.cso.ie/en/releasesandpublications/ep/p-pme/populationandmigrationestimatesapril2025/backgroundnotes/; downloaded 46123</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83.06771538965894</v>
      </c>
      <c r="D60" s="40" t="n">
        <v>84.90000000000001</v>
      </c>
      <c r="E60" s="40" t="n">
        <v>81.2</v>
      </c>
      <c r="F60" s="40" t="n">
        <v>84.90000000000001</v>
      </c>
      <c r="G60" s="40" t="n">
        <v>81.2</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https://www.cso.ie/en/interactivezone/statisticsexplained/birthsdeathsandmarriages/lifeexpectancytables/; downloaded 46123;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0</v>
      </c>
      <c r="D9" s="56">
        <f t="array" ref="D9">D121</f>
        <v/>
      </c>
      <c r="E9" s="56">
        <f t="array" ref="E9">E121</f>
        <v/>
      </c>
      <c r="F9" s="56">
        <f t="array" ref="F9">F121</f>
        <v/>
      </c>
      <c r="G9" s="56">
        <f t="array" ref="G9">G121</f>
        <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0</v>
      </c>
      <c r="D10" s="56">
        <f t="array" ref="D10">D122</f>
        <v/>
      </c>
      <c r="E10" s="56">
        <f t="array" ref="E10">E122</f>
        <v/>
      </c>
      <c r="F10" s="56">
        <f t="array" ref="F10">F122</f>
        <v/>
      </c>
      <c r="G10" s="56">
        <f t="array" ref="G10">G122</f>
        <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0</v>
      </c>
      <c r="D11" s="56">
        <f t="array" ref="D11">D123</f>
        <v/>
      </c>
      <c r="E11" s="56">
        <f t="array" ref="E11">E123</f>
        <v/>
      </c>
      <c r="F11" s="56">
        <f t="array" ref="F11">F123</f>
        <v/>
      </c>
      <c r="G11" s="56">
        <f t="array" ref="G11">G123</f>
        <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0</v>
      </c>
      <c r="D12" s="56">
        <f t="array" ref="D12">D124</f>
        <v/>
      </c>
      <c r="E12" s="56">
        <f t="array" ref="E12">E124</f>
        <v/>
      </c>
      <c r="F12" s="56">
        <f t="array" ref="F12">F124</f>
        <v/>
      </c>
      <c r="G12" s="56">
        <f t="array" ref="G12">G124</f>
        <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0</v>
      </c>
      <c r="D13" s="56">
        <f t="array" ref="D13">D125</f>
        <v/>
      </c>
      <c r="E13" s="56">
        <f t="array" ref="E13">E125</f>
        <v/>
      </c>
      <c r="F13" s="56">
        <f t="array" ref="F13">F125</f>
        <v/>
      </c>
      <c r="G13" s="56">
        <f t="array" ref="G13">G125</f>
        <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0</v>
      </c>
      <c r="D14" s="56">
        <f t="array" ref="D14">D126</f>
        <v/>
      </c>
      <c r="E14" s="56">
        <f t="array" ref="E14">E126</f>
        <v/>
      </c>
      <c r="F14" s="56">
        <f t="array" ref="F14">F126</f>
        <v/>
      </c>
      <c r="G14" s="56">
        <f t="array" ref="G14">G126</f>
        <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0</v>
      </c>
      <c r="D15" s="56">
        <f t="array" ref="D15">D127</f>
        <v/>
      </c>
      <c r="E15" s="56">
        <f t="array" ref="E15">E127</f>
        <v/>
      </c>
      <c r="F15" s="56">
        <f t="array" ref="F15">F127</f>
        <v/>
      </c>
      <c r="G15" s="56">
        <f t="array" ref="G15">G127</f>
        <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0</v>
      </c>
      <c r="D16" s="56">
        <f t="array" ref="D16">D128</f>
        <v/>
      </c>
      <c r="E16" s="56">
        <f t="array" ref="E16">E128</f>
        <v/>
      </c>
      <c r="F16" s="56">
        <f t="array" ref="F16">F128</f>
        <v/>
      </c>
      <c r="G16" s="56">
        <f t="array" ref="G16">G128</f>
        <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0</v>
      </c>
      <c r="D17" s="56">
        <f t="array" ref="D17">D129</f>
        <v/>
      </c>
      <c r="E17" s="56">
        <f t="array" ref="E17">E129</f>
        <v/>
      </c>
      <c r="F17" s="56">
        <f t="array" ref="F17">F129</f>
        <v/>
      </c>
      <c r="G17" s="56">
        <f t="array" ref="G17">G129</f>
        <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0</v>
      </c>
      <c r="D18" s="56">
        <f t="array" ref="D18">D130</f>
        <v/>
      </c>
      <c r="E18" s="56">
        <f t="array" ref="E18">E130</f>
        <v/>
      </c>
      <c r="F18" s="56">
        <f t="array" ref="F18">F130</f>
        <v/>
      </c>
      <c r="G18" s="56">
        <f t="array" ref="G18">G130</f>
        <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0</v>
      </c>
      <c r="D19" s="56">
        <f t="array" ref="D19">D131</f>
        <v/>
      </c>
      <c r="E19" s="56">
        <f t="array" ref="E19">E131</f>
        <v/>
      </c>
      <c r="F19" s="56">
        <f t="array" ref="F19">F131</f>
        <v/>
      </c>
      <c r="G19" s="56">
        <f t="array" ref="G19">G131</f>
        <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0</v>
      </c>
      <c r="D20" s="56">
        <f t="array" ref="D20">D132</f>
        <v/>
      </c>
      <c r="E20" s="56">
        <f t="array" ref="E20">E132</f>
        <v/>
      </c>
      <c r="F20" s="56">
        <f t="array" ref="F20">F132</f>
        <v/>
      </c>
      <c r="G20" s="56">
        <f t="array" ref="G20">G132</f>
        <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0</v>
      </c>
      <c r="D21" s="56">
        <f t="array" ref="D21">D133</f>
        <v/>
      </c>
      <c r="E21" s="56">
        <f t="array" ref="E21">E133</f>
        <v/>
      </c>
      <c r="F21" s="56">
        <f t="array" ref="F21">F133</f>
        <v/>
      </c>
      <c r="G21" s="56">
        <f t="array" ref="G21">G133</f>
        <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0</v>
      </c>
      <c r="D22" s="56">
        <f t="array" ref="D22">D134</f>
        <v/>
      </c>
      <c r="E22" s="56">
        <f t="array" ref="E22">E134</f>
        <v/>
      </c>
      <c r="F22" s="56">
        <f t="array" ref="F22">F134</f>
        <v/>
      </c>
      <c r="G22" s="56">
        <f t="array" ref="G22">G134</f>
        <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0</v>
      </c>
      <c r="D23" s="56">
        <f t="array" ref="D23">D135</f>
        <v/>
      </c>
      <c r="E23" s="56">
        <f t="array" ref="E23">E135</f>
        <v/>
      </c>
      <c r="F23" s="56">
        <f t="array" ref="F23">F135</f>
        <v/>
      </c>
      <c r="G23" s="56">
        <f t="array" ref="G23">G135</f>
        <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0</v>
      </c>
      <c r="D24" s="56">
        <f t="array" ref="D24">D136</f>
        <v/>
      </c>
      <c r="E24" s="56">
        <f t="array" ref="E24">E136</f>
        <v/>
      </c>
      <c r="F24" s="56">
        <f t="array" ref="F24">F136</f>
        <v/>
      </c>
      <c r="G24" s="56">
        <f t="array" ref="G24">G136</f>
        <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0</v>
      </c>
      <c r="D25" s="56">
        <f t="array" ref="D25">D137</f>
        <v/>
      </c>
      <c r="E25" s="56">
        <f t="array" ref="E25">E137</f>
        <v/>
      </c>
      <c r="F25" s="56">
        <f t="array" ref="F25">F137</f>
        <v/>
      </c>
      <c r="G25" s="56">
        <f t="array" ref="G25">G137</f>
        <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0</v>
      </c>
      <c r="D26" s="56">
        <f t="array" ref="D26">D138</f>
        <v/>
      </c>
      <c r="E26" s="56">
        <f t="array" ref="E26">E138</f>
        <v/>
      </c>
      <c r="F26" s="56">
        <f t="array" ref="F26">F138</f>
        <v/>
      </c>
      <c r="G26" s="56">
        <f t="array" ref="G26">G138</f>
        <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0</v>
      </c>
      <c r="D27" s="56">
        <f t="array" ref="D27">D139</f>
        <v/>
      </c>
      <c r="E27" s="56">
        <f t="array" ref="E27">E139</f>
        <v/>
      </c>
      <c r="F27" s="56">
        <f t="array" ref="F27">F139</f>
        <v/>
      </c>
      <c r="G27" s="56">
        <f t="array" ref="G27">G139</f>
        <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0</v>
      </c>
      <c r="D28" s="56">
        <f t="array" ref="D28">D140</f>
        <v/>
      </c>
      <c r="E28" s="56">
        <f t="array" ref="E28">E140</f>
        <v/>
      </c>
      <c r="F28" s="56">
        <f t="array" ref="F28">F140</f>
        <v/>
      </c>
      <c r="G28" s="56">
        <f t="array" ref="G28">G140</f>
        <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0</v>
      </c>
      <c r="D29" s="56">
        <f t="array" ref="D29">D141</f>
        <v/>
      </c>
      <c r="E29" s="56">
        <f t="array" ref="E29">E141</f>
        <v/>
      </c>
      <c r="F29" s="56">
        <f t="array" ref="F29">F141</f>
        <v/>
      </c>
      <c r="G29" s="56">
        <f t="array" ref="G29">G141</f>
        <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0</v>
      </c>
      <c r="D30" s="56">
        <f t="array" ref="D30">D142</f>
        <v/>
      </c>
      <c r="E30" s="56">
        <f t="array" ref="E30">E142</f>
        <v/>
      </c>
      <c r="F30" s="56">
        <f t="array" ref="F30">F142</f>
        <v/>
      </c>
      <c r="G30" s="56">
        <f t="array" ref="G30">G142</f>
        <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0</v>
      </c>
      <c r="D31" s="56">
        <f t="array" ref="D31">D143</f>
        <v/>
      </c>
      <c r="E31" s="56">
        <f t="array" ref="E31">E143</f>
        <v/>
      </c>
      <c r="F31" s="56">
        <f t="array" ref="F31">F143</f>
        <v/>
      </c>
      <c r="G31" s="56">
        <f t="array" ref="G31">G143</f>
        <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0</v>
      </c>
      <c r="D32" s="56">
        <f t="array" ref="D32">D144</f>
        <v/>
      </c>
      <c r="E32" s="56">
        <f t="array" ref="E32">E144</f>
        <v/>
      </c>
      <c r="F32" s="56">
        <f t="array" ref="F32">F144</f>
        <v/>
      </c>
      <c r="G32" s="56">
        <f t="array" ref="G32">G144</f>
        <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0</v>
      </c>
      <c r="D33" s="56">
        <f t="array" ref="D33">D145</f>
        <v/>
      </c>
      <c r="E33" s="56">
        <f t="array" ref="E33">E145</f>
        <v/>
      </c>
      <c r="F33" s="56">
        <f t="array" ref="F33">F145</f>
        <v/>
      </c>
      <c r="G33" s="56">
        <f t="array" ref="G33">G145</f>
        <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0</v>
      </c>
      <c r="D34" s="56">
        <f t="array" ref="D34">D146</f>
        <v/>
      </c>
      <c r="E34" s="56">
        <f t="array" ref="E34">E146</f>
        <v/>
      </c>
      <c r="F34" s="56">
        <f t="array" ref="F34">F146</f>
        <v/>
      </c>
      <c r="G34" s="56">
        <f t="array" ref="G34">G146</f>
        <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0</v>
      </c>
      <c r="D35" s="56">
        <f t="array" ref="D35">D147</f>
        <v/>
      </c>
      <c r="E35" s="56">
        <f t="array" ref="E35">E147</f>
        <v/>
      </c>
      <c r="F35" s="56">
        <f t="array" ref="F35">F147</f>
        <v/>
      </c>
      <c r="G35" s="56">
        <f t="array" ref="G35">G147</f>
        <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0</v>
      </c>
      <c r="D36" s="56">
        <f t="array" ref="D36">D148</f>
        <v/>
      </c>
      <c r="E36" s="56">
        <f t="array" ref="E36">E148</f>
        <v/>
      </c>
      <c r="F36" s="56">
        <f t="array" ref="F36">F148</f>
        <v/>
      </c>
      <c r="G36" s="56">
        <f t="array" ref="G36">G148</f>
        <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0</v>
      </c>
      <c r="D37" s="56">
        <f t="array" ref="D37">D149</f>
        <v/>
      </c>
      <c r="E37" s="56">
        <f t="array" ref="E37">E149</f>
        <v/>
      </c>
      <c r="F37" s="56">
        <f t="array" ref="F37">F149</f>
        <v/>
      </c>
      <c r="G37" s="56">
        <f t="array" ref="G37">G149</f>
        <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0</v>
      </c>
      <c r="D38" s="56">
        <f t="array" ref="D38">D150</f>
        <v/>
      </c>
      <c r="E38" s="56">
        <f t="array" ref="E38">E150</f>
        <v/>
      </c>
      <c r="F38" s="56">
        <f t="array" ref="F38">F150</f>
        <v/>
      </c>
      <c r="G38" s="56">
        <f t="array" ref="G38">G150</f>
        <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0</v>
      </c>
      <c r="D39" s="56">
        <f t="array" ref="D39">D151</f>
        <v/>
      </c>
      <c r="E39" s="56">
        <f t="array" ref="E39">E151</f>
        <v/>
      </c>
      <c r="F39" s="56">
        <f t="array" ref="F39">F151</f>
        <v/>
      </c>
      <c r="G39" s="56">
        <f t="array" ref="G39">G151</f>
        <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0</v>
      </c>
      <c r="D40" s="56">
        <f t="array" ref="D40">D152</f>
        <v/>
      </c>
      <c r="E40" s="56">
        <f t="array" ref="E40">E152</f>
        <v/>
      </c>
      <c r="F40" s="56">
        <f t="array" ref="F40">F152</f>
        <v/>
      </c>
      <c r="G40" s="56">
        <f t="array" ref="G40">G152</f>
        <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0</v>
      </c>
      <c r="D41" s="56">
        <f t="array" ref="D41">D153</f>
        <v/>
      </c>
      <c r="E41" s="56">
        <f t="array" ref="E41">E153</f>
        <v/>
      </c>
      <c r="F41" s="56">
        <f t="array" ref="F41">F153</f>
        <v/>
      </c>
      <c r="G41" s="56">
        <f t="array" ref="G41">G153</f>
        <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0</v>
      </c>
      <c r="D42" s="56">
        <f t="array" ref="D42">D154</f>
        <v/>
      </c>
      <c r="E42" s="56">
        <f t="array" ref="E42">E154</f>
        <v/>
      </c>
      <c r="F42" s="56">
        <f t="array" ref="F42">F154</f>
        <v/>
      </c>
      <c r="G42" s="56">
        <f t="array" ref="G42">G154</f>
        <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0</v>
      </c>
      <c r="D43" s="56">
        <f t="array" ref="D43">D155</f>
        <v/>
      </c>
      <c r="E43" s="56">
        <f t="array" ref="E43">E155</f>
        <v/>
      </c>
      <c r="F43" s="56">
        <f t="array" ref="F43">F155</f>
        <v/>
      </c>
      <c r="G43" s="56">
        <f t="array" ref="G43">G155</f>
        <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0</v>
      </c>
      <c r="D44" s="56">
        <f t="array" ref="D44">D156</f>
        <v/>
      </c>
      <c r="E44" s="56">
        <f t="array" ref="E44">E156</f>
        <v/>
      </c>
      <c r="F44" s="56">
        <f t="array" ref="F44">F156</f>
        <v/>
      </c>
      <c r="G44" s="56">
        <f t="array" ref="G44">G156</f>
        <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0</v>
      </c>
      <c r="D45" s="56">
        <f t="array" ref="D45">D157</f>
        <v/>
      </c>
      <c r="E45" s="56">
        <f t="array" ref="E45">E157</f>
        <v/>
      </c>
      <c r="F45" s="56">
        <f t="array" ref="F45">F157</f>
        <v/>
      </c>
      <c r="G45" s="56">
        <f t="array" ref="G45">G157</f>
        <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0</v>
      </c>
      <c r="D46" s="56">
        <f t="array" ref="D46">D158</f>
        <v/>
      </c>
      <c r="E46" s="56">
        <f t="array" ref="E46">E158</f>
        <v/>
      </c>
      <c r="F46" s="56">
        <f t="array" ref="F46">F158</f>
        <v/>
      </c>
      <c r="G46" s="56">
        <f t="array" ref="G46">G158</f>
        <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0</v>
      </c>
      <c r="D47" s="56">
        <f t="array" ref="D47">D159</f>
        <v/>
      </c>
      <c r="E47" s="56">
        <f t="array" ref="E47">E159</f>
        <v/>
      </c>
      <c r="F47" s="56">
        <f t="array" ref="F47">F159</f>
        <v/>
      </c>
      <c r="G47" s="56">
        <f t="array" ref="G47">G159</f>
        <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0</v>
      </c>
      <c r="D48" s="56">
        <f t="array" ref="D48">D160</f>
        <v/>
      </c>
      <c r="E48" s="56">
        <f t="array" ref="E48">E160</f>
        <v/>
      </c>
      <c r="F48" s="56">
        <f t="array" ref="F48">F160</f>
        <v/>
      </c>
      <c r="G48" s="56">
        <f t="array" ref="G48">G160</f>
        <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0</v>
      </c>
      <c r="D49" s="56">
        <f t="array" ref="D49">D161</f>
        <v/>
      </c>
      <c r="E49" s="56">
        <f t="array" ref="E49">E161</f>
        <v/>
      </c>
      <c r="F49" s="56">
        <f t="array" ref="F49">F161</f>
        <v/>
      </c>
      <c r="G49" s="56">
        <f t="array" ref="G49">G161</f>
        <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0</v>
      </c>
      <c r="D50" s="56">
        <f t="array" ref="D50">D162</f>
        <v/>
      </c>
      <c r="E50" s="56">
        <f t="array" ref="E50">E162</f>
        <v/>
      </c>
      <c r="F50" s="56">
        <f t="array" ref="F50">F162</f>
        <v/>
      </c>
      <c r="G50" s="56">
        <f t="array" ref="G50">G162</f>
        <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0</v>
      </c>
      <c r="D51" s="56">
        <f t="array" ref="D51">D163</f>
        <v/>
      </c>
      <c r="E51" s="56">
        <f t="array" ref="E51">E163</f>
        <v/>
      </c>
      <c r="F51" s="56">
        <f t="array" ref="F51">F163</f>
        <v/>
      </c>
      <c r="G51" s="56">
        <f t="array" ref="G51">G163</f>
        <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0</v>
      </c>
      <c r="D52" s="56">
        <f t="array" ref="D52">D164</f>
        <v/>
      </c>
      <c r="E52" s="56">
        <f t="array" ref="E52">E164</f>
        <v/>
      </c>
      <c r="F52" s="56">
        <f t="array" ref="F52">F164</f>
        <v/>
      </c>
      <c r="G52" s="56">
        <f t="array" ref="G52">G164</f>
        <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0</v>
      </c>
      <c r="D53" s="56">
        <f t="array" ref="D53">D165</f>
        <v/>
      </c>
      <c r="E53" s="56">
        <f t="array" ref="E53">E165</f>
        <v/>
      </c>
      <c r="F53" s="56">
        <f t="array" ref="F53">F165</f>
        <v/>
      </c>
      <c r="G53" s="56">
        <f t="array" ref="G53">G165</f>
        <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0</v>
      </c>
      <c r="D54" s="56">
        <f t="array" ref="D54">D166</f>
        <v/>
      </c>
      <c r="E54" s="56">
        <f t="array" ref="E54">E166</f>
        <v/>
      </c>
      <c r="F54" s="56">
        <f t="array" ref="F54">F166</f>
        <v/>
      </c>
      <c r="G54" s="56">
        <f t="array" ref="G54">G166</f>
        <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0</v>
      </c>
      <c r="D55" s="56">
        <f t="array" ref="D55">D167</f>
        <v/>
      </c>
      <c r="E55" s="56">
        <f t="array" ref="E55">E167</f>
        <v/>
      </c>
      <c r="F55" s="56">
        <f t="array" ref="F55">F167</f>
        <v/>
      </c>
      <c r="G55" s="56">
        <f t="array" ref="G55">G167</f>
        <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0</v>
      </c>
      <c r="D56" s="56">
        <f t="array" ref="D56">D168</f>
        <v/>
      </c>
      <c r="E56" s="56">
        <f t="array" ref="E56">E168</f>
        <v/>
      </c>
      <c r="F56" s="56">
        <f t="array" ref="F56">F168</f>
        <v/>
      </c>
      <c r="G56" s="56">
        <f t="array" ref="G56">G168</f>
        <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0</v>
      </c>
      <c r="D57" s="56">
        <f t="array" ref="D57">D169</f>
        <v/>
      </c>
      <c r="E57" s="56">
        <f t="array" ref="E57">E169</f>
        <v/>
      </c>
      <c r="F57" s="56">
        <f t="array" ref="F57">F169</f>
        <v/>
      </c>
      <c r="G57" s="56">
        <f t="array" ref="G57">G169</f>
        <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0</v>
      </c>
      <c r="D58" s="56">
        <f t="array" ref="D58">D170</f>
        <v/>
      </c>
      <c r="E58" s="56">
        <f t="array" ref="E58">E170</f>
        <v/>
      </c>
      <c r="F58" s="56">
        <f t="array" ref="F58">F170</f>
        <v/>
      </c>
      <c r="G58" s="56">
        <f t="array" ref="G58">G170</f>
        <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0</v>
      </c>
      <c r="D59" s="56">
        <f t="array" ref="D59">D171</f>
        <v/>
      </c>
      <c r="E59" s="56">
        <f t="array" ref="E59">E171</f>
        <v/>
      </c>
      <c r="F59" s="56">
        <f t="array" ref="F59">F171</f>
        <v/>
      </c>
      <c r="G59" s="56">
        <f t="array" ref="G59">G171</f>
        <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0</v>
      </c>
      <c r="D60" s="56">
        <f t="array" ref="D60">D172</f>
        <v/>
      </c>
      <c r="E60" s="56">
        <f t="array" ref="E60">E172</f>
        <v/>
      </c>
      <c r="F60" s="56">
        <f t="array" ref="F60">F172</f>
        <v/>
      </c>
      <c r="G60" s="56">
        <f t="array" ref="G60">G172</f>
        <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0</v>
      </c>
      <c r="D61" s="56">
        <f t="array" ref="D61">D173</f>
        <v/>
      </c>
      <c r="E61" s="56">
        <f t="array" ref="E61">E173</f>
        <v/>
      </c>
      <c r="F61" s="56">
        <f t="array" ref="F61">F173</f>
        <v/>
      </c>
      <c r="G61" s="56">
        <f t="array" ref="G61">G173</f>
        <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0</v>
      </c>
      <c r="D62" s="56">
        <f t="array" ref="D62">D174</f>
        <v/>
      </c>
      <c r="E62" s="56">
        <f t="array" ref="E62">E174</f>
        <v/>
      </c>
      <c r="F62" s="56">
        <f t="array" ref="F62">F174</f>
        <v/>
      </c>
      <c r="G62" s="56">
        <f t="array" ref="G62">G174</f>
        <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0</v>
      </c>
      <c r="D63" s="56">
        <f t="array" ref="D63">D175</f>
        <v/>
      </c>
      <c r="E63" s="56">
        <f t="array" ref="E63">E175</f>
        <v/>
      </c>
      <c r="F63" s="56">
        <f t="array" ref="F63">F175</f>
        <v/>
      </c>
      <c r="G63" s="56">
        <f t="array" ref="G63">G175</f>
        <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0</v>
      </c>
      <c r="D64" s="56">
        <f t="array" ref="D64">D176</f>
        <v/>
      </c>
      <c r="E64" s="56">
        <f t="array" ref="E64">E176</f>
        <v/>
      </c>
      <c r="F64" s="56">
        <f t="array" ref="F64">F176</f>
        <v/>
      </c>
      <c r="G64" s="56">
        <f t="array" ref="G64">G176</f>
        <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0</v>
      </c>
      <c r="D65" s="56">
        <f t="array" ref="D65">D177</f>
        <v/>
      </c>
      <c r="E65" s="56">
        <f t="array" ref="E65">E177</f>
        <v/>
      </c>
      <c r="F65" s="56">
        <f t="array" ref="F65">F177</f>
        <v/>
      </c>
      <c r="G65" s="56">
        <f t="array" ref="G65">G177</f>
        <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0</v>
      </c>
      <c r="D66" s="56">
        <f t="array" ref="D66">D178</f>
        <v/>
      </c>
      <c r="E66" s="56">
        <f t="array" ref="E66">E178</f>
        <v/>
      </c>
      <c r="F66" s="56">
        <f t="array" ref="F66">F178</f>
        <v/>
      </c>
      <c r="G66" s="56">
        <f t="array" ref="G66">G178</f>
        <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0</v>
      </c>
      <c r="D67" s="56">
        <f t="array" ref="D67">D179</f>
        <v/>
      </c>
      <c r="E67" s="56">
        <f t="array" ref="E67">E179</f>
        <v/>
      </c>
      <c r="F67" s="56">
        <f t="array" ref="F67">F179</f>
        <v/>
      </c>
      <c r="G67" s="56">
        <f t="array" ref="G67">G179</f>
        <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0</v>
      </c>
      <c r="D68" s="56">
        <f t="array" ref="D68">D180</f>
        <v/>
      </c>
      <c r="E68" s="56">
        <f t="array" ref="E68">E180</f>
        <v/>
      </c>
      <c r="F68" s="56">
        <f t="array" ref="F68">F180</f>
        <v/>
      </c>
      <c r="G68" s="56">
        <f t="array" ref="G68">G180</f>
        <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0</v>
      </c>
      <c r="D69" s="56">
        <f t="array" ref="D69">D181</f>
        <v/>
      </c>
      <c r="E69" s="56">
        <f t="array" ref="E69">E181</f>
        <v/>
      </c>
      <c r="F69" s="56">
        <f t="array" ref="F69">F181</f>
        <v/>
      </c>
      <c r="G69" s="56">
        <f t="array" ref="G69">G181</f>
        <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0</v>
      </c>
      <c r="D70" s="56">
        <f t="array" ref="D70">D182</f>
        <v/>
      </c>
      <c r="E70" s="56">
        <f t="array" ref="E70">E182</f>
        <v/>
      </c>
      <c r="F70" s="56">
        <f t="array" ref="F70">F182</f>
        <v/>
      </c>
      <c r="G70" s="56">
        <f t="array" ref="G70">G182</f>
        <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0</v>
      </c>
      <c r="D71" s="56">
        <f t="array" ref="D71">D183</f>
        <v/>
      </c>
      <c r="E71" s="56">
        <f t="array" ref="E71">E183</f>
        <v/>
      </c>
      <c r="F71" s="56">
        <f t="array" ref="F71">F183</f>
        <v/>
      </c>
      <c r="G71" s="56">
        <f t="array" ref="G71">G183</f>
        <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0</v>
      </c>
      <c r="D72" s="56">
        <f t="array" ref="D72">D184</f>
        <v/>
      </c>
      <c r="E72" s="56">
        <f t="array" ref="E72">E184</f>
        <v/>
      </c>
      <c r="F72" s="56">
        <f t="array" ref="F72">F184</f>
        <v/>
      </c>
      <c r="G72" s="56">
        <f t="array" ref="G72">G184</f>
        <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0</v>
      </c>
      <c r="D73" s="56">
        <f t="array" ref="D73">D185</f>
        <v/>
      </c>
      <c r="E73" s="56">
        <f t="array" ref="E73">E185</f>
        <v/>
      </c>
      <c r="F73" s="56">
        <f t="array" ref="F73">F185</f>
        <v/>
      </c>
      <c r="G73" s="56">
        <f t="array" ref="G73">G185</f>
        <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0</v>
      </c>
      <c r="D74" s="56">
        <f t="array" ref="D74">D186</f>
        <v/>
      </c>
      <c r="E74" s="56">
        <f t="array" ref="E74">E186</f>
        <v/>
      </c>
      <c r="F74" s="56">
        <f t="array" ref="F74">F186</f>
        <v/>
      </c>
      <c r="G74" s="56">
        <f t="array" ref="G74">G186</f>
        <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0</v>
      </c>
      <c r="D75" s="56">
        <f t="array" ref="D75">D187</f>
        <v/>
      </c>
      <c r="E75" s="56">
        <f t="array" ref="E75">E187</f>
        <v/>
      </c>
      <c r="F75" s="56">
        <f t="array" ref="F75">F187</f>
        <v/>
      </c>
      <c r="G75" s="56">
        <f t="array" ref="G75">G187</f>
        <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0</v>
      </c>
      <c r="D76" s="56">
        <f t="array" ref="D76">D188</f>
        <v/>
      </c>
      <c r="E76" s="56">
        <f t="array" ref="E76">E188</f>
        <v/>
      </c>
      <c r="F76" s="56">
        <f t="array" ref="F76">F188</f>
        <v/>
      </c>
      <c r="G76" s="56">
        <f t="array" ref="G76">G188</f>
        <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0</v>
      </c>
      <c r="D77" s="56">
        <f t="array" ref="D77">D189</f>
        <v/>
      </c>
      <c r="E77" s="56">
        <f t="array" ref="E77">E189</f>
        <v/>
      </c>
      <c r="F77" s="56">
        <f t="array" ref="F77">F189</f>
        <v/>
      </c>
      <c r="G77" s="56">
        <f t="array" ref="G77">G189</f>
        <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0</v>
      </c>
      <c r="D78" s="56">
        <f t="array" ref="D78">D190</f>
        <v/>
      </c>
      <c r="E78" s="56">
        <f t="array" ref="E78">E190</f>
        <v/>
      </c>
      <c r="F78" s="56">
        <f t="array" ref="F78">F190</f>
        <v/>
      </c>
      <c r="G78" s="56">
        <f t="array" ref="G78">G190</f>
        <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0</v>
      </c>
      <c r="D79" s="56">
        <f t="array" ref="D79">D191</f>
        <v/>
      </c>
      <c r="E79" s="56">
        <f t="array" ref="E79">E191</f>
        <v/>
      </c>
      <c r="F79" s="56">
        <f t="array" ref="F79">F191</f>
        <v/>
      </c>
      <c r="G79" s="56">
        <f t="array" ref="G79">G191</f>
        <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0</v>
      </c>
      <c r="D80" s="56">
        <f t="array" ref="D80">D192</f>
        <v/>
      </c>
      <c r="E80" s="56">
        <f t="array" ref="E80">E192</f>
        <v/>
      </c>
      <c r="F80" s="56">
        <f t="array" ref="F80">F192</f>
        <v/>
      </c>
      <c r="G80" s="56">
        <f t="array" ref="G80">G192</f>
        <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0</v>
      </c>
      <c r="D81" s="56">
        <f t="array" ref="D81">D193</f>
        <v/>
      </c>
      <c r="E81" s="56">
        <f t="array" ref="E81">E193</f>
        <v/>
      </c>
      <c r="F81" s="56">
        <f t="array" ref="F81">F193</f>
        <v/>
      </c>
      <c r="G81" s="56">
        <f t="array" ref="G81">G193</f>
        <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0</v>
      </c>
      <c r="D82" s="56">
        <f t="array" ref="D82">D194</f>
        <v/>
      </c>
      <c r="E82" s="56">
        <f t="array" ref="E82">E194</f>
        <v/>
      </c>
      <c r="F82" s="56">
        <f t="array" ref="F82">F194</f>
        <v/>
      </c>
      <c r="G82" s="56">
        <f t="array" ref="G82">G194</f>
        <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0</v>
      </c>
      <c r="D83" s="56">
        <f t="array" ref="D83">D195</f>
        <v/>
      </c>
      <c r="E83" s="56">
        <f t="array" ref="E83">E195</f>
        <v/>
      </c>
      <c r="F83" s="56">
        <f t="array" ref="F83">F195</f>
        <v/>
      </c>
      <c r="G83" s="56">
        <f t="array" ref="G83">G195</f>
        <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0</v>
      </c>
      <c r="D84" s="56">
        <f t="array" ref="D84">D196</f>
        <v/>
      </c>
      <c r="E84" s="56">
        <f t="array" ref="E84">E196</f>
        <v/>
      </c>
      <c r="F84" s="56">
        <f t="array" ref="F84">F196</f>
        <v/>
      </c>
      <c r="G84" s="56">
        <f t="array" ref="G84">G196</f>
        <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0</v>
      </c>
      <c r="D85" s="56">
        <f t="array" ref="D85">D197</f>
        <v/>
      </c>
      <c r="E85" s="56">
        <f t="array" ref="E85">E197</f>
        <v/>
      </c>
      <c r="F85" s="56">
        <f t="array" ref="F85">F197</f>
        <v/>
      </c>
      <c r="G85" s="56">
        <f t="array" ref="G85">G197</f>
        <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0</v>
      </c>
      <c r="D86" s="56">
        <f t="array" ref="D86">D198</f>
        <v/>
      </c>
      <c r="E86" s="56">
        <f t="array" ref="E86">E198</f>
        <v/>
      </c>
      <c r="F86" s="56">
        <f t="array" ref="F86">F198</f>
        <v/>
      </c>
      <c r="G86" s="56">
        <f t="array" ref="G86">G198</f>
        <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0</v>
      </c>
      <c r="D87" s="56">
        <f t="array" ref="D87">D199</f>
        <v/>
      </c>
      <c r="E87" s="56">
        <f t="array" ref="E87">E199</f>
        <v/>
      </c>
      <c r="F87" s="56">
        <f t="array" ref="F87">F199</f>
        <v/>
      </c>
      <c r="G87" s="56">
        <f t="array" ref="G87">G199</f>
        <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0</v>
      </c>
      <c r="D88" s="56">
        <f t="array" ref="D88">D200</f>
        <v/>
      </c>
      <c r="E88" s="56">
        <f t="array" ref="E88">E200</f>
        <v/>
      </c>
      <c r="F88" s="56">
        <f t="array" ref="F88">F200</f>
        <v/>
      </c>
      <c r="G88" s="56">
        <f t="array" ref="G88">G200</f>
        <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0</v>
      </c>
      <c r="D89" s="56">
        <f t="array" ref="D89">D201</f>
        <v/>
      </c>
      <c r="E89" s="56">
        <f t="array" ref="E89">E201</f>
        <v/>
      </c>
      <c r="F89" s="56">
        <f t="array" ref="F89">F201</f>
        <v/>
      </c>
      <c r="G89" s="56">
        <f t="array" ref="G89">G201</f>
        <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0</v>
      </c>
      <c r="D90" s="56">
        <f t="array" ref="D90">D202</f>
        <v/>
      </c>
      <c r="E90" s="56">
        <f t="array" ref="E90">E202</f>
        <v/>
      </c>
      <c r="F90" s="56">
        <f t="array" ref="F90">F202</f>
        <v/>
      </c>
      <c r="G90" s="56">
        <f t="array" ref="G90">G202</f>
        <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0</v>
      </c>
      <c r="D91" s="56">
        <f t="array" ref="D91">D203</f>
        <v/>
      </c>
      <c r="E91" s="56">
        <f t="array" ref="E91">E203</f>
        <v/>
      </c>
      <c r="F91" s="56">
        <f t="array" ref="F91">F203</f>
        <v/>
      </c>
      <c r="G91" s="56">
        <f t="array" ref="G91">G203</f>
        <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0</v>
      </c>
      <c r="D92" s="56">
        <f t="array" ref="D92">D204</f>
        <v/>
      </c>
      <c r="E92" s="56">
        <f t="array" ref="E92">E204</f>
        <v/>
      </c>
      <c r="F92" s="56">
        <f t="array" ref="F92">F204</f>
        <v/>
      </c>
      <c r="G92" s="56">
        <f t="array" ref="G92">G204</f>
        <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0</v>
      </c>
      <c r="D93" s="56">
        <f t="array" ref="D93">D205</f>
        <v/>
      </c>
      <c r="E93" s="56">
        <f t="array" ref="E93">E205</f>
        <v/>
      </c>
      <c r="F93" s="56">
        <f t="array" ref="F93">F205</f>
        <v/>
      </c>
      <c r="G93" s="56">
        <f t="array" ref="G93">G205</f>
        <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0</v>
      </c>
      <c r="D94" s="56">
        <f t="array" ref="D94">D206</f>
        <v/>
      </c>
      <c r="E94" s="56">
        <f t="array" ref="E94">E206</f>
        <v/>
      </c>
      <c r="F94" s="56">
        <f t="array" ref="F94">F206</f>
        <v/>
      </c>
      <c r="G94" s="56">
        <f t="array" ref="G94">G206</f>
        <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0</v>
      </c>
      <c r="D95" s="56">
        <f t="array" ref="D95">D207</f>
        <v/>
      </c>
      <c r="E95" s="56">
        <f t="array" ref="E95">E207</f>
        <v/>
      </c>
      <c r="F95" s="56">
        <f t="array" ref="F95">F207</f>
        <v/>
      </c>
      <c r="G95" s="56">
        <f t="array" ref="G95">G207</f>
        <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0</v>
      </c>
      <c r="D96" s="56">
        <f t="array" ref="D96">D208</f>
        <v/>
      </c>
      <c r="E96" s="56">
        <f t="array" ref="E96">E208</f>
        <v/>
      </c>
      <c r="F96" s="56">
        <f t="array" ref="F96">F208</f>
        <v/>
      </c>
      <c r="G96" s="56">
        <f t="array" ref="G96">G208</f>
        <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0</v>
      </c>
      <c r="D97" s="56">
        <f t="array" ref="D97">D209</f>
        <v/>
      </c>
      <c r="E97" s="56">
        <f t="array" ref="E97">E209</f>
        <v/>
      </c>
      <c r="F97" s="56">
        <f t="array" ref="F97">F209</f>
        <v/>
      </c>
      <c r="G97" s="56">
        <f t="array" ref="G97">G209</f>
        <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0</v>
      </c>
      <c r="D98" s="56">
        <f t="array" ref="D98">D210</f>
        <v/>
      </c>
      <c r="E98" s="56">
        <f t="array" ref="E98">E210</f>
        <v/>
      </c>
      <c r="F98" s="56">
        <f t="array" ref="F98">F210</f>
        <v/>
      </c>
      <c r="G98" s="56">
        <f t="array" ref="G98">G210</f>
        <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0</v>
      </c>
      <c r="D99" s="56">
        <f t="array" ref="D99">D211</f>
        <v/>
      </c>
      <c r="E99" s="56">
        <f t="array" ref="E99">E211</f>
        <v/>
      </c>
      <c r="F99" s="56">
        <f t="array" ref="F99">F211</f>
        <v/>
      </c>
      <c r="G99" s="56">
        <f t="array" ref="G99">G211</f>
        <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0</v>
      </c>
      <c r="D100" s="56">
        <f t="array" ref="D100">D212</f>
        <v/>
      </c>
      <c r="E100" s="56">
        <f t="array" ref="E100">E212</f>
        <v/>
      </c>
      <c r="F100" s="56">
        <f t="array" ref="F100">F212</f>
        <v/>
      </c>
      <c r="G100" s="56">
        <f t="array" ref="G100">G212</f>
        <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0</v>
      </c>
      <c r="D101" s="56">
        <f t="array" ref="D101">D213</f>
        <v/>
      </c>
      <c r="E101" s="56">
        <f t="array" ref="E101">E213</f>
        <v/>
      </c>
      <c r="F101" s="56">
        <f t="array" ref="F101">F213</f>
        <v/>
      </c>
      <c r="G101" s="56">
        <f t="array" ref="G101">G213</f>
        <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0</v>
      </c>
      <c r="D102" s="56">
        <f t="array" ref="D102">D214</f>
        <v/>
      </c>
      <c r="E102" s="56">
        <f t="array" ref="E102">E214</f>
        <v/>
      </c>
      <c r="F102" s="56">
        <f t="array" ref="F102">F214</f>
        <v/>
      </c>
      <c r="G102" s="56">
        <f t="array" ref="G102">G214</f>
        <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0</v>
      </c>
      <c r="D103" s="56">
        <f t="array" ref="D103">D215</f>
        <v/>
      </c>
      <c r="E103" s="56">
        <f t="array" ref="E103">E215</f>
        <v/>
      </c>
      <c r="F103" s="56">
        <f t="array" ref="F103">F215</f>
        <v/>
      </c>
      <c r="G103" s="56">
        <f t="array" ref="G103">G215</f>
        <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0</v>
      </c>
      <c r="D104" s="56">
        <f t="array" ref="D104">D216</f>
        <v/>
      </c>
      <c r="E104" s="56">
        <f t="array" ref="E104">E216</f>
        <v/>
      </c>
      <c r="F104" s="56">
        <f t="array" ref="F104">F216</f>
        <v/>
      </c>
      <c r="G104" s="56">
        <f t="array" ref="G104">G216</f>
        <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0</v>
      </c>
      <c r="D105" s="56">
        <f t="array" ref="D105">D217</f>
        <v/>
      </c>
      <c r="E105" s="56">
        <f t="array" ref="E105">E217</f>
        <v/>
      </c>
      <c r="F105" s="56">
        <f t="array" ref="F105">F217</f>
        <v/>
      </c>
      <c r="G105" s="56">
        <f t="array" ref="G105">G217</f>
        <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0</v>
      </c>
      <c r="D106" s="56">
        <f t="array" ref="D106">D218</f>
        <v/>
      </c>
      <c r="E106" s="56">
        <f t="array" ref="E106">E218</f>
        <v/>
      </c>
      <c r="F106" s="56">
        <f t="array" ref="F106">F218</f>
        <v/>
      </c>
      <c r="G106" s="56">
        <f t="array" ref="G106">G218</f>
        <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0</v>
      </c>
      <c r="D107" s="56">
        <f t="array" ref="D107">D219</f>
        <v/>
      </c>
      <c r="E107" s="56">
        <f t="array" ref="E107">E219</f>
        <v/>
      </c>
      <c r="F107" s="56">
        <f t="array" ref="F107">F219</f>
        <v/>
      </c>
      <c r="G107" s="56">
        <f t="array" ref="G107">G219</f>
        <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0</v>
      </c>
      <c r="D108" s="56">
        <f t="array" ref="D108">D220</f>
        <v/>
      </c>
      <c r="E108" s="56">
        <f t="array" ref="E108">E220</f>
        <v/>
      </c>
      <c r="F108" s="56">
        <f t="array" ref="F108">F220</f>
        <v/>
      </c>
      <c r="G108" s="56">
        <f t="array" ref="G108">G220</f>
        <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5458607</v>
      </c>
      <c r="D109" s="55" t="n">
        <v>2315439</v>
      </c>
      <c r="E109" s="55" t="n">
        <v>2254668</v>
      </c>
      <c r="F109" s="55" t="n">
        <v>440000</v>
      </c>
      <c r="G109" s="55" t="n">
        <v>448500</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https://data.cso.ie/table/PEA11
https://data.cso.ie/table/PEA25; downloaded 46123</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0.7268088885666643</v>
      </c>
      <c r="E7" s="68" t="n">
        <v>0.7731911114333357</v>
      </c>
      <c r="F7" s="69" t="n">
        <v>1.578</v>
      </c>
      <c r="G7" s="68" t="n"/>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https://www.cso.ie/en/releasesandpublications/ep/p-vsys/vitalstatisticsyearlysummary2024/; downloaded 46155</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108.940188457597</v>
      </c>
      <c r="D22" s="55" t="n">
        <v>52.78579819540603</v>
      </c>
      <c r="E22" s="55" t="n">
        <v>56.15439026219101</v>
      </c>
      <c r="F22" s="55" t="n">
        <v>0</v>
      </c>
      <c r="G22" s="55" t="n">
        <v>0</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164.0997775500512</v>
      </c>
      <c r="D23" s="55" t="n">
        <v>79.51278462345972</v>
      </c>
      <c r="E23" s="55" t="n">
        <v>84.58699292659152</v>
      </c>
      <c r="F23" s="55" t="n">
        <v>0</v>
      </c>
      <c r="G23" s="55" t="n">
        <v>0</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238.5652228248644</v>
      </c>
      <c r="D24" s="55" t="n">
        <v>115.5942163013322</v>
      </c>
      <c r="E24" s="55" t="n">
        <v>122.9710065235322</v>
      </c>
      <c r="F24" s="55" t="n">
        <v>0</v>
      </c>
      <c r="G24" s="55" t="n">
        <v>0</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337.852483191282</v>
      </c>
      <c r="D25" s="55" t="n">
        <v>163.7027918718289</v>
      </c>
      <c r="E25" s="55" t="n">
        <v>174.1496913194531</v>
      </c>
      <c r="F25" s="55" t="n">
        <v>0</v>
      </c>
      <c r="G25" s="55" t="n">
        <v>0</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466.098527831238</v>
      </c>
      <c r="D26" s="55" t="n">
        <v>225.8430353170537</v>
      </c>
      <c r="E26" s="55" t="n">
        <v>240.2554925141843</v>
      </c>
      <c r="F26" s="55" t="n">
        <v>0</v>
      </c>
      <c r="G26" s="55" t="n">
        <v>0</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626.0613361993551</v>
      </c>
      <c r="D27" s="55" t="n">
        <v>303.3512959584094</v>
      </c>
      <c r="E27" s="55" t="n">
        <v>322.7100402409458</v>
      </c>
      <c r="F27" s="55" t="n">
        <v>0</v>
      </c>
      <c r="G27" s="55" t="n">
        <v>0</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813.6039391136994</v>
      </c>
      <c r="D28" s="55" t="n">
        <v>394.2230498137919</v>
      </c>
      <c r="E28" s="55" t="n">
        <v>419.3808892999075</v>
      </c>
      <c r="F28" s="55" t="n">
        <v>0</v>
      </c>
      <c r="G28" s="55" t="n">
        <v>0</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1032.863305756205</v>
      </c>
      <c r="D29" s="55" t="n">
        <v>500.4628208653053</v>
      </c>
      <c r="E29" s="55" t="n">
        <v>532.4004848908995</v>
      </c>
      <c r="F29" s="55" t="n">
        <v>0</v>
      </c>
      <c r="G29" s="55" t="n">
        <v>0</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1281.081456672249</v>
      </c>
      <c r="D30" s="55" t="n">
        <v>620.7342597915469</v>
      </c>
      <c r="E30" s="55" t="n">
        <v>660.3471968807019</v>
      </c>
      <c r="F30" s="55" t="n">
        <v>0</v>
      </c>
      <c r="G30" s="55" t="n">
        <v>0</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1548.605463770652</v>
      </c>
      <c r="D31" s="55" t="n">
        <v>750.3601439676073</v>
      </c>
      <c r="E31" s="55" t="n">
        <v>798.2453198030444</v>
      </c>
      <c r="F31" s="55" t="n">
        <v>0</v>
      </c>
      <c r="G31" s="55" t="n">
        <v>0</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1836.814316778725</v>
      </c>
      <c r="D32" s="55" t="n">
        <v>890.0086480541878</v>
      </c>
      <c r="E32" s="55" t="n">
        <v>946.805668724537</v>
      </c>
      <c r="F32" s="55" t="n">
        <v>0</v>
      </c>
      <c r="G32" s="55" t="n">
        <v>0</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2134.676097877978</v>
      </c>
      <c r="D33" s="55" t="n">
        <v>1034.334374765678</v>
      </c>
      <c r="E33" s="55" t="n">
        <v>1100.3417231123</v>
      </c>
      <c r="F33" s="55" t="n">
        <v>0</v>
      </c>
      <c r="G33" s="55" t="n">
        <v>0</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2413.232022794871</v>
      </c>
      <c r="D34" s="55" t="n">
        <v>1169.305656227349</v>
      </c>
      <c r="E34" s="55" t="n">
        <v>1243.926366567522</v>
      </c>
      <c r="F34" s="55" t="n">
        <v>0</v>
      </c>
      <c r="G34" s="55" t="n">
        <v>0</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3273.721612637157</v>
      </c>
      <c r="D35" s="55" t="n">
        <v>1586.246644504986</v>
      </c>
      <c r="E35" s="55" t="n">
        <v>1687.47496813217</v>
      </c>
      <c r="F35" s="55" t="n">
        <v>0</v>
      </c>
      <c r="G35" s="55" t="n">
        <v>0</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3716.377315104101</v>
      </c>
      <c r="D36" s="55" t="n">
        <v>1800.730710590117</v>
      </c>
      <c r="E36" s="55" t="n">
        <v>1915.646604513984</v>
      </c>
      <c r="F36" s="55" t="n">
        <v>0</v>
      </c>
      <c r="G36" s="55" t="n">
        <v>0</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3058.599215176585</v>
      </c>
      <c r="D37" s="55" t="n">
        <v>1482.011397435577</v>
      </c>
      <c r="E37" s="55" t="n">
        <v>1576.587817741008</v>
      </c>
      <c r="F37" s="55" t="n">
        <v>0</v>
      </c>
      <c r="G37" s="55" t="n">
        <v>0</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3167.539403634182</v>
      </c>
      <c r="D38" s="55" t="n">
        <v>1534.797195630983</v>
      </c>
      <c r="E38" s="55" t="n">
        <v>1632.742208003199</v>
      </c>
      <c r="F38" s="55" t="n">
        <v>0</v>
      </c>
      <c r="G38" s="55" t="n">
        <v>0</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3196.498187907721</v>
      </c>
      <c r="D39" s="55" t="n">
        <v>1548.828863505711</v>
      </c>
      <c r="E39" s="55" t="n">
        <v>1647.66932440201</v>
      </c>
      <c r="F39" s="55" t="n">
        <v>0</v>
      </c>
      <c r="G39" s="55" t="n">
        <v>0</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3571.58339373641</v>
      </c>
      <c r="D40" s="55" t="n">
        <v>1730.572371216476</v>
      </c>
      <c r="E40" s="55" t="n">
        <v>1841.011022519933</v>
      </c>
      <c r="F40" s="55" t="n">
        <v>0</v>
      </c>
      <c r="G40" s="55" t="n">
        <v>0</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3323.365242820365</v>
      </c>
      <c r="D41" s="55" t="n">
        <v>1610.300932290235</v>
      </c>
      <c r="E41" s="55" t="n">
        <v>1713.064310530131</v>
      </c>
      <c r="F41" s="55" t="n">
        <v>0</v>
      </c>
      <c r="G41" s="55" t="n">
        <v>0</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2873.814591716864</v>
      </c>
      <c r="D42" s="55" t="n">
        <v>1392.475992901597</v>
      </c>
      <c r="E42" s="55" t="n">
        <v>1481.338598815267</v>
      </c>
      <c r="F42" s="55" t="n">
        <v>0</v>
      </c>
      <c r="G42" s="55" t="n">
        <v>0</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2799.34914644205</v>
      </c>
      <c r="D43" s="55" t="n">
        <v>1356.394561223725</v>
      </c>
      <c r="E43" s="55" t="n">
        <v>1442.954585218326</v>
      </c>
      <c r="F43" s="55" t="n">
        <v>0</v>
      </c>
      <c r="G43" s="55" t="n">
        <v>0</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2402.20010497638</v>
      </c>
      <c r="D44" s="55" t="n">
        <v>1163.960258941738</v>
      </c>
      <c r="E44" s="55" t="n">
        <v>1238.239846034642</v>
      </c>
      <c r="F44" s="55" t="n">
        <v>0</v>
      </c>
      <c r="G44" s="55" t="n">
        <v>0</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2125.023169786798</v>
      </c>
      <c r="D45" s="55" t="n">
        <v>1029.657152140768</v>
      </c>
      <c r="E45" s="55" t="n">
        <v>1095.36601764603</v>
      </c>
      <c r="F45" s="55" t="n">
        <v>0</v>
      </c>
      <c r="G45" s="55" t="n">
        <v>0</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1836.814316778725</v>
      </c>
      <c r="D46" s="55" t="n">
        <v>890.0086480541878</v>
      </c>
      <c r="E46" s="55" t="n">
        <v>946.805668724537</v>
      </c>
      <c r="F46" s="55" t="n">
        <v>0</v>
      </c>
      <c r="G46" s="55" t="n">
        <v>0</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1548.605463770652</v>
      </c>
      <c r="D47" s="55" t="n">
        <v>750.3601439676073</v>
      </c>
      <c r="E47" s="55" t="n">
        <v>798.2453198030444</v>
      </c>
      <c r="F47" s="55" t="n">
        <v>0</v>
      </c>
      <c r="G47" s="55" t="n">
        <v>0</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1418.980429403384</v>
      </c>
      <c r="D48" s="55" t="n">
        <v>687.5517258616811</v>
      </c>
      <c r="E48" s="55" t="n">
        <v>731.4287035417032</v>
      </c>
      <c r="F48" s="55" t="n">
        <v>0</v>
      </c>
      <c r="G48" s="55" t="n">
        <v>0</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1032.863305756205</v>
      </c>
      <c r="D49" s="55" t="n">
        <v>500.4628208653053</v>
      </c>
      <c r="E49" s="55" t="n">
        <v>532.4004848908995</v>
      </c>
      <c r="F49" s="55" t="n">
        <v>0</v>
      </c>
      <c r="G49" s="55" t="n">
        <v>0</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813.6039391136994</v>
      </c>
      <c r="D50" s="55" t="n">
        <v>394.2230498137919</v>
      </c>
      <c r="E50" s="55" t="n">
        <v>419.3808892999075</v>
      </c>
      <c r="F50" s="55" t="n">
        <v>0</v>
      </c>
      <c r="G50" s="55" t="n">
        <v>0</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626.0613361993551</v>
      </c>
      <c r="D51" s="55" t="n">
        <v>303.3512959584094</v>
      </c>
      <c r="E51" s="55" t="n">
        <v>322.7100402409458</v>
      </c>
      <c r="F51" s="55" t="n">
        <v>0</v>
      </c>
      <c r="G51" s="55" t="n">
        <v>0</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466.098527831238</v>
      </c>
      <c r="D52" s="55" t="n">
        <v>225.8430353170537</v>
      </c>
      <c r="E52" s="55" t="n">
        <v>240.2554925141843</v>
      </c>
      <c r="F52" s="55" t="n">
        <v>0</v>
      </c>
      <c r="G52" s="55" t="n">
        <v>0</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337.852483191282</v>
      </c>
      <c r="D53" s="55" t="n">
        <v>163.7027918718289</v>
      </c>
      <c r="E53" s="55" t="n">
        <v>174.1496913194531</v>
      </c>
      <c r="F53" s="55" t="n">
        <v>0</v>
      </c>
      <c r="G53" s="55" t="n">
        <v>0</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238.5652228248644</v>
      </c>
      <c r="D54" s="55" t="n">
        <v>115.5942163013322</v>
      </c>
      <c r="E54" s="55" t="n">
        <v>122.9710065235322</v>
      </c>
      <c r="F54" s="55" t="n">
        <v>0</v>
      </c>
      <c r="G54" s="55" t="n">
        <v>0</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164.0997775500512</v>
      </c>
      <c r="D55" s="55" t="n">
        <v>79.51278462345972</v>
      </c>
      <c r="E55" s="55" t="n">
        <v>84.58699292659152</v>
      </c>
      <c r="F55" s="55" t="n">
        <v>0</v>
      </c>
      <c r="G55" s="55" t="n">
        <v>0</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108.940188457597</v>
      </c>
      <c r="D56" s="55" t="n">
        <v>52.78579819540603</v>
      </c>
      <c r="E56" s="55" t="n">
        <v>56.15439026219101</v>
      </c>
      <c r="F56" s="55" t="n">
        <v>0</v>
      </c>
      <c r="G56" s="55" t="n">
        <v>0</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210</v>
      </c>
      <c r="D7" s="56" t="n">
        <v>73</v>
      </c>
      <c r="E7" s="56" t="n">
        <v>85</v>
      </c>
      <c r="F7" s="56" t="n">
        <v>24</v>
      </c>
      <c r="G7" s="56" t="n">
        <v>28</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6.538461538461538</v>
      </c>
      <c r="D8" s="56" t="n">
        <v>2.307692307692307</v>
      </c>
      <c r="E8" s="56" t="n">
        <v>2.615384615384615</v>
      </c>
      <c r="F8" s="56" t="n">
        <v>0.7692307692307693</v>
      </c>
      <c r="G8" s="56" t="n">
        <v>0.8461538461538461</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6.538461538461538</v>
      </c>
      <c r="D9" s="56" t="n">
        <v>2.307692307692307</v>
      </c>
      <c r="E9" s="56" t="n">
        <v>2.615384615384615</v>
      </c>
      <c r="F9" s="56" t="n">
        <v>0.7692307692307693</v>
      </c>
      <c r="G9" s="56" t="n">
        <v>0.8461538461538461</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6.538461538461538</v>
      </c>
      <c r="D10" s="56" t="n">
        <v>2.307692307692307</v>
      </c>
      <c r="E10" s="56" t="n">
        <v>2.615384615384615</v>
      </c>
      <c r="F10" s="56" t="n">
        <v>0.7692307692307693</v>
      </c>
      <c r="G10" s="56" t="n">
        <v>0.8461538461538461</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6.538461538461538</v>
      </c>
      <c r="D11" s="56" t="n">
        <v>2.307692307692307</v>
      </c>
      <c r="E11" s="56" t="n">
        <v>2.615384615384615</v>
      </c>
      <c r="F11" s="56" t="n">
        <v>0.7692307692307693</v>
      </c>
      <c r="G11" s="56" t="n">
        <v>0.8461538461538461</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6.538461538461538</v>
      </c>
      <c r="D12" s="56" t="n">
        <v>2.307692307692307</v>
      </c>
      <c r="E12" s="56" t="n">
        <v>2.615384615384615</v>
      </c>
      <c r="F12" s="56" t="n">
        <v>0.7692307692307693</v>
      </c>
      <c r="G12" s="56" t="n">
        <v>0.8461538461538461</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6.538461538461538</v>
      </c>
      <c r="D13" s="56" t="n">
        <v>2.307692307692307</v>
      </c>
      <c r="E13" s="56" t="n">
        <v>2.615384615384615</v>
      </c>
      <c r="F13" s="56" t="n">
        <v>0.7692307692307693</v>
      </c>
      <c r="G13" s="56" t="n">
        <v>0.8461538461538461</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6.538461538461538</v>
      </c>
      <c r="D14" s="56" t="n">
        <v>2.307692307692307</v>
      </c>
      <c r="E14" s="56" t="n">
        <v>2.615384615384615</v>
      </c>
      <c r="F14" s="56" t="n">
        <v>0.7692307692307693</v>
      </c>
      <c r="G14" s="56" t="n">
        <v>0.8461538461538461</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6.538461538461538</v>
      </c>
      <c r="D15" s="56" t="n">
        <v>2.307692307692307</v>
      </c>
      <c r="E15" s="56" t="n">
        <v>2.615384615384615</v>
      </c>
      <c r="F15" s="56" t="n">
        <v>0.7692307692307693</v>
      </c>
      <c r="G15" s="56" t="n">
        <v>0.8461538461538461</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6.538461538461538</v>
      </c>
      <c r="D16" s="56" t="n">
        <v>2.307692307692307</v>
      </c>
      <c r="E16" s="56" t="n">
        <v>2.615384615384615</v>
      </c>
      <c r="F16" s="56" t="n">
        <v>0.7692307692307693</v>
      </c>
      <c r="G16" s="56" t="n">
        <v>0.8461538461538461</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6.538461538461538</v>
      </c>
      <c r="D17" s="56" t="n">
        <v>2.307692307692307</v>
      </c>
      <c r="E17" s="56" t="n">
        <v>2.615384615384615</v>
      </c>
      <c r="F17" s="56" t="n">
        <v>0.7692307692307693</v>
      </c>
      <c r="G17" s="56" t="n">
        <v>0.8461538461538461</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6.538461538461538</v>
      </c>
      <c r="D18" s="56" t="n">
        <v>2.307692307692307</v>
      </c>
      <c r="E18" s="56" t="n">
        <v>2.615384615384615</v>
      </c>
      <c r="F18" s="56" t="n">
        <v>0.7692307692307693</v>
      </c>
      <c r="G18" s="56" t="n">
        <v>0.8461538461538461</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6.538461538461538</v>
      </c>
      <c r="D19" s="56" t="n">
        <v>2.307692307692307</v>
      </c>
      <c r="E19" s="56" t="n">
        <v>2.615384615384615</v>
      </c>
      <c r="F19" s="56" t="n">
        <v>0.7692307692307693</v>
      </c>
      <c r="G19" s="56" t="n">
        <v>0.8461538461538461</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6.538461538461538</v>
      </c>
      <c r="D20" s="56" t="n">
        <v>2.307692307692307</v>
      </c>
      <c r="E20" s="56" t="n">
        <v>2.615384615384615</v>
      </c>
      <c r="F20" s="56" t="n">
        <v>0.7692307692307693</v>
      </c>
      <c r="G20" s="56" t="n">
        <v>0.8461538461538461</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6.538461538461538</v>
      </c>
      <c r="D21" s="56" t="n">
        <v>2.307692307692307</v>
      </c>
      <c r="E21" s="56" t="n">
        <v>2.615384615384615</v>
      </c>
      <c r="F21" s="56" t="n">
        <v>0.7692307692307693</v>
      </c>
      <c r="G21" s="56" t="n">
        <v>0.8461538461538461</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28</v>
      </c>
      <c r="D22" s="56" t="n">
        <v>7.4</v>
      </c>
      <c r="E22" s="56" t="n">
        <v>13.6</v>
      </c>
      <c r="F22" s="56" t="n">
        <v>2.4</v>
      </c>
      <c r="G22" s="56" t="n">
        <v>4.6</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28</v>
      </c>
      <c r="D23" s="56" t="n">
        <v>7.4</v>
      </c>
      <c r="E23" s="56" t="n">
        <v>13.6</v>
      </c>
      <c r="F23" s="56" t="n">
        <v>2.4</v>
      </c>
      <c r="G23" s="56" t="n">
        <v>4.6</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28</v>
      </c>
      <c r="D24" s="56" t="n">
        <v>7.4</v>
      </c>
      <c r="E24" s="56" t="n">
        <v>13.6</v>
      </c>
      <c r="F24" s="56" t="n">
        <v>2.4</v>
      </c>
      <c r="G24" s="56" t="n">
        <v>4.6</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28</v>
      </c>
      <c r="D25" s="56" t="n">
        <v>7.4</v>
      </c>
      <c r="E25" s="56" t="n">
        <v>13.6</v>
      </c>
      <c r="F25" s="56" t="n">
        <v>2.4</v>
      </c>
      <c r="G25" s="56" t="n">
        <v>4.6</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28</v>
      </c>
      <c r="D26" s="56" t="n">
        <v>7.4</v>
      </c>
      <c r="E26" s="56" t="n">
        <v>13.6</v>
      </c>
      <c r="F26" s="56" t="n">
        <v>2.4</v>
      </c>
      <c r="G26" s="56" t="n">
        <v>4.6</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39</v>
      </c>
      <c r="D27" s="56" t="n">
        <v>10.8</v>
      </c>
      <c r="E27" s="56" t="n">
        <v>18.4</v>
      </c>
      <c r="F27" s="56" t="n">
        <v>3.6</v>
      </c>
      <c r="G27" s="56" t="n">
        <v>6.2</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39</v>
      </c>
      <c r="D28" s="56" t="n">
        <v>10.8</v>
      </c>
      <c r="E28" s="56" t="n">
        <v>18.4</v>
      </c>
      <c r="F28" s="56" t="n">
        <v>3.6</v>
      </c>
      <c r="G28" s="56" t="n">
        <v>6.2</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39</v>
      </c>
      <c r="D29" s="56" t="n">
        <v>10.8</v>
      </c>
      <c r="E29" s="56" t="n">
        <v>18.4</v>
      </c>
      <c r="F29" s="56" t="n">
        <v>3.6</v>
      </c>
      <c r="G29" s="56" t="n">
        <v>6.2</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39</v>
      </c>
      <c r="D30" s="56" t="n">
        <v>10.8</v>
      </c>
      <c r="E30" s="56" t="n">
        <v>18.4</v>
      </c>
      <c r="F30" s="56" t="n">
        <v>3.6</v>
      </c>
      <c r="G30" s="56" t="n">
        <v>6.2</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39</v>
      </c>
      <c r="D31" s="56" t="n">
        <v>10.8</v>
      </c>
      <c r="E31" s="56" t="n">
        <v>18.4</v>
      </c>
      <c r="F31" s="56" t="n">
        <v>3.6</v>
      </c>
      <c r="G31" s="56" t="n">
        <v>6.2</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46</v>
      </c>
      <c r="D32" s="56" t="n">
        <v>13.6</v>
      </c>
      <c r="E32" s="56" t="n">
        <v>21</v>
      </c>
      <c r="F32" s="56" t="n">
        <v>4.4</v>
      </c>
      <c r="G32" s="56" t="n">
        <v>7</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46</v>
      </c>
      <c r="D33" s="56" t="n">
        <v>13.6</v>
      </c>
      <c r="E33" s="56" t="n">
        <v>21</v>
      </c>
      <c r="F33" s="56" t="n">
        <v>4.4</v>
      </c>
      <c r="G33" s="56" t="n">
        <v>7</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46</v>
      </c>
      <c r="D34" s="56" t="n">
        <v>13.6</v>
      </c>
      <c r="E34" s="56" t="n">
        <v>21</v>
      </c>
      <c r="F34" s="56" t="n">
        <v>4.4</v>
      </c>
      <c r="G34" s="56" t="n">
        <v>7</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46</v>
      </c>
      <c r="D35" s="56" t="n">
        <v>13.6</v>
      </c>
      <c r="E35" s="56" t="n">
        <v>21</v>
      </c>
      <c r="F35" s="56" t="n">
        <v>4.4</v>
      </c>
      <c r="G35" s="56" t="n">
        <v>7</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46</v>
      </c>
      <c r="D36" s="56" t="n">
        <v>13.6</v>
      </c>
      <c r="E36" s="56" t="n">
        <v>21</v>
      </c>
      <c r="F36" s="56" t="n">
        <v>4.4</v>
      </c>
      <c r="G36" s="56" t="n">
        <v>7</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56.99999999999999</v>
      </c>
      <c r="D37" s="56" t="n">
        <v>17.8</v>
      </c>
      <c r="E37" s="56" t="n">
        <v>25</v>
      </c>
      <c r="F37" s="56" t="n">
        <v>5.8</v>
      </c>
      <c r="G37" s="56" t="n">
        <v>8.4</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56.99999999999999</v>
      </c>
      <c r="D38" s="56" t="n">
        <v>17.8</v>
      </c>
      <c r="E38" s="56" t="n">
        <v>25</v>
      </c>
      <c r="F38" s="56" t="n">
        <v>5.8</v>
      </c>
      <c r="G38" s="56" t="n">
        <v>8.4</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56.99999999999999</v>
      </c>
      <c r="D39" s="56" t="n">
        <v>17.8</v>
      </c>
      <c r="E39" s="56" t="n">
        <v>25</v>
      </c>
      <c r="F39" s="56" t="n">
        <v>5.8</v>
      </c>
      <c r="G39" s="56" t="n">
        <v>8.4</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56.99999999999999</v>
      </c>
      <c r="D40" s="56" t="n">
        <v>17.8</v>
      </c>
      <c r="E40" s="56" t="n">
        <v>25</v>
      </c>
      <c r="F40" s="56" t="n">
        <v>5.8</v>
      </c>
      <c r="G40" s="56" t="n">
        <v>8.4</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56.99999999999999</v>
      </c>
      <c r="D41" s="56" t="n">
        <v>17.8</v>
      </c>
      <c r="E41" s="56" t="n">
        <v>25</v>
      </c>
      <c r="F41" s="56" t="n">
        <v>5.8</v>
      </c>
      <c r="G41" s="56" t="n">
        <v>8.4</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72</v>
      </c>
      <c r="D42" s="56" t="n">
        <v>23.6</v>
      </c>
      <c r="E42" s="56" t="n">
        <v>30.4</v>
      </c>
      <c r="F42" s="56" t="n">
        <v>7.8</v>
      </c>
      <c r="G42" s="56" t="n">
        <v>10.2</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72</v>
      </c>
      <c r="D43" s="56" t="n">
        <v>23.6</v>
      </c>
      <c r="E43" s="56" t="n">
        <v>30.4</v>
      </c>
      <c r="F43" s="56" t="n">
        <v>7.8</v>
      </c>
      <c r="G43" s="56" t="n">
        <v>10.2</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72</v>
      </c>
      <c r="D44" s="56" t="n">
        <v>23.6</v>
      </c>
      <c r="E44" s="56" t="n">
        <v>30.4</v>
      </c>
      <c r="F44" s="56" t="n">
        <v>7.8</v>
      </c>
      <c r="G44" s="56" t="n">
        <v>10.2</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72</v>
      </c>
      <c r="D45" s="56" t="n">
        <v>23.6</v>
      </c>
      <c r="E45" s="56" t="n">
        <v>30.4</v>
      </c>
      <c r="F45" s="56" t="n">
        <v>7.8</v>
      </c>
      <c r="G45" s="56" t="n">
        <v>10.2</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72</v>
      </c>
      <c r="D46" s="56" t="n">
        <v>23.6</v>
      </c>
      <c r="E46" s="56" t="n">
        <v>30.4</v>
      </c>
      <c r="F46" s="56" t="n">
        <v>7.8</v>
      </c>
      <c r="G46" s="56" t="n">
        <v>10.2</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92</v>
      </c>
      <c r="D47" s="56" t="n">
        <v>31.4</v>
      </c>
      <c r="E47" s="56" t="n">
        <v>37.6</v>
      </c>
      <c r="F47" s="56" t="n">
        <v>10.4</v>
      </c>
      <c r="G47" s="56" t="n">
        <v>12.6</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92</v>
      </c>
      <c r="D48" s="56" t="n">
        <v>31.4</v>
      </c>
      <c r="E48" s="56" t="n">
        <v>37.6</v>
      </c>
      <c r="F48" s="56" t="n">
        <v>10.4</v>
      </c>
      <c r="G48" s="56" t="n">
        <v>12.6</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92</v>
      </c>
      <c r="D49" s="56" t="n">
        <v>31.4</v>
      </c>
      <c r="E49" s="56" t="n">
        <v>37.6</v>
      </c>
      <c r="F49" s="56" t="n">
        <v>10.4</v>
      </c>
      <c r="G49" s="56" t="n">
        <v>12.6</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92</v>
      </c>
      <c r="D50" s="56" t="n">
        <v>31.4</v>
      </c>
      <c r="E50" s="56" t="n">
        <v>37.6</v>
      </c>
      <c r="F50" s="56" t="n">
        <v>10.4</v>
      </c>
      <c r="G50" s="56" t="n">
        <v>12.6</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92</v>
      </c>
      <c r="D51" s="56" t="n">
        <v>31.4</v>
      </c>
      <c r="E51" s="56" t="n">
        <v>37.6</v>
      </c>
      <c r="F51" s="56" t="n">
        <v>10.4</v>
      </c>
      <c r="G51" s="56" t="n">
        <v>12.6</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128</v>
      </c>
      <c r="D52" s="56" t="n">
        <v>45</v>
      </c>
      <c r="E52" s="56" t="n">
        <v>51</v>
      </c>
      <c r="F52" s="56" t="n">
        <v>15</v>
      </c>
      <c r="G52" s="56" t="n">
        <v>17</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128</v>
      </c>
      <c r="D53" s="56" t="n">
        <v>45</v>
      </c>
      <c r="E53" s="56" t="n">
        <v>51</v>
      </c>
      <c r="F53" s="56" t="n">
        <v>15</v>
      </c>
      <c r="G53" s="56" t="n">
        <v>17</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128</v>
      </c>
      <c r="D54" s="56" t="n">
        <v>45</v>
      </c>
      <c r="E54" s="56" t="n">
        <v>51</v>
      </c>
      <c r="F54" s="56" t="n">
        <v>15</v>
      </c>
      <c r="G54" s="56" t="n">
        <v>17</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128</v>
      </c>
      <c r="D55" s="56" t="n">
        <v>45</v>
      </c>
      <c r="E55" s="56" t="n">
        <v>51</v>
      </c>
      <c r="F55" s="56" t="n">
        <v>15</v>
      </c>
      <c r="G55" s="56" t="n">
        <v>17</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128</v>
      </c>
      <c r="D56" s="56" t="n">
        <v>45</v>
      </c>
      <c r="E56" s="56" t="n">
        <v>51</v>
      </c>
      <c r="F56" s="56" t="n">
        <v>15</v>
      </c>
      <c r="G56" s="56" t="n">
        <v>17</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192</v>
      </c>
      <c r="D57" s="56" t="n">
        <v>69</v>
      </c>
      <c r="E57" s="56" t="n">
        <v>75</v>
      </c>
      <c r="F57" s="56" t="n">
        <v>23</v>
      </c>
      <c r="G57" s="56" t="n">
        <v>25</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192</v>
      </c>
      <c r="D58" s="56" t="n">
        <v>69</v>
      </c>
      <c r="E58" s="56" t="n">
        <v>75</v>
      </c>
      <c r="F58" s="56" t="n">
        <v>23</v>
      </c>
      <c r="G58" s="56" t="n">
        <v>25</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192</v>
      </c>
      <c r="D59" s="56" t="n">
        <v>69</v>
      </c>
      <c r="E59" s="56" t="n">
        <v>75</v>
      </c>
      <c r="F59" s="56" t="n">
        <v>23</v>
      </c>
      <c r="G59" s="56" t="n">
        <v>25</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192</v>
      </c>
      <c r="D60" s="56" t="n">
        <v>69</v>
      </c>
      <c r="E60" s="56" t="n">
        <v>75</v>
      </c>
      <c r="F60" s="56" t="n">
        <v>23</v>
      </c>
      <c r="G60" s="56" t="n">
        <v>25</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192</v>
      </c>
      <c r="D61" s="56" t="n">
        <v>69</v>
      </c>
      <c r="E61" s="56" t="n">
        <v>75</v>
      </c>
      <c r="F61" s="56" t="n">
        <v>23</v>
      </c>
      <c r="G61" s="56" t="n">
        <v>25</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280</v>
      </c>
      <c r="D62" s="56" t="n">
        <v>103</v>
      </c>
      <c r="E62" s="56" t="n">
        <v>107</v>
      </c>
      <c r="F62" s="56" t="n">
        <v>34.4</v>
      </c>
      <c r="G62" s="56" t="n">
        <v>35.6</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280</v>
      </c>
      <c r="D63" s="56" t="n">
        <v>103</v>
      </c>
      <c r="E63" s="56" t="n">
        <v>107</v>
      </c>
      <c r="F63" s="56" t="n">
        <v>34.4</v>
      </c>
      <c r="G63" s="56" t="n">
        <v>35.6</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280</v>
      </c>
      <c r="D64" s="56" t="n">
        <v>103</v>
      </c>
      <c r="E64" s="56" t="n">
        <v>107</v>
      </c>
      <c r="F64" s="56" t="n">
        <v>34.4</v>
      </c>
      <c r="G64" s="56" t="n">
        <v>35.6</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280</v>
      </c>
      <c r="D65" s="56" t="n">
        <v>103</v>
      </c>
      <c r="E65" s="56" t="n">
        <v>107</v>
      </c>
      <c r="F65" s="56" t="n">
        <v>34.4</v>
      </c>
      <c r="G65" s="56" t="n">
        <v>35.6</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280</v>
      </c>
      <c r="D66" s="56" t="n">
        <v>103</v>
      </c>
      <c r="E66" s="56" t="n">
        <v>107</v>
      </c>
      <c r="F66" s="56" t="n">
        <v>34.4</v>
      </c>
      <c r="G66" s="56" t="n">
        <v>35.6</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396</v>
      </c>
      <c r="D67" s="56" t="n">
        <v>149</v>
      </c>
      <c r="E67" s="56" t="n">
        <v>148</v>
      </c>
      <c r="F67" s="56" t="n">
        <v>49.6</v>
      </c>
      <c r="G67" s="56" t="n">
        <v>49.4</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396</v>
      </c>
      <c r="D68" s="56" t="n">
        <v>149</v>
      </c>
      <c r="E68" s="56" t="n">
        <v>148</v>
      </c>
      <c r="F68" s="56" t="n">
        <v>49.6</v>
      </c>
      <c r="G68" s="56" t="n">
        <v>49.4</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396</v>
      </c>
      <c r="D69" s="56" t="n">
        <v>149</v>
      </c>
      <c r="E69" s="56" t="n">
        <v>148</v>
      </c>
      <c r="F69" s="56" t="n">
        <v>49.6</v>
      </c>
      <c r="G69" s="56" t="n">
        <v>49.4</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396</v>
      </c>
      <c r="D70" s="56" t="n">
        <v>149</v>
      </c>
      <c r="E70" s="56" t="n">
        <v>148</v>
      </c>
      <c r="F70" s="56" t="n">
        <v>49.6</v>
      </c>
      <c r="G70" s="56" t="n">
        <v>49.4</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396</v>
      </c>
      <c r="D71" s="56" t="n">
        <v>149</v>
      </c>
      <c r="E71" s="56" t="n">
        <v>148</v>
      </c>
      <c r="F71" s="56" t="n">
        <v>49.6</v>
      </c>
      <c r="G71" s="56" t="n">
        <v>49.4</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538</v>
      </c>
      <c r="D72" s="56" t="n">
        <v>207.6</v>
      </c>
      <c r="E72" s="56" t="n">
        <v>196</v>
      </c>
      <c r="F72" s="56" t="n">
        <v>69.2</v>
      </c>
      <c r="G72" s="56" t="n">
        <v>65.2</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538</v>
      </c>
      <c r="D73" s="56" t="n">
        <v>207.6</v>
      </c>
      <c r="E73" s="56" t="n">
        <v>196</v>
      </c>
      <c r="F73" s="56" t="n">
        <v>69.2</v>
      </c>
      <c r="G73" s="56" t="n">
        <v>65.2</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538</v>
      </c>
      <c r="D74" s="56" t="n">
        <v>207.6</v>
      </c>
      <c r="E74" s="56" t="n">
        <v>196</v>
      </c>
      <c r="F74" s="56" t="n">
        <v>69.2</v>
      </c>
      <c r="G74" s="56" t="n">
        <v>65.2</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538</v>
      </c>
      <c r="D75" s="56" t="n">
        <v>207.6</v>
      </c>
      <c r="E75" s="56" t="n">
        <v>196</v>
      </c>
      <c r="F75" s="56" t="n">
        <v>69.2</v>
      </c>
      <c r="G75" s="56" t="n">
        <v>65.2</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538</v>
      </c>
      <c r="D76" s="56" t="n">
        <v>207.6</v>
      </c>
      <c r="E76" s="56" t="n">
        <v>196</v>
      </c>
      <c r="F76" s="56" t="n">
        <v>69.2</v>
      </c>
      <c r="G76" s="56" t="n">
        <v>65.2</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730</v>
      </c>
      <c r="D77" s="56" t="n">
        <v>287.6</v>
      </c>
      <c r="E77" s="56" t="n">
        <v>260</v>
      </c>
      <c r="F77" s="56" t="n">
        <v>95.8</v>
      </c>
      <c r="G77" s="56" t="n">
        <v>86.59999999999999</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730</v>
      </c>
      <c r="D78" s="56" t="n">
        <v>287.6</v>
      </c>
      <c r="E78" s="56" t="n">
        <v>260</v>
      </c>
      <c r="F78" s="56" t="n">
        <v>95.8</v>
      </c>
      <c r="G78" s="56" t="n">
        <v>86.59999999999999</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730</v>
      </c>
      <c r="D79" s="56" t="n">
        <v>287.6</v>
      </c>
      <c r="E79" s="56" t="n">
        <v>260</v>
      </c>
      <c r="F79" s="56" t="n">
        <v>95.8</v>
      </c>
      <c r="G79" s="56" t="n">
        <v>86.59999999999999</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730</v>
      </c>
      <c r="D80" s="56" t="n">
        <v>287.6</v>
      </c>
      <c r="E80" s="56" t="n">
        <v>260</v>
      </c>
      <c r="F80" s="56" t="n">
        <v>95.8</v>
      </c>
      <c r="G80" s="56" t="n">
        <v>86.59999999999999</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730</v>
      </c>
      <c r="D81" s="56" t="n">
        <v>287.6</v>
      </c>
      <c r="E81" s="56" t="n">
        <v>260</v>
      </c>
      <c r="F81" s="56" t="n">
        <v>95.8</v>
      </c>
      <c r="G81" s="56" t="n">
        <v>86.59999999999999</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936</v>
      </c>
      <c r="D82" s="56" t="n">
        <v>378</v>
      </c>
      <c r="E82" s="56" t="n">
        <v>324</v>
      </c>
      <c r="F82" s="56" t="n">
        <v>126</v>
      </c>
      <c r="G82" s="56" t="n">
        <v>108</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936</v>
      </c>
      <c r="D83" s="56" t="n">
        <v>378</v>
      </c>
      <c r="E83" s="56" t="n">
        <v>324</v>
      </c>
      <c r="F83" s="56" t="n">
        <v>126</v>
      </c>
      <c r="G83" s="56" t="n">
        <v>108</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936</v>
      </c>
      <c r="D84" s="56" t="n">
        <v>378</v>
      </c>
      <c r="E84" s="56" t="n">
        <v>324</v>
      </c>
      <c r="F84" s="56" t="n">
        <v>126</v>
      </c>
      <c r="G84" s="56" t="n">
        <v>108</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936</v>
      </c>
      <c r="D85" s="56" t="n">
        <v>378</v>
      </c>
      <c r="E85" s="56" t="n">
        <v>324</v>
      </c>
      <c r="F85" s="56" t="n">
        <v>126</v>
      </c>
      <c r="G85" s="56" t="n">
        <v>108</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936</v>
      </c>
      <c r="D86" s="56" t="n">
        <v>378</v>
      </c>
      <c r="E86" s="56" t="n">
        <v>324</v>
      </c>
      <c r="F86" s="56" t="n">
        <v>126</v>
      </c>
      <c r="G86" s="56" t="n">
        <v>108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1098</v>
      </c>
      <c r="D87" s="56" t="n">
        <v>459.6</v>
      </c>
      <c r="E87" s="56" t="n">
        <v>364</v>
      </c>
      <c r="F87" s="56" t="n">
        <v>153.2</v>
      </c>
      <c r="G87" s="56" t="n">
        <v>121.2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1098</v>
      </c>
      <c r="D88" s="56" t="n">
        <v>459.6</v>
      </c>
      <c r="E88" s="56" t="n">
        <v>364</v>
      </c>
      <c r="F88" s="56" t="n">
        <v>153.2</v>
      </c>
      <c r="G88" s="56" t="n">
        <v>121.2</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1098</v>
      </c>
      <c r="D89" s="56" t="n">
        <v>459.6</v>
      </c>
      <c r="E89" s="56" t="n">
        <v>364</v>
      </c>
      <c r="F89" s="56" t="n">
        <v>153.2</v>
      </c>
      <c r="G89" s="56" t="n">
        <v>121.2</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1098</v>
      </c>
      <c r="D90" s="56" t="n">
        <v>459.6</v>
      </c>
      <c r="E90" s="56" t="n">
        <v>364</v>
      </c>
      <c r="F90" s="56" t="n">
        <v>153.2</v>
      </c>
      <c r="G90" s="56" t="n">
        <v>121.2</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1098</v>
      </c>
      <c r="D91" s="56" t="n">
        <v>459.6</v>
      </c>
      <c r="E91" s="56" t="n">
        <v>364</v>
      </c>
      <c r="F91" s="56" t="n">
        <v>153.2</v>
      </c>
      <c r="G91" s="56" t="n">
        <v>121.2</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984</v>
      </c>
      <c r="D92" s="56" t="n">
        <v>422</v>
      </c>
      <c r="E92" s="56" t="n">
        <v>316</v>
      </c>
      <c r="F92" s="56" t="n">
        <v>140.6</v>
      </c>
      <c r="G92" s="56" t="n">
        <v>105.4</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984</v>
      </c>
      <c r="D93" s="56" t="n">
        <v>422</v>
      </c>
      <c r="E93" s="56" t="n">
        <v>316</v>
      </c>
      <c r="F93" s="56" t="n">
        <v>140.6</v>
      </c>
      <c r="G93" s="56" t="n">
        <v>105.4</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984</v>
      </c>
      <c r="D94" s="56" t="n">
        <v>422</v>
      </c>
      <c r="E94" s="56" t="n">
        <v>316</v>
      </c>
      <c r="F94" s="56" t="n">
        <v>140.6</v>
      </c>
      <c r="G94" s="56" t="n">
        <v>105.4</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984</v>
      </c>
      <c r="D95" s="56" t="n">
        <v>422</v>
      </c>
      <c r="E95" s="56" t="n">
        <v>316</v>
      </c>
      <c r="F95" s="56" t="n">
        <v>140.6</v>
      </c>
      <c r="G95" s="56" t="n">
        <v>105.4</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984</v>
      </c>
      <c r="D96" s="56" t="n">
        <v>422</v>
      </c>
      <c r="E96" s="56" t="n">
        <v>316</v>
      </c>
      <c r="F96" s="56" t="n">
        <v>140.6</v>
      </c>
      <c r="G96" s="56" t="n">
        <v>105.4</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690</v>
      </c>
      <c r="D97" s="56" t="n">
        <v>307.6</v>
      </c>
      <c r="E97" s="56" t="n">
        <v>210</v>
      </c>
      <c r="F97" s="56" t="n">
        <v>102.4</v>
      </c>
      <c r="G97" s="56" t="n">
        <v>70</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690</v>
      </c>
      <c r="D98" s="56" t="n">
        <v>307.6</v>
      </c>
      <c r="E98" s="56" t="n">
        <v>210</v>
      </c>
      <c r="F98" s="56" t="n">
        <v>102.4</v>
      </c>
      <c r="G98" s="56" t="n">
        <v>70</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690</v>
      </c>
      <c r="D99" s="56" t="n">
        <v>307.6</v>
      </c>
      <c r="E99" s="56" t="n">
        <v>210</v>
      </c>
      <c r="F99" s="56" t="n">
        <v>102.4</v>
      </c>
      <c r="G99" s="56" t="n">
        <v>70</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690</v>
      </c>
      <c r="D100" s="56" t="n">
        <v>307.6</v>
      </c>
      <c r="E100" s="56" t="n">
        <v>210</v>
      </c>
      <c r="F100" s="56" t="n">
        <v>102.4</v>
      </c>
      <c r="G100" s="56" t="n">
        <v>70</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690</v>
      </c>
      <c r="D101" s="56" t="n">
        <v>307.6</v>
      </c>
      <c r="E101" s="56" t="n">
        <v>210</v>
      </c>
      <c r="F101" s="56" t="n">
        <v>102.4</v>
      </c>
      <c r="G101" s="56" t="n">
        <v>70</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332</v>
      </c>
      <c r="D102" s="56" t="n">
        <v>153</v>
      </c>
      <c r="E102" s="56" t="n">
        <v>96</v>
      </c>
      <c r="F102" s="56" t="n">
        <v>51</v>
      </c>
      <c r="G102" s="56" t="n">
        <v>32</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332</v>
      </c>
      <c r="D103" s="56" t="n">
        <v>153</v>
      </c>
      <c r="E103" s="56" t="n">
        <v>96</v>
      </c>
      <c r="F103" s="56" t="n">
        <v>51</v>
      </c>
      <c r="G103" s="56" t="n">
        <v>32</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332</v>
      </c>
      <c r="D104" s="56" t="n">
        <v>153</v>
      </c>
      <c r="E104" s="56" t="n">
        <v>96</v>
      </c>
      <c r="F104" s="56" t="n">
        <v>51</v>
      </c>
      <c r="G104" s="56" t="n">
        <v>32</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332</v>
      </c>
      <c r="D105" s="56" t="n">
        <v>153</v>
      </c>
      <c r="E105" s="56" t="n">
        <v>96</v>
      </c>
      <c r="F105" s="56" t="n">
        <v>51</v>
      </c>
      <c r="G105" s="56" t="n">
        <v>32</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332</v>
      </c>
      <c r="D106" s="56" t="n">
        <v>153</v>
      </c>
      <c r="E106" s="56" t="n">
        <v>96</v>
      </c>
      <c r="F106" s="56" t="n">
        <v>51</v>
      </c>
      <c r="G106" s="56" t="n">
        <v>32</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https://www.cso.ie/en/releasesandpublications/ep/p-pme/populationandmigrationestimatesapril2025/, https://data.cso.ie/table/VSD45 |; downloaded 46123; numbers only available in batches that were distributed evenly</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46510.00000000001</v>
      </c>
      <c r="D9" s="118" t="n">
        <v>-5001.299999999999</v>
      </c>
      <c r="E9" s="118" t="n">
        <v>-3017.299999999999</v>
      </c>
      <c r="F9" s="118" t="n">
        <v>28773.1</v>
      </c>
      <c r="G9" s="118" t="n">
        <v>25755.5</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321.6035255297322</v>
      </c>
      <c r="D17" s="83" t="n">
        <v>-34.58257820322186</v>
      </c>
      <c r="E17" s="83" t="n">
        <v>-20.8637780602206</v>
      </c>
      <c r="F17" s="83" t="n">
        <v>198.9578671343697</v>
      </c>
      <c r="G17" s="83" t="n">
        <v>178.0920146588049</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386.9597708838211</v>
      </c>
      <c r="D18" s="83" t="n">
        <v>-41.6104472612611</v>
      </c>
      <c r="E18" s="83" t="n">
        <v>-25.10371353876053</v>
      </c>
      <c r="F18" s="83" t="n">
        <v>239.3900706002423</v>
      </c>
      <c r="G18" s="83" t="n">
        <v>214.2838610836004</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460.9649023105983</v>
      </c>
      <c r="D19" s="83" t="n">
        <v>-49.56834585951398</v>
      </c>
      <c r="E19" s="83" t="n">
        <v>-29.90473876030461</v>
      </c>
      <c r="F19" s="83" t="n">
        <v>285.1728495092039</v>
      </c>
      <c r="G19" s="83" t="n">
        <v>255.265137421213</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543.6594334144895</v>
      </c>
      <c r="D20" s="83" t="n">
        <v>-58.46063049528888</v>
      </c>
      <c r="E20" s="83" t="n">
        <v>-35.26948201336356</v>
      </c>
      <c r="F20" s="83" t="n">
        <v>336.3312673312932</v>
      </c>
      <c r="G20" s="83" t="n">
        <v>301.0582785918488</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634.8089233206623</v>
      </c>
      <c r="D21" s="83" t="n">
        <v>-68.26209133957485</v>
      </c>
      <c r="E21" s="83" t="n">
        <v>-41.18273412890633</v>
      </c>
      <c r="F21" s="83" t="n">
        <v>392.7202887894591</v>
      </c>
      <c r="G21" s="83" t="n">
        <v>351.5334599996843</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733.8649462620647</v>
      </c>
      <c r="D22" s="83" t="n">
        <v>-78.913755229853</v>
      </c>
      <c r="E22" s="83" t="n">
        <v>-47.60891641273977</v>
      </c>
      <c r="F22" s="83" t="n">
        <v>454.0006339559883</v>
      </c>
      <c r="G22" s="83" t="n">
        <v>406.3869839486693</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839.9361837542435</v>
      </c>
      <c r="D23" s="83" t="n">
        <v>-90.31977716211776</v>
      </c>
      <c r="E23" s="83" t="n">
        <v>-54.49020527288059</v>
      </c>
      <c r="F23" s="83" t="n">
        <v>519.620894620065</v>
      </c>
      <c r="G23" s="83" t="n">
        <v>465.1252715691769</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951.7731826108782</v>
      </c>
      <c r="D24" s="83" t="n">
        <v>-102.3458012941687</v>
      </c>
      <c r="E24" s="83" t="n">
        <v>-61.74554340769305</v>
      </c>
      <c r="F24" s="83" t="n">
        <v>588.8081049361655</v>
      </c>
      <c r="G24" s="83" t="n">
        <v>527.0564223765743</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1067.769873028357</v>
      </c>
      <c r="D25" s="83" t="n">
        <v>-114.8191241878461</v>
      </c>
      <c r="E25" s="83" t="n">
        <v>-69.27073829044207</v>
      </c>
      <c r="F25" s="83" t="n">
        <v>660.5686805769128</v>
      </c>
      <c r="G25" s="83" t="n">
        <v>591.2910549297324</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1185.984159851686</v>
      </c>
      <c r="D26" s="83" t="n">
        <v>-127.5309090231399</v>
      </c>
      <c r="E26" s="83" t="n">
        <v>-76.93979801162101</v>
      </c>
      <c r="F26" s="83" t="n">
        <v>733.7011573818223</v>
      </c>
      <c r="G26" s="83" t="n">
        <v>656.753709504625</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1304.178811660638</v>
      </c>
      <c r="D27" s="83" t="n">
        <v>-140.240582471691</v>
      </c>
      <c r="E27" s="83" t="n">
        <v>-84.60758392654577</v>
      </c>
      <c r="F27" s="83" t="n">
        <v>806.8214871165922</v>
      </c>
      <c r="G27" s="83" t="n">
        <v>722.2054909422826</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1419.882537083515</v>
      </c>
      <c r="D28" s="83" t="n">
        <v>-152.6824023374712</v>
      </c>
      <c r="E28" s="83" t="n">
        <v>-92.11377293360755</v>
      </c>
      <c r="F28" s="83" t="n">
        <v>878.4008219255577</v>
      </c>
      <c r="G28" s="83" t="n">
        <v>786.2778904290365</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1530.469650169339</v>
      </c>
      <c r="D29" s="83" t="n">
        <v>-164.57402411077</v>
      </c>
      <c r="E29" s="83" t="n">
        <v>-99.28802570320244</v>
      </c>
      <c r="F29" s="83" t="n">
        <v>946.8147987806365</v>
      </c>
      <c r="G29" s="83" t="n">
        <v>847.5169012026752</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1633.255208405261</v>
      </c>
      <c r="D30" s="83" t="n">
        <v>-175.6267313222368</v>
      </c>
      <c r="E30" s="83" t="n">
        <v>-105.9561586824595</v>
      </c>
      <c r="F30" s="83" t="n">
        <v>1010.402395978615</v>
      </c>
      <c r="G30" s="83" t="n">
        <v>904.4357024313417</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1725.601096262551</v>
      </c>
      <c r="D31" s="83" t="n">
        <v>-185.5568428883658</v>
      </c>
      <c r="E31" s="83" t="n">
        <v>-111.9470261826058</v>
      </c>
      <c r="F31" s="83" t="n">
        <v>1067.531561016384</v>
      </c>
      <c r="G31" s="83" t="n">
        <v>955.5734043171392</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1805.027364769942</v>
      </c>
      <c r="D32" s="83" t="n">
        <v>-194.0976856466116</v>
      </c>
      <c r="E32" s="83" t="n">
        <v>-117.099743447008</v>
      </c>
      <c r="F32" s="83" t="n">
        <v>1116.668090072285</v>
      </c>
      <c r="G32" s="83" t="n">
        <v>999.5567037912756</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1869.322351247417</v>
      </c>
      <c r="D33" s="83" t="n">
        <v>-201.0114357190649</v>
      </c>
      <c r="E33" s="83" t="n">
        <v>-121.2708305830754</v>
      </c>
      <c r="F33" s="83" t="n">
        <v>1156.443752841906</v>
      </c>
      <c r="G33" s="83" t="n">
        <v>1035.160864707652</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1916.644792183367</v>
      </c>
      <c r="D34" s="83" t="n">
        <v>-206.1000988851143</v>
      </c>
      <c r="E34" s="83" t="n">
        <v>-124.3408370555767</v>
      </c>
      <c r="F34" s="83" t="n">
        <v>1185.719463985621</v>
      </c>
      <c r="G34" s="83" t="n">
        <v>1061.366264138437</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1945.611363866672</v>
      </c>
      <c r="D35" s="83" t="n">
        <v>-209.2149239756264</v>
      </c>
      <c r="E35" s="83" t="n">
        <v>-126.2200208169191</v>
      </c>
      <c r="F35" s="83" t="n">
        <v>1203.639439554335</v>
      </c>
      <c r="G35" s="83" t="n">
        <v>1077.406869104883</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1955.36384676954</v>
      </c>
      <c r="D36" s="83" t="n">
        <v>-210.2636251741238</v>
      </c>
      <c r="E36" s="83" t="n">
        <v>-126.8527055441352</v>
      </c>
      <c r="F36" s="83" t="n">
        <v>1209.672747785092</v>
      </c>
      <c r="G36" s="83" t="n">
        <v>1082.807429702707</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1945.611363866672</v>
      </c>
      <c r="D37" s="83" t="n">
        <v>-209.2149239756264</v>
      </c>
      <c r="E37" s="83" t="n">
        <v>-126.2200208169191</v>
      </c>
      <c r="F37" s="83" t="n">
        <v>1203.639439554335</v>
      </c>
      <c r="G37" s="83" t="n">
        <v>1077.406869104883</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1916.644792183367</v>
      </c>
      <c r="D38" s="83" t="n">
        <v>-206.1000988851143</v>
      </c>
      <c r="E38" s="83" t="n">
        <v>-124.3408370555767</v>
      </c>
      <c r="F38" s="83" t="n">
        <v>1185.719463985621</v>
      </c>
      <c r="G38" s="83" t="n">
        <v>1061.366264138437</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1869.322351247417</v>
      </c>
      <c r="D39" s="83" t="n">
        <v>-201.0114357190649</v>
      </c>
      <c r="E39" s="83" t="n">
        <v>-121.2708305830754</v>
      </c>
      <c r="F39" s="83" t="n">
        <v>1156.443752841906</v>
      </c>
      <c r="G39" s="83" t="n">
        <v>1035.160864707652</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1805.027364769942</v>
      </c>
      <c r="D40" s="83" t="n">
        <v>-194.0976856466116</v>
      </c>
      <c r="E40" s="83" t="n">
        <v>-117.099743447008</v>
      </c>
      <c r="F40" s="83" t="n">
        <v>1116.668090072285</v>
      </c>
      <c r="G40" s="83" t="n">
        <v>999.5567037912756</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1725.601096262551</v>
      </c>
      <c r="D41" s="83" t="n">
        <v>-185.5568428883658</v>
      </c>
      <c r="E41" s="83" t="n">
        <v>-111.9470261826058</v>
      </c>
      <c r="F41" s="83" t="n">
        <v>1067.531561016384</v>
      </c>
      <c r="G41" s="83" t="n">
        <v>955.5734043171392</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1633.255208405261</v>
      </c>
      <c r="D42" s="83" t="n">
        <v>-175.6267313222368</v>
      </c>
      <c r="E42" s="83" t="n">
        <v>-105.9561586824595</v>
      </c>
      <c r="F42" s="83" t="n">
        <v>1010.402395978615</v>
      </c>
      <c r="G42" s="83" t="n">
        <v>904.4357024313417</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1530.469650169339</v>
      </c>
      <c r="D43" s="83" t="n">
        <v>-164.57402411077</v>
      </c>
      <c r="E43" s="83" t="n">
        <v>-99.28802570320244</v>
      </c>
      <c r="F43" s="83" t="n">
        <v>946.8147987806365</v>
      </c>
      <c r="G43" s="83" t="n">
        <v>847.5169012026752</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1419.882537083515</v>
      </c>
      <c r="D44" s="83" t="n">
        <v>-152.6824023374712</v>
      </c>
      <c r="E44" s="83" t="n">
        <v>-92.11377293360755</v>
      </c>
      <c r="F44" s="83" t="n">
        <v>878.4008219255577</v>
      </c>
      <c r="G44" s="83" t="n">
        <v>786.2778904290365</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1304.178811660638</v>
      </c>
      <c r="D45" s="83" t="n">
        <v>-140.240582471691</v>
      </c>
      <c r="E45" s="83" t="n">
        <v>-84.60758392654577</v>
      </c>
      <c r="F45" s="83" t="n">
        <v>806.8214871165922</v>
      </c>
      <c r="G45" s="83" t="n">
        <v>722.2054909422826</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1185.984159851686</v>
      </c>
      <c r="D46" s="83" t="n">
        <v>-127.5309090231399</v>
      </c>
      <c r="E46" s="83" t="n">
        <v>-76.93979801162101</v>
      </c>
      <c r="F46" s="83" t="n">
        <v>733.7011573818223</v>
      </c>
      <c r="G46" s="83" t="n">
        <v>656.753709504625</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1067.769873028357</v>
      </c>
      <c r="D47" s="83" t="n">
        <v>-114.8191241878461</v>
      </c>
      <c r="E47" s="83" t="n">
        <v>-69.27073829044207</v>
      </c>
      <c r="F47" s="83" t="n">
        <v>660.5686805769128</v>
      </c>
      <c r="G47" s="83" t="n">
        <v>591.2910549297324</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951.7731826108782</v>
      </c>
      <c r="D48" s="83" t="n">
        <v>-102.3458012941687</v>
      </c>
      <c r="E48" s="83" t="n">
        <v>-61.74554340769305</v>
      </c>
      <c r="F48" s="83" t="n">
        <v>588.8081049361655</v>
      </c>
      <c r="G48" s="83" t="n">
        <v>527.0564223765743</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839.9361837542435</v>
      </c>
      <c r="D49" s="83" t="n">
        <v>-90.31977716211776</v>
      </c>
      <c r="E49" s="83" t="n">
        <v>-54.49020527288059</v>
      </c>
      <c r="F49" s="83" t="n">
        <v>519.620894620065</v>
      </c>
      <c r="G49" s="83" t="n">
        <v>465.1252715691769</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733.8649462620647</v>
      </c>
      <c r="D50" s="83" t="n">
        <v>-78.913755229853</v>
      </c>
      <c r="E50" s="83" t="n">
        <v>-47.60891641273977</v>
      </c>
      <c r="F50" s="83" t="n">
        <v>454.0006339559883</v>
      </c>
      <c r="G50" s="83" t="n">
        <v>406.3869839486693</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634.8089233206623</v>
      </c>
      <c r="D51" s="83" t="n">
        <v>-68.26209133957485</v>
      </c>
      <c r="E51" s="83" t="n">
        <v>-41.18273412890633</v>
      </c>
      <c r="F51" s="83" t="n">
        <v>392.7202887894591</v>
      </c>
      <c r="G51" s="83" t="n">
        <v>351.5334599996843</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543.6594334144895</v>
      </c>
      <c r="D52" s="83" t="n">
        <v>-58.46063049528888</v>
      </c>
      <c r="E52" s="83" t="n">
        <v>-35.26948201336356</v>
      </c>
      <c r="F52" s="83" t="n">
        <v>336.3312673312932</v>
      </c>
      <c r="G52" s="83" t="n">
        <v>301.0582785918488</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460.9649023105983</v>
      </c>
      <c r="D53" s="83" t="n">
        <v>-49.56834585951398</v>
      </c>
      <c r="E53" s="83" t="n">
        <v>-29.90473876030461</v>
      </c>
      <c r="F53" s="83" t="n">
        <v>285.1728495092039</v>
      </c>
      <c r="G53" s="83" t="n">
        <v>255.265137421213</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386.9597708838211</v>
      </c>
      <c r="D54" s="83" t="n">
        <v>-41.6104472612611</v>
      </c>
      <c r="E54" s="83" t="n">
        <v>-25.10371353876053</v>
      </c>
      <c r="F54" s="83" t="n">
        <v>239.3900706002423</v>
      </c>
      <c r="G54" s="83" t="n">
        <v>214.2838610836004</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321.6035255297322</v>
      </c>
      <c r="D55" s="83" t="n">
        <v>-34.58257820322186</v>
      </c>
      <c r="E55" s="83" t="n">
        <v>-20.8637780602206</v>
      </c>
      <c r="F55" s="83" t="n">
        <v>198.9578671343697</v>
      </c>
      <c r="G55" s="83" t="n">
        <v>178.0920146588049</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80792</v>
      </c>
      <c r="D189" s="112" t="n">
        <v>14128</v>
      </c>
      <c r="E189" s="112" t="n">
        <v>13803</v>
      </c>
      <c r="F189" s="129" t="n">
        <v>26820</v>
      </c>
      <c r="G189" s="118" t="n">
        <v>26041</v>
      </c>
      <c r="H189" s="83">
        <f t="array" ref="H189">E189+D189</f>
        <v/>
      </c>
      <c r="I189" s="128">
        <f t="array" ref="I189">G189+F189</f>
        <v/>
      </c>
      <c r="J189" s="112" t="n">
        <v>69345</v>
      </c>
      <c r="K189" s="112" t="n">
        <v>96978</v>
      </c>
      <c r="L189" s="131" t="n"/>
    </row>
    <row r="190" ht="20.65" customHeight="1" s="206">
      <c r="A190" s="10" t="n"/>
      <c r="B190" s="127">
        <f t="array" ref="B190">$B191-1</f>
        <v/>
      </c>
      <c r="C190" s="128" t="n">
        <v>93378</v>
      </c>
      <c r="D190" s="112" t="n">
        <v>14648</v>
      </c>
      <c r="E190" s="112" t="n">
        <v>14473</v>
      </c>
      <c r="F190" s="129" t="n">
        <v>32591</v>
      </c>
      <c r="G190" s="118" t="n">
        <v>31666</v>
      </c>
      <c r="H190" s="83">
        <f t="array" ref="H190">E190+D190</f>
        <v/>
      </c>
      <c r="I190" s="128">
        <f t="array" ref="I190">G190+F190</f>
        <v/>
      </c>
      <c r="J190" s="112" t="n">
        <v>59191</v>
      </c>
      <c r="K190" s="112" t="n">
        <v>70318</v>
      </c>
      <c r="L190" s="131" t="n"/>
    </row>
    <row r="191" ht="20.65" customHeight="1" s="206">
      <c r="A191" s="10" t="n"/>
      <c r="B191" s="127">
        <f t="array" ref="B191">$B192-1</f>
        <v/>
      </c>
      <c r="C191" s="128" t="n">
        <v>84743</v>
      </c>
      <c r="D191" s="112" t="n">
        <v>14937</v>
      </c>
      <c r="E191" s="112" t="n">
        <v>13772</v>
      </c>
      <c r="F191" s="129" t="n">
        <v>29685</v>
      </c>
      <c r="G191" s="118" t="n">
        <v>26349</v>
      </c>
      <c r="H191" s="83">
        <f t="array" ref="H191">E191+D191</f>
        <v/>
      </c>
      <c r="I191" s="128">
        <f t="array" ref="I191">G191+F191</f>
        <v/>
      </c>
      <c r="J191" s="112" t="n">
        <v>52863</v>
      </c>
      <c r="K191" s="112" t="n">
        <v>58938</v>
      </c>
      <c r="L191" s="131" t="n"/>
    </row>
    <row r="192" ht="20.65" customHeight="1" s="206">
      <c r="A192" s="10" t="n"/>
      <c r="B192" s="127">
        <f t="array" ref="B192">$B193-1</f>
        <v/>
      </c>
      <c r="C192" s="128" t="n">
        <v>105699</v>
      </c>
      <c r="D192" s="112" t="n">
        <v>16971</v>
      </c>
      <c r="E192" s="112" t="n">
        <v>17806</v>
      </c>
      <c r="F192" s="129" t="n">
        <v>34620</v>
      </c>
      <c r="G192" s="118" t="n">
        <v>36302</v>
      </c>
      <c r="H192" s="83">
        <f t="array" ref="H192">E192+D192</f>
        <v/>
      </c>
      <c r="I192" s="128">
        <f t="array" ref="I192">G192+F192</f>
        <v/>
      </c>
      <c r="J192" s="112" t="n">
        <v>49456</v>
      </c>
      <c r="K192" s="112" t="n">
        <v>56177</v>
      </c>
      <c r="L192" s="131" t="n"/>
    </row>
    <row r="193" ht="20.65" customHeight="1" s="206">
      <c r="A193" s="10" t="n"/>
      <c r="B193" s="127">
        <f t="array" ref="B193">$B194-1</f>
        <v/>
      </c>
      <c r="C193" s="128" t="n">
        <v>96321</v>
      </c>
      <c r="D193" s="112" t="n">
        <v>14598</v>
      </c>
      <c r="E193" s="112" t="n">
        <v>14669</v>
      </c>
      <c r="F193" s="129" t="n">
        <v>34063</v>
      </c>
      <c r="G193" s="118" t="n">
        <v>32991</v>
      </c>
      <c r="H193" s="83">
        <f t="array" ref="H193">E193+D193</f>
        <v/>
      </c>
      <c r="I193" s="128">
        <f t="array" ref="I193">G193+F193</f>
        <v/>
      </c>
      <c r="J193" s="112" t="n">
        <v>50613</v>
      </c>
      <c r="K193" s="112" t="n">
        <v>58554</v>
      </c>
      <c r="L193" s="131" t="n"/>
    </row>
    <row r="194" ht="20.65" customHeight="1" s="206">
      <c r="A194" s="10" t="n"/>
      <c r="B194" s="127">
        <f t="array" ref="B194">$B195-1</f>
        <v/>
      </c>
      <c r="C194" s="128" t="n">
        <v>81918</v>
      </c>
      <c r="D194" s="112" t="n">
        <v>17774</v>
      </c>
      <c r="E194" s="112" t="n">
        <v>18216</v>
      </c>
      <c r="F194" s="129" t="n">
        <v>23393</v>
      </c>
      <c r="G194" s="118" t="n">
        <v>22535</v>
      </c>
      <c r="H194" s="83">
        <f t="array" ref="H194">E194+D194</f>
        <v/>
      </c>
      <c r="I194" s="128">
        <f t="array" ref="I194">G194+F194</f>
        <v/>
      </c>
      <c r="J194" s="112" t="n">
        <v>47156</v>
      </c>
      <c r="K194" s="112" t="n">
        <v>56409</v>
      </c>
      <c r="L194" s="131" t="n"/>
    </row>
    <row r="195" ht="20.65" customHeight="1" s="206">
      <c r="A195" s="10" t="n"/>
      <c r="B195" s="127">
        <f t="array" ref="B195">$B196-1</f>
        <v/>
      </c>
      <c r="C195" s="128" t="n">
        <v>83770</v>
      </c>
      <c r="D195" s="112" t="n">
        <v>13767</v>
      </c>
      <c r="E195" s="112" t="n">
        <v>15042</v>
      </c>
      <c r="F195" s="129" t="n">
        <v>28913</v>
      </c>
      <c r="G195" s="118" t="n">
        <v>26048</v>
      </c>
      <c r="H195" s="83">
        <f t="array" ref="H195">E195+D195</f>
        <v/>
      </c>
      <c r="I195" s="128">
        <f t="array" ref="I195">G195+F195</f>
        <v/>
      </c>
      <c r="J195" s="112" t="n">
        <v>50392</v>
      </c>
      <c r="K195" s="112" t="n">
        <v>68119</v>
      </c>
      <c r="L195" s="131" t="n"/>
    </row>
    <row r="196" ht="20.65" customHeight="1" s="206">
      <c r="A196" s="10" t="n"/>
      <c r="B196" s="127">
        <f t="array" ref="B196">$B197-1</f>
        <v/>
      </c>
      <c r="C196" s="128" t="n">
        <v>157537</v>
      </c>
      <c r="D196" s="112" t="n">
        <v>12734</v>
      </c>
      <c r="E196" s="112" t="n">
        <v>14793</v>
      </c>
      <c r="F196" s="129" t="n">
        <v>72249</v>
      </c>
      <c r="G196" s="118" t="n">
        <v>57761</v>
      </c>
      <c r="H196" s="83">
        <f t="array" ref="H196">E196+D196</f>
        <v/>
      </c>
      <c r="I196" s="128">
        <f t="array" ref="I196">G196+F196</f>
        <v/>
      </c>
      <c r="J196" s="112" t="n">
        <v>102165</v>
      </c>
      <c r="K196" s="112" t="n">
        <v>99457</v>
      </c>
      <c r="L196" s="131" t="n"/>
    </row>
    <row r="197" ht="20.65" customHeight="1" s="206">
      <c r="A197" s="10" t="n"/>
      <c r="B197" s="127">
        <f t="array" ref="B197">$B198-1</f>
        <v/>
      </c>
      <c r="C197" s="128" t="n">
        <v>135617</v>
      </c>
      <c r="D197" s="112" t="n">
        <v>14320</v>
      </c>
      <c r="E197" s="112" t="n">
        <v>14465</v>
      </c>
      <c r="F197" s="129" t="n">
        <v>58213</v>
      </c>
      <c r="G197" s="118" t="n">
        <v>48619</v>
      </c>
      <c r="H197" s="83">
        <f t="array" ref="H197">E197+D197</f>
        <v/>
      </c>
      <c r="I197" s="128">
        <f t="array" ref="I197">G197+F197</f>
        <v/>
      </c>
      <c r="J197" s="112" t="n">
        <v>68403</v>
      </c>
      <c r="K197" s="112" t="n">
        <v>79188</v>
      </c>
      <c r="L197" s="131" t="n"/>
    </row>
    <row r="198" ht="20.45" customHeight="1" s="206">
      <c r="A198" s="10" t="n"/>
      <c r="B198" s="127">
        <f t="array" ref="B198">$C$7</f>
        <v/>
      </c>
      <c r="C198" s="128" t="n">
        <v>127664</v>
      </c>
      <c r="D198" s="132" t="n">
        <v>15660</v>
      </c>
      <c r="E198" s="133" t="n">
        <v>18128</v>
      </c>
      <c r="F198" s="118" t="n">
        <v>46300</v>
      </c>
      <c r="G198" s="118" t="n">
        <v>47576</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67160</v>
      </c>
      <c r="D276" s="112" t="n">
        <v>19955</v>
      </c>
      <c r="E276" s="112" t="n">
        <v>18534</v>
      </c>
      <c r="F276" s="129" t="n">
        <v>14957</v>
      </c>
      <c r="G276" s="118" t="n">
        <v>13714</v>
      </c>
      <c r="H276" s="83">
        <f t="array" ref="H276">E276+D276</f>
        <v/>
      </c>
      <c r="I276" s="128">
        <f t="array" ref="I276">G276+F276</f>
        <v/>
      </c>
      <c r="J276" s="112" t="n">
        <v>24746</v>
      </c>
      <c r="K276" s="112" t="n">
        <v>31943</v>
      </c>
      <c r="L276" s="131" t="n"/>
    </row>
    <row r="277" ht="20.65" customHeight="1" s="206">
      <c r="A277" s="10" t="n"/>
      <c r="B277" s="127">
        <f t="array" ref="B277">$B278-1</f>
        <v/>
      </c>
      <c r="C277" s="128" t="n">
        <v>55507</v>
      </c>
      <c r="D277" s="112" t="n">
        <v>19955</v>
      </c>
      <c r="E277" s="112" t="n">
        <v>18534</v>
      </c>
      <c r="F277" s="129" t="n">
        <v>7136</v>
      </c>
      <c r="G277" s="118" t="n">
        <v>9882</v>
      </c>
      <c r="H277" s="83">
        <f t="array" ref="H277">E277+D277</f>
        <v/>
      </c>
      <c r="I277" s="128">
        <f t="array" ref="I277">G277+F277</f>
        <v/>
      </c>
      <c r="J277" s="112" t="n">
        <v>28284</v>
      </c>
      <c r="K277" s="112" t="n">
        <v>36144</v>
      </c>
      <c r="L277" s="131" t="n"/>
    </row>
    <row r="278" ht="20.65" customHeight="1" s="206">
      <c r="A278" s="10" t="n"/>
      <c r="B278" s="127">
        <f t="array" ref="B278">$B279-1</f>
        <v/>
      </c>
      <c r="C278" s="128" t="n">
        <v>58788</v>
      </c>
      <c r="D278" s="112" t="n">
        <v>19955</v>
      </c>
      <c r="E278" s="112" t="n">
        <v>18534</v>
      </c>
      <c r="F278" s="129" t="n">
        <v>12349</v>
      </c>
      <c r="G278" s="118" t="n">
        <v>7950</v>
      </c>
      <c r="H278" s="83">
        <f t="array" ref="H278">E278+D278</f>
        <v/>
      </c>
      <c r="I278" s="128">
        <f t="array" ref="I278">G278+F278</f>
        <v/>
      </c>
      <c r="J278" s="112" t="n">
        <v>28364</v>
      </c>
      <c r="K278" s="112" t="n">
        <v>37780</v>
      </c>
      <c r="L278" s="131" t="n"/>
    </row>
    <row r="279" ht="20.65" customHeight="1" s="206">
      <c r="A279" s="10" t="n"/>
      <c r="B279" s="127">
        <f t="array" ref="B279">$B280-1</f>
        <v/>
      </c>
      <c r="C279" s="128" t="n">
        <v>50258</v>
      </c>
      <c r="D279" s="112" t="n">
        <v>19955</v>
      </c>
      <c r="E279" s="112" t="n">
        <v>18534</v>
      </c>
      <c r="F279" s="129" t="n">
        <v>3841</v>
      </c>
      <c r="G279" s="118" t="n">
        <v>7928</v>
      </c>
      <c r="H279" s="83">
        <f t="array" ref="H279">E279+D279</f>
        <v/>
      </c>
      <c r="I279" s="128">
        <f t="array" ref="I279">G279+F279</f>
        <v/>
      </c>
      <c r="J279" s="112" t="n">
        <v>28381</v>
      </c>
      <c r="K279" s="112" t="n">
        <v>38831</v>
      </c>
      <c r="L279" s="131" t="n"/>
    </row>
    <row r="280" ht="20.65" customHeight="1" s="206">
      <c r="A280" s="10" t="n"/>
      <c r="B280" s="127">
        <f t="array" ref="B280">$B281-1</f>
        <v/>
      </c>
      <c r="C280" s="128" t="n">
        <v>51410</v>
      </c>
      <c r="D280" s="112" t="n">
        <v>19955</v>
      </c>
      <c r="E280" s="112" t="n">
        <v>18534</v>
      </c>
      <c r="F280" s="129" t="n">
        <v>5184</v>
      </c>
      <c r="G280" s="118" t="n">
        <v>7737</v>
      </c>
      <c r="H280" s="83">
        <f t="array" ref="H280">E280+D280</f>
        <v/>
      </c>
      <c r="I280" s="128">
        <f t="array" ref="I280">G280+F280</f>
        <v/>
      </c>
      <c r="J280" s="112" t="n">
        <v>28842</v>
      </c>
      <c r="K280" s="112" t="n">
        <v>39438</v>
      </c>
      <c r="L280" s="131" t="n"/>
    </row>
    <row r="281" ht="20.65" customHeight="1" s="206">
      <c r="A281" s="10" t="n"/>
      <c r="B281" s="127">
        <f t="array" ref="B281">$B282-1</f>
        <v/>
      </c>
      <c r="C281" s="128" t="n">
        <v>51313</v>
      </c>
      <c r="D281" s="112" t="n">
        <v>19955</v>
      </c>
      <c r="E281" s="112" t="n">
        <v>18534</v>
      </c>
      <c r="F281" s="129" t="n">
        <v>6067</v>
      </c>
      <c r="G281" s="118" t="n">
        <v>6757</v>
      </c>
      <c r="H281" s="83">
        <f t="array" ref="H281">E281+D281</f>
        <v/>
      </c>
      <c r="I281" s="128">
        <f t="array" ref="I281">G281+F281</f>
        <v/>
      </c>
      <c r="J281" s="112" t="n">
        <v>26795</v>
      </c>
      <c r="K281" s="112" t="n">
        <v>35786</v>
      </c>
      <c r="L281" s="131" t="n"/>
    </row>
    <row r="282" ht="20.65" customHeight="1" s="206">
      <c r="A282" s="10" t="n"/>
      <c r="B282" s="127">
        <f t="array" ref="B282">$B283-1</f>
        <v/>
      </c>
      <c r="C282" s="128" t="n">
        <v>53673</v>
      </c>
      <c r="D282" s="112" t="n">
        <v>19955</v>
      </c>
      <c r="E282" s="112" t="n">
        <v>18534</v>
      </c>
      <c r="F282" s="129" t="n">
        <v>5498</v>
      </c>
      <c r="G282" s="118" t="n">
        <v>9686</v>
      </c>
      <c r="H282" s="83">
        <f t="array" ref="H282">E282+D282</f>
        <v/>
      </c>
      <c r="I282" s="128">
        <f t="array" ref="I282">G282+F282</f>
        <v/>
      </c>
      <c r="J282" s="112" t="n">
        <v>28792</v>
      </c>
      <c r="K282" s="112" t="n">
        <v>38507</v>
      </c>
      <c r="L282" s="131" t="n"/>
    </row>
    <row r="283" ht="20.65" customHeight="1" s="206">
      <c r="A283" s="10" t="n"/>
      <c r="B283" s="127">
        <f t="array" ref="B283">$B284-1</f>
        <v/>
      </c>
      <c r="C283" s="128" t="n">
        <v>61133</v>
      </c>
      <c r="D283" s="112" t="n">
        <v>19955</v>
      </c>
      <c r="E283" s="112" t="n">
        <v>18534</v>
      </c>
      <c r="F283" s="129" t="n">
        <v>12756</v>
      </c>
      <c r="G283" s="118" t="n">
        <v>9888</v>
      </c>
      <c r="H283" s="83">
        <f t="array" ref="H283">E283+D283</f>
        <v/>
      </c>
      <c r="I283" s="128">
        <f t="array" ref="I283">G283+F283</f>
        <v/>
      </c>
      <c r="J283" s="112" t="n">
        <v>33347</v>
      </c>
      <c r="K283" s="112" t="n">
        <v>40924</v>
      </c>
      <c r="L283" s="131" t="n"/>
    </row>
    <row r="284" ht="20.65" customHeight="1" s="206">
      <c r="A284" s="10" t="n"/>
      <c r="B284" s="127">
        <f t="array" ref="B284">$B285-1</f>
        <v/>
      </c>
      <c r="C284" s="128" t="n">
        <v>75020</v>
      </c>
      <c r="D284" s="112" t="n">
        <v>19955</v>
      </c>
      <c r="E284" s="112" t="n">
        <v>18534</v>
      </c>
      <c r="F284" s="129" t="n">
        <v>21266</v>
      </c>
      <c r="G284" s="118" t="n">
        <v>15265</v>
      </c>
      <c r="H284" s="83">
        <f t="array" ref="H284">E284+D284</f>
        <v/>
      </c>
      <c r="I284" s="128">
        <f t="array" ref="I284">G284+F284</f>
        <v/>
      </c>
      <c r="J284" s="112" t="n">
        <v>33164</v>
      </c>
      <c r="K284" s="112" t="n">
        <v>40872</v>
      </c>
      <c r="L284" s="131" t="n"/>
    </row>
    <row r="285" ht="20.65" customHeight="1" s="206">
      <c r="A285" s="10" t="n"/>
      <c r="B285" s="127">
        <f t="array" ref="B285">$C$7</f>
        <v/>
      </c>
      <c r="C285" s="128" t="n">
        <v>58077</v>
      </c>
      <c r="D285" s="112" t="n">
        <v>19955</v>
      </c>
      <c r="E285" s="134" t="n">
        <v>18534</v>
      </c>
      <c r="F285" s="118" t="n">
        <v>10062</v>
      </c>
      <c r="G285" s="118" t="n">
        <v>9526</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397000</v>
      </c>
      <c r="G62" s="55" t="n">
        <v>383000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31500</v>
      </c>
      <c r="G107" s="55" t="n">
        <v>30500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36500</v>
      </c>
      <c r="G123" s="55" t="n">
        <v>35500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38000</v>
      </c>
      <c r="G184" s="55" t="n">
        <v>40000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21500</v>
      </c>
      <c r="G208" s="55" t="n">
        <v>30500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93500</v>
      </c>
      <c r="G243" s="55" t="n">
        <v>100500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7800</v>
      </c>
      <c r="G273" s="55" t="n">
        <v>8200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625800</v>
      </c>
      <c r="G285" s="79" t="n">
        <v>628200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2026-05-25T15:03:09Z</dcterms:modified>
  <cp:lastModifiedBy>King Dom</cp:lastModifiedBy>
</cp:coreProperties>
</file>