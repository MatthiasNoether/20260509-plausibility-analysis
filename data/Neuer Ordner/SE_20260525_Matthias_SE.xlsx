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SE</t>
        </is>
      </c>
      <c r="D11" s="177" t="n"/>
      <c r="E11" s="177" t="n"/>
      <c r="F11" s="177" t="n"/>
      <c r="G11" s="177" t="n"/>
      <c r="H11" s="177" t="n"/>
      <c r="I11" s="177" t="n"/>
      <c r="J11" s="177" t="n"/>
      <c r="K11" s="177" t="n"/>
      <c r="L11" s="13" t="n"/>
    </row>
    <row r="12" ht="20.1" customHeight="1" s="206">
      <c r="A12" s="2" t="inlineStr">
        <is>
          <t>nn</t>
        </is>
      </c>
      <c r="B12" s="23" t="inlineStr">
        <is>
          <t>Name</t>
        </is>
      </c>
      <c r="C12" s="176" t="inlineStr">
        <is>
          <t>Sweden</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Migrant background refers to those are either foreign-born or have two foreign-born parents. Put simply, they are either immigrants or second-generation immigrants.</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 downloaded 2026-04-20</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84.02704586059259</v>
      </c>
      <c r="D60" s="40" t="n">
        <v>85.55</v>
      </c>
      <c r="E60" s="40" t="n">
        <v>82.52</v>
      </c>
      <c r="F60" s="40" t="n">
        <v>85.55</v>
      </c>
      <c r="G60" s="40" t="n">
        <v>82.52</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https://www.statistikdatabasen.scb.se/pxweb/en/ssd/START__BE__BE0101__BE0101I/LivslangdEttariga/; downloaded 2026-04-20;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97925</v>
      </c>
      <c r="D9" s="56" t="n">
        <v>36599</v>
      </c>
      <c r="E9" s="56" t="n">
        <v>38707</v>
      </c>
      <c r="F9" s="56" t="n">
        <v>10938</v>
      </c>
      <c r="G9" s="56" t="n">
        <v>11681</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99754</v>
      </c>
      <c r="D10" s="56" t="n">
        <v>36639</v>
      </c>
      <c r="E10" s="56" t="n">
        <v>38867</v>
      </c>
      <c r="F10" s="56" t="n">
        <v>11836</v>
      </c>
      <c r="G10" s="56" t="n">
        <v>12412</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101695</v>
      </c>
      <c r="D11" s="56" t="n">
        <v>37429</v>
      </c>
      <c r="E11" s="56" t="n">
        <v>39355</v>
      </c>
      <c r="F11" s="56" t="n">
        <v>12229</v>
      </c>
      <c r="G11" s="56" t="n">
        <v>12682</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106452</v>
      </c>
      <c r="D12" s="56" t="n">
        <v>38703</v>
      </c>
      <c r="E12" s="56" t="n">
        <v>41047</v>
      </c>
      <c r="F12" s="56" t="n">
        <v>13038</v>
      </c>
      <c r="G12" s="56" t="n">
        <v>13664</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116450</v>
      </c>
      <c r="D13" s="56" t="n">
        <v>42508</v>
      </c>
      <c r="E13" s="56" t="n">
        <v>44756</v>
      </c>
      <c r="F13" s="56" t="n">
        <v>14369</v>
      </c>
      <c r="G13" s="56" t="n">
        <v>14817</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115827</v>
      </c>
      <c r="D14" s="56" t="n">
        <v>41406</v>
      </c>
      <c r="E14" s="56" t="n">
        <v>43978</v>
      </c>
      <c r="F14" s="56" t="n">
        <v>14849</v>
      </c>
      <c r="G14" s="56" t="n">
        <v>15594</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117539</v>
      </c>
      <c r="D15" s="56" t="n">
        <v>41565</v>
      </c>
      <c r="E15" s="56" t="n">
        <v>44136</v>
      </c>
      <c r="F15" s="56" t="n">
        <v>15456</v>
      </c>
      <c r="G15" s="56" t="n">
        <v>16382</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119836</v>
      </c>
      <c r="D16" s="56" t="n">
        <v>42715</v>
      </c>
      <c r="E16" s="56" t="n">
        <v>44941</v>
      </c>
      <c r="F16" s="56" t="n">
        <v>15576</v>
      </c>
      <c r="G16" s="56" t="n">
        <v>16604</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120543</v>
      </c>
      <c r="D17" s="56" t="n">
        <v>42546</v>
      </c>
      <c r="E17" s="56" t="n">
        <v>45003</v>
      </c>
      <c r="F17" s="56" t="n">
        <v>16144</v>
      </c>
      <c r="G17" s="56" t="n">
        <v>16850</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124901</v>
      </c>
      <c r="D18" s="56" t="n">
        <v>44137</v>
      </c>
      <c r="E18" s="56" t="n">
        <v>46434</v>
      </c>
      <c r="F18" s="56" t="n">
        <v>16644</v>
      </c>
      <c r="G18" s="56" t="n">
        <v>17686</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123452</v>
      </c>
      <c r="D19" s="56" t="n">
        <v>43360</v>
      </c>
      <c r="E19" s="56" t="n">
        <v>46509</v>
      </c>
      <c r="F19" s="56" t="n">
        <v>16202</v>
      </c>
      <c r="G19" s="56" t="n">
        <v>17381</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125325</v>
      </c>
      <c r="D20" s="56" t="n">
        <v>44297</v>
      </c>
      <c r="E20" s="56" t="n">
        <v>46688</v>
      </c>
      <c r="F20" s="56" t="n">
        <v>16541</v>
      </c>
      <c r="G20" s="56" t="n">
        <v>17799</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124600</v>
      </c>
      <c r="D21" s="56" t="n">
        <v>44048</v>
      </c>
      <c r="E21" s="56" t="n">
        <v>46669</v>
      </c>
      <c r="F21" s="56" t="n">
        <v>16356</v>
      </c>
      <c r="G21" s="56" t="n">
        <v>17527</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125916</v>
      </c>
      <c r="D22" s="56" t="n">
        <v>44360</v>
      </c>
      <c r="E22" s="56" t="n">
        <v>46854</v>
      </c>
      <c r="F22" s="56" t="n">
        <v>16862</v>
      </c>
      <c r="G22" s="56" t="n">
        <v>17840</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125209</v>
      </c>
      <c r="D23" s="56" t="n">
        <v>44362</v>
      </c>
      <c r="E23" s="56" t="n">
        <v>46505</v>
      </c>
      <c r="F23" s="56" t="n">
        <v>16490</v>
      </c>
      <c r="G23" s="56" t="n">
        <v>17852</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130288</v>
      </c>
      <c r="D24" s="56" t="n">
        <v>46235</v>
      </c>
      <c r="E24" s="56" t="n">
        <v>48637</v>
      </c>
      <c r="F24" s="56" t="n">
        <v>16956</v>
      </c>
      <c r="G24" s="56" t="n">
        <v>18460</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127131</v>
      </c>
      <c r="D25" s="56" t="n">
        <v>44799</v>
      </c>
      <c r="E25" s="56" t="n">
        <v>47561</v>
      </c>
      <c r="F25" s="56" t="n">
        <v>16859</v>
      </c>
      <c r="G25" s="56" t="n">
        <v>17912</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126413</v>
      </c>
      <c r="D26" s="56" t="n">
        <v>44109</v>
      </c>
      <c r="E26" s="56" t="n">
        <v>46995</v>
      </c>
      <c r="F26" s="56" t="n">
        <v>17013</v>
      </c>
      <c r="G26" s="56" t="n">
        <v>18296</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125275</v>
      </c>
      <c r="D27" s="56" t="n">
        <v>43745</v>
      </c>
      <c r="E27" s="56" t="n">
        <v>46390</v>
      </c>
      <c r="F27" s="56" t="n">
        <v>16816</v>
      </c>
      <c r="G27" s="56" t="n">
        <v>18324</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125233</v>
      </c>
      <c r="D28" s="56" t="n">
        <v>43751</v>
      </c>
      <c r="E28" s="56" t="n">
        <v>46301</v>
      </c>
      <c r="F28" s="56" t="n">
        <v>16951</v>
      </c>
      <c r="G28" s="56" t="n">
        <v>18230</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121619</v>
      </c>
      <c r="D29" s="56" t="n">
        <v>42121</v>
      </c>
      <c r="E29" s="56" t="n">
        <v>44553</v>
      </c>
      <c r="F29" s="56" t="n">
        <v>16977</v>
      </c>
      <c r="G29" s="56" t="n">
        <v>17968</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121504</v>
      </c>
      <c r="D30" s="56" t="n">
        <v>41850</v>
      </c>
      <c r="E30" s="56" t="n">
        <v>44526</v>
      </c>
      <c r="F30" s="56" t="n">
        <v>16831</v>
      </c>
      <c r="G30" s="56" t="n">
        <v>18297</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121292</v>
      </c>
      <c r="D31" s="56" t="n">
        <v>41175</v>
      </c>
      <c r="E31" s="56" t="n">
        <v>43976</v>
      </c>
      <c r="F31" s="56" t="n">
        <v>18116</v>
      </c>
      <c r="G31" s="56" t="n">
        <v>18025</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120499</v>
      </c>
      <c r="D32" s="56" t="n">
        <v>39964</v>
      </c>
      <c r="E32" s="56" t="n">
        <v>42376</v>
      </c>
      <c r="F32" s="56" t="n">
        <v>18914</v>
      </c>
      <c r="G32" s="56" t="n">
        <v>19245</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117914</v>
      </c>
      <c r="D33" s="56" t="n">
        <v>37824</v>
      </c>
      <c r="E33" s="56" t="n">
        <v>40497</v>
      </c>
      <c r="F33" s="56" t="n">
        <v>19220</v>
      </c>
      <c r="G33" s="56" t="n">
        <v>20373</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121158</v>
      </c>
      <c r="D34" s="56" t="n">
        <v>37296</v>
      </c>
      <c r="E34" s="56" t="n">
        <v>39915</v>
      </c>
      <c r="F34" s="56" t="n">
        <v>20430</v>
      </c>
      <c r="G34" s="56" t="n">
        <v>23517</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125585</v>
      </c>
      <c r="D35" s="56" t="n">
        <v>36387</v>
      </c>
      <c r="E35" s="56" t="n">
        <v>38712</v>
      </c>
      <c r="F35" s="56" t="n">
        <v>21227</v>
      </c>
      <c r="G35" s="56" t="n">
        <v>29259</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122685</v>
      </c>
      <c r="D36" s="56" t="n">
        <v>36377</v>
      </c>
      <c r="E36" s="56" t="n">
        <v>39005</v>
      </c>
      <c r="F36" s="56" t="n">
        <v>21887</v>
      </c>
      <c r="G36" s="56" t="n">
        <v>25416</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121704</v>
      </c>
      <c r="D37" s="56" t="n">
        <v>36935</v>
      </c>
      <c r="E37" s="56" t="n">
        <v>39290</v>
      </c>
      <c r="F37" s="56" t="n">
        <v>22516</v>
      </c>
      <c r="G37" s="56" t="n">
        <v>22963</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126893</v>
      </c>
      <c r="D38" s="56" t="n">
        <v>39159</v>
      </c>
      <c r="E38" s="56" t="n">
        <v>41088</v>
      </c>
      <c r="F38" s="56" t="n">
        <v>23109</v>
      </c>
      <c r="G38" s="56" t="n">
        <v>23537</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135467</v>
      </c>
      <c r="D39" s="56" t="n">
        <v>42191</v>
      </c>
      <c r="E39" s="56" t="n">
        <v>44650</v>
      </c>
      <c r="F39" s="56" t="n">
        <v>23981</v>
      </c>
      <c r="G39" s="56" t="n">
        <v>24645</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144776</v>
      </c>
      <c r="D40" s="56" t="n">
        <v>46430</v>
      </c>
      <c r="E40" s="56" t="n">
        <v>48468</v>
      </c>
      <c r="F40" s="56" t="n">
        <v>24761</v>
      </c>
      <c r="G40" s="56" t="n">
        <v>25117</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150062</v>
      </c>
      <c r="D41" s="56" t="n">
        <v>48801</v>
      </c>
      <c r="E41" s="56" t="n">
        <v>50800</v>
      </c>
      <c r="F41" s="56" t="n">
        <v>24945</v>
      </c>
      <c r="G41" s="56" t="n">
        <v>25516</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156238</v>
      </c>
      <c r="D42" s="56" t="n">
        <v>51021</v>
      </c>
      <c r="E42" s="56" t="n">
        <v>54120</v>
      </c>
      <c r="F42" s="56" t="n">
        <v>25363</v>
      </c>
      <c r="G42" s="56" t="n">
        <v>25734</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159159</v>
      </c>
      <c r="D43" s="56" t="n">
        <v>51992</v>
      </c>
      <c r="E43" s="56" t="n">
        <v>55073</v>
      </c>
      <c r="F43" s="56" t="n">
        <v>25660</v>
      </c>
      <c r="G43" s="56" t="n">
        <v>26434</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161499</v>
      </c>
      <c r="D44" s="56" t="n">
        <v>52640</v>
      </c>
      <c r="E44" s="56" t="n">
        <v>55275</v>
      </c>
      <c r="F44" s="56" t="n">
        <v>26423</v>
      </c>
      <c r="G44" s="56" t="n">
        <v>27161</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155036</v>
      </c>
      <c r="D45" s="56" t="n">
        <v>49314</v>
      </c>
      <c r="E45" s="56" t="n">
        <v>52092</v>
      </c>
      <c r="F45" s="56" t="n">
        <v>26482</v>
      </c>
      <c r="G45" s="56" t="n">
        <v>27148</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152307</v>
      </c>
      <c r="D46" s="56" t="n">
        <v>47575</v>
      </c>
      <c r="E46" s="56" t="n">
        <v>50307</v>
      </c>
      <c r="F46" s="56" t="n">
        <v>26738</v>
      </c>
      <c r="G46" s="56" t="n">
        <v>27687</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144959</v>
      </c>
      <c r="D47" s="56" t="n">
        <v>44826</v>
      </c>
      <c r="E47" s="56" t="n">
        <v>46588</v>
      </c>
      <c r="F47" s="56" t="n">
        <v>26517</v>
      </c>
      <c r="G47" s="56" t="n">
        <v>27028</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142864</v>
      </c>
      <c r="D48" s="56" t="n">
        <v>43448</v>
      </c>
      <c r="E48" s="56" t="n">
        <v>45568</v>
      </c>
      <c r="F48" s="56" t="n">
        <v>26306</v>
      </c>
      <c r="G48" s="56" t="n">
        <v>27542</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140046</v>
      </c>
      <c r="D49" s="56" t="n">
        <v>41768</v>
      </c>
      <c r="E49" s="56" t="n">
        <v>44165</v>
      </c>
      <c r="F49" s="56" t="n">
        <v>26292</v>
      </c>
      <c r="G49" s="56" t="n">
        <v>27821</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134703</v>
      </c>
      <c r="D50" s="56" t="n">
        <v>39816</v>
      </c>
      <c r="E50" s="56" t="n">
        <v>41919</v>
      </c>
      <c r="F50" s="56" t="n">
        <v>25811</v>
      </c>
      <c r="G50" s="56" t="n">
        <v>27157</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131566</v>
      </c>
      <c r="D51" s="56" t="n">
        <v>38717</v>
      </c>
      <c r="E51" s="56" t="n">
        <v>41067</v>
      </c>
      <c r="F51" s="56" t="n">
        <v>25551</v>
      </c>
      <c r="G51" s="56" t="n">
        <v>26231</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131596</v>
      </c>
      <c r="D52" s="56" t="n">
        <v>39189</v>
      </c>
      <c r="E52" s="56" t="n">
        <v>41304</v>
      </c>
      <c r="F52" s="56" t="n">
        <v>24968</v>
      </c>
      <c r="G52" s="56" t="n">
        <v>26135</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129260</v>
      </c>
      <c r="D53" s="56" t="n">
        <v>39741</v>
      </c>
      <c r="E53" s="56" t="n">
        <v>41216</v>
      </c>
      <c r="F53" s="56" t="n">
        <v>23875</v>
      </c>
      <c r="G53" s="56" t="n">
        <v>24428</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133173</v>
      </c>
      <c r="D54" s="56" t="n">
        <v>40778</v>
      </c>
      <c r="E54" s="56" t="n">
        <v>42690</v>
      </c>
      <c r="F54" s="56" t="n">
        <v>24681</v>
      </c>
      <c r="G54" s="56" t="n">
        <v>25024</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128869</v>
      </c>
      <c r="D55" s="56" t="n">
        <v>40528</v>
      </c>
      <c r="E55" s="56" t="n">
        <v>42125</v>
      </c>
      <c r="F55" s="56" t="n">
        <v>22858</v>
      </c>
      <c r="G55" s="56" t="n">
        <v>23358</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124640</v>
      </c>
      <c r="D56" s="56" t="n">
        <v>39160</v>
      </c>
      <c r="E56" s="56" t="n">
        <v>40850</v>
      </c>
      <c r="F56" s="56" t="n">
        <v>22301</v>
      </c>
      <c r="G56" s="56" t="n">
        <v>22329</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125750</v>
      </c>
      <c r="D57" s="56" t="n">
        <v>40163</v>
      </c>
      <c r="E57" s="56" t="n">
        <v>42522</v>
      </c>
      <c r="F57" s="56" t="n">
        <v>21765</v>
      </c>
      <c r="G57" s="56" t="n">
        <v>21300</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126539</v>
      </c>
      <c r="D58" s="56" t="n">
        <v>41406</v>
      </c>
      <c r="E58" s="56" t="n">
        <v>43402</v>
      </c>
      <c r="F58" s="56" t="n">
        <v>20806</v>
      </c>
      <c r="G58" s="56" t="n">
        <v>20925</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130747</v>
      </c>
      <c r="D59" s="56" t="n">
        <v>43873</v>
      </c>
      <c r="E59" s="56" t="n">
        <v>45922</v>
      </c>
      <c r="F59" s="56" t="n">
        <v>20693</v>
      </c>
      <c r="G59" s="56" t="n">
        <v>20259</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135729</v>
      </c>
      <c r="D60" s="56" t="n">
        <v>46612</v>
      </c>
      <c r="E60" s="56" t="n">
        <v>48924</v>
      </c>
      <c r="F60" s="56" t="n">
        <v>20404</v>
      </c>
      <c r="G60" s="56" t="n">
        <v>19789</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132814</v>
      </c>
      <c r="D61" s="56" t="n">
        <v>46399</v>
      </c>
      <c r="E61" s="56" t="n">
        <v>48407</v>
      </c>
      <c r="F61" s="56" t="n">
        <v>19338</v>
      </c>
      <c r="G61" s="56" t="n">
        <v>18670</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134643</v>
      </c>
      <c r="D62" s="56" t="n">
        <v>47129</v>
      </c>
      <c r="E62" s="56" t="n">
        <v>49343</v>
      </c>
      <c r="F62" s="56" t="n">
        <v>19516</v>
      </c>
      <c r="G62" s="56" t="n">
        <v>18655</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133549</v>
      </c>
      <c r="D63" s="56" t="n">
        <v>47404</v>
      </c>
      <c r="E63" s="56" t="n">
        <v>49816</v>
      </c>
      <c r="F63" s="56" t="n">
        <v>18747</v>
      </c>
      <c r="G63" s="56" t="n">
        <v>17582</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129947</v>
      </c>
      <c r="D64" s="56" t="n">
        <v>45776</v>
      </c>
      <c r="E64" s="56" t="n">
        <v>47782</v>
      </c>
      <c r="F64" s="56" t="n">
        <v>18712</v>
      </c>
      <c r="G64" s="56" t="n">
        <v>17677</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127238</v>
      </c>
      <c r="D65" s="56" t="n">
        <v>44969</v>
      </c>
      <c r="E65" s="56" t="n">
        <v>47249</v>
      </c>
      <c r="F65" s="56" t="n">
        <v>18041</v>
      </c>
      <c r="G65" s="56" t="n">
        <v>16979</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131666</v>
      </c>
      <c r="D66" s="56" t="n">
        <v>47819</v>
      </c>
      <c r="E66" s="56" t="n">
        <v>49453</v>
      </c>
      <c r="F66" s="56" t="n">
        <v>17465</v>
      </c>
      <c r="G66" s="56" t="n">
        <v>16929</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137032</v>
      </c>
      <c r="D67" s="56" t="n">
        <v>50919</v>
      </c>
      <c r="E67" s="56" t="n">
        <v>52999</v>
      </c>
      <c r="F67" s="56" t="n">
        <v>16790</v>
      </c>
      <c r="G67" s="56" t="n">
        <v>16324</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137271</v>
      </c>
      <c r="D68" s="56" t="n">
        <v>51611</v>
      </c>
      <c r="E68" s="56" t="n">
        <v>53531</v>
      </c>
      <c r="F68" s="56" t="n">
        <v>16146</v>
      </c>
      <c r="G68" s="56" t="n">
        <v>15983</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136810</v>
      </c>
      <c r="D69" s="56" t="n">
        <v>51594</v>
      </c>
      <c r="E69" s="56" t="n">
        <v>53299</v>
      </c>
      <c r="F69" s="56" t="n">
        <v>16122</v>
      </c>
      <c r="G69" s="56" t="n">
        <v>15795</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135210</v>
      </c>
      <c r="D70" s="56" t="n">
        <v>51802</v>
      </c>
      <c r="E70" s="56" t="n">
        <v>52649</v>
      </c>
      <c r="F70" s="56" t="n">
        <v>15405</v>
      </c>
      <c r="G70" s="56" t="n">
        <v>15354</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125401</v>
      </c>
      <c r="D71" s="56" t="n">
        <v>47118</v>
      </c>
      <c r="E71" s="56" t="n">
        <v>48596</v>
      </c>
      <c r="F71" s="56" t="n">
        <v>14891</v>
      </c>
      <c r="G71" s="56" t="n">
        <v>14796</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118894</v>
      </c>
      <c r="D72" s="56" t="n">
        <v>44722</v>
      </c>
      <c r="E72" s="56" t="n">
        <v>45426</v>
      </c>
      <c r="F72" s="56" t="n">
        <v>14434</v>
      </c>
      <c r="G72" s="56" t="n">
        <v>14312</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113947</v>
      </c>
      <c r="D73" s="56" t="n">
        <v>43241</v>
      </c>
      <c r="E73" s="56" t="n">
        <v>44001</v>
      </c>
      <c r="F73" s="56" t="n">
        <v>13663</v>
      </c>
      <c r="G73" s="56" t="n">
        <v>13042</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111820</v>
      </c>
      <c r="D74" s="56" t="n">
        <v>42297</v>
      </c>
      <c r="E74" s="56" t="n">
        <v>42329</v>
      </c>
      <c r="F74" s="56" t="n">
        <v>13905</v>
      </c>
      <c r="G74" s="56" t="n">
        <v>13289</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111121</v>
      </c>
      <c r="D75" s="56" t="n">
        <v>42823</v>
      </c>
      <c r="E75" s="56" t="n">
        <v>43597</v>
      </c>
      <c r="F75" s="56" t="n">
        <v>12827</v>
      </c>
      <c r="G75" s="56" t="n">
        <v>11874</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109581</v>
      </c>
      <c r="D76" s="56" t="n">
        <v>43044</v>
      </c>
      <c r="E76" s="56" t="n">
        <v>43205</v>
      </c>
      <c r="F76" s="56" t="n">
        <v>12018</v>
      </c>
      <c r="G76" s="56" t="n">
        <v>11314</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109398</v>
      </c>
      <c r="D77" s="56" t="n">
        <v>43397</v>
      </c>
      <c r="E77" s="56" t="n">
        <v>42878</v>
      </c>
      <c r="F77" s="56" t="n">
        <v>11948</v>
      </c>
      <c r="G77" s="56" t="n">
        <v>11175</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108254</v>
      </c>
      <c r="D78" s="56" t="n">
        <v>43038</v>
      </c>
      <c r="E78" s="56" t="n">
        <v>43254</v>
      </c>
      <c r="F78" s="56" t="n">
        <v>11414</v>
      </c>
      <c r="G78" s="56" t="n">
        <v>10548</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105078</v>
      </c>
      <c r="D79" s="56" t="n">
        <v>42629</v>
      </c>
      <c r="E79" s="56" t="n">
        <v>41822</v>
      </c>
      <c r="F79" s="56" t="n">
        <v>10950</v>
      </c>
      <c r="G79" s="56" t="n">
        <v>9677</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101478</v>
      </c>
      <c r="D80" s="56" t="n">
        <v>41356</v>
      </c>
      <c r="E80" s="56" t="n">
        <v>40432</v>
      </c>
      <c r="F80" s="56" t="n">
        <v>10340</v>
      </c>
      <c r="G80" s="56" t="n">
        <v>9350</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102247</v>
      </c>
      <c r="D81" s="56" t="n">
        <v>42619</v>
      </c>
      <c r="E81" s="56" t="n">
        <v>41570</v>
      </c>
      <c r="F81" s="56" t="n">
        <v>9688</v>
      </c>
      <c r="G81" s="56" t="n">
        <v>8370</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99849</v>
      </c>
      <c r="D82" s="56" t="n">
        <v>42020</v>
      </c>
      <c r="E82" s="56" t="n">
        <v>40704</v>
      </c>
      <c r="F82" s="56" t="n">
        <v>9276</v>
      </c>
      <c r="G82" s="56" t="n">
        <v>7849</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96615</v>
      </c>
      <c r="D83" s="56" t="n">
        <v>41270</v>
      </c>
      <c r="E83" s="56" t="n">
        <v>39349</v>
      </c>
      <c r="F83" s="56" t="n">
        <v>8786</v>
      </c>
      <c r="G83" s="56" t="n">
        <v>7210</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99030</v>
      </c>
      <c r="D84" s="56" t="n">
        <v>42446</v>
      </c>
      <c r="E84" s="56" t="n">
        <v>40595</v>
      </c>
      <c r="F84" s="56" t="n">
        <v>8788</v>
      </c>
      <c r="G84" s="56" t="n">
        <v>7201</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100233</v>
      </c>
      <c r="D85" s="56" t="n">
        <v>43843</v>
      </c>
      <c r="E85" s="56" t="n">
        <v>41393</v>
      </c>
      <c r="F85" s="56" t="n">
        <v>8318</v>
      </c>
      <c r="G85" s="56" t="n">
        <v>6679</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101089</v>
      </c>
      <c r="D86" s="56" t="n">
        <v>45187</v>
      </c>
      <c r="E86" s="56" t="n">
        <v>41661</v>
      </c>
      <c r="F86" s="56" t="n">
        <v>7929</v>
      </c>
      <c r="G86" s="56" t="n">
        <v>6312</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99053</v>
      </c>
      <c r="D87" s="56" t="n">
        <v>44452</v>
      </c>
      <c r="E87" s="56" t="n">
        <v>40933</v>
      </c>
      <c r="F87" s="56" t="n">
        <v>7523</v>
      </c>
      <c r="G87" s="56" t="n">
        <v>6145</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96727</v>
      </c>
      <c r="D88" s="56" t="n">
        <v>44112</v>
      </c>
      <c r="E88" s="56" t="n">
        <v>40351</v>
      </c>
      <c r="F88" s="56" t="n">
        <v>6804</v>
      </c>
      <c r="G88" s="56" t="n">
        <v>5460</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92251</v>
      </c>
      <c r="D89" s="56" t="n">
        <v>42778</v>
      </c>
      <c r="E89" s="56" t="n">
        <v>39033</v>
      </c>
      <c r="F89" s="56" t="n">
        <v>5808</v>
      </c>
      <c r="G89" s="56" t="n">
        <v>4632</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86690</v>
      </c>
      <c r="D90" s="56" t="n">
        <v>41022</v>
      </c>
      <c r="E90" s="56" t="n">
        <v>36411</v>
      </c>
      <c r="F90" s="56" t="n">
        <v>5012</v>
      </c>
      <c r="G90" s="56" t="n">
        <v>4245</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77247</v>
      </c>
      <c r="D91" s="56" t="n">
        <v>37042</v>
      </c>
      <c r="E91" s="56" t="n">
        <v>31857</v>
      </c>
      <c r="F91" s="56" t="n">
        <v>4474</v>
      </c>
      <c r="G91" s="56" t="n">
        <v>3874</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67745</v>
      </c>
      <c r="D92" s="56" t="n">
        <v>32391</v>
      </c>
      <c r="E92" s="56" t="n">
        <v>27732</v>
      </c>
      <c r="F92" s="56" t="n">
        <v>4087</v>
      </c>
      <c r="G92" s="56" t="n">
        <v>3535</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55838</v>
      </c>
      <c r="D93" s="56" t="n">
        <v>26489</v>
      </c>
      <c r="E93" s="56" t="n">
        <v>21816</v>
      </c>
      <c r="F93" s="56" t="n">
        <v>4137</v>
      </c>
      <c r="G93" s="56" t="n">
        <v>3396</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49330</v>
      </c>
      <c r="D94" s="56" t="n">
        <v>23847</v>
      </c>
      <c r="E94" s="56" t="n">
        <v>18825</v>
      </c>
      <c r="F94" s="56" t="n">
        <v>3608</v>
      </c>
      <c r="G94" s="56" t="n">
        <v>3050</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45503</v>
      </c>
      <c r="D95" s="56" t="n">
        <v>22465</v>
      </c>
      <c r="E95" s="56" t="n">
        <v>17022</v>
      </c>
      <c r="F95" s="56" t="n">
        <v>3498</v>
      </c>
      <c r="G95" s="56" t="n">
        <v>2518</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39871</v>
      </c>
      <c r="D96" s="56" t="n">
        <v>20114</v>
      </c>
      <c r="E96" s="56" t="n">
        <v>14485</v>
      </c>
      <c r="F96" s="56" t="n">
        <v>3145</v>
      </c>
      <c r="G96" s="56" t="n">
        <v>2127</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33310</v>
      </c>
      <c r="D97" s="56" t="n">
        <v>17020</v>
      </c>
      <c r="E97" s="56" t="n">
        <v>11957</v>
      </c>
      <c r="F97" s="56" t="n">
        <v>2678</v>
      </c>
      <c r="G97" s="56" t="n">
        <v>1655</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28909</v>
      </c>
      <c r="D98" s="56" t="n">
        <v>15130</v>
      </c>
      <c r="E98" s="56" t="n">
        <v>10036</v>
      </c>
      <c r="F98" s="56" t="n">
        <v>2384</v>
      </c>
      <c r="G98" s="56" t="n">
        <v>1359</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23632</v>
      </c>
      <c r="D99" s="56" t="n">
        <v>12575</v>
      </c>
      <c r="E99" s="56" t="n">
        <v>7936</v>
      </c>
      <c r="F99" s="56" t="n">
        <v>2009</v>
      </c>
      <c r="G99" s="56" t="n">
        <v>1112</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19340</v>
      </c>
      <c r="D100" s="56" t="n">
        <v>10750</v>
      </c>
      <c r="E100" s="56" t="n">
        <v>6062</v>
      </c>
      <c r="F100" s="56" t="n">
        <v>1741</v>
      </c>
      <c r="G100" s="56" t="n">
        <v>787</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15738</v>
      </c>
      <c r="D101" s="56" t="n">
        <v>8928</v>
      </c>
      <c r="E101" s="56" t="n">
        <v>4904</v>
      </c>
      <c r="F101" s="56" t="n">
        <v>1325</v>
      </c>
      <c r="G101" s="56" t="n">
        <v>581</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13114</v>
      </c>
      <c r="D102" s="56" t="n">
        <v>7720</v>
      </c>
      <c r="E102" s="56" t="n">
        <v>3834</v>
      </c>
      <c r="F102" s="56" t="n">
        <v>1109</v>
      </c>
      <c r="G102" s="56" t="n">
        <v>451</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10242</v>
      </c>
      <c r="D103" s="56" t="n">
        <v>6127</v>
      </c>
      <c r="E103" s="56" t="n">
        <v>2873</v>
      </c>
      <c r="F103" s="56" t="n">
        <v>905</v>
      </c>
      <c r="G103" s="56" t="n">
        <v>337</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7906</v>
      </c>
      <c r="D104" s="56" t="n">
        <v>4869</v>
      </c>
      <c r="E104" s="56" t="n">
        <v>2002</v>
      </c>
      <c r="F104" s="56" t="n">
        <v>776</v>
      </c>
      <c r="G104" s="56" t="n">
        <v>259</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5564</v>
      </c>
      <c r="D105" s="56" t="n">
        <v>3577</v>
      </c>
      <c r="E105" s="56" t="n">
        <v>1303</v>
      </c>
      <c r="F105" s="56" t="n">
        <v>514</v>
      </c>
      <c r="G105" s="56" t="n">
        <v>170</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4075</v>
      </c>
      <c r="D106" s="56" t="n">
        <v>2690</v>
      </c>
      <c r="E106" s="56" t="n">
        <v>927</v>
      </c>
      <c r="F106" s="56" t="n">
        <v>363</v>
      </c>
      <c r="G106" s="56" t="n">
        <v>95</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2834</v>
      </c>
      <c r="D107" s="56" t="n">
        <v>1917</v>
      </c>
      <c r="E107" s="56" t="n">
        <v>570</v>
      </c>
      <c r="F107" s="56" t="n">
        <v>280</v>
      </c>
      <c r="G107" s="56" t="n">
        <v>67</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4840</v>
      </c>
      <c r="D108" s="56" t="n">
        <v>3428</v>
      </c>
      <c r="E108" s="56" t="n">
        <v>834</v>
      </c>
      <c r="F108" s="56" t="n">
        <v>472</v>
      </c>
      <c r="G108" s="56" t="n">
        <v>106</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10605576</v>
      </c>
      <c r="D109" s="55" t="n">
        <v>3812305</v>
      </c>
      <c r="E109" s="55" t="n">
        <v>3856361</v>
      </c>
      <c r="F109" s="55" t="n">
        <v>1462642</v>
      </c>
      <c r="G109" s="55" t="n">
        <v>1474268</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https://www.statistikdatabasen.scb.se/pxweb/en/ssd/START__BE__BE0101__BE0101Q/UtlSvBakgFinCKM/; downloaded 2026-04-20</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v>
      </c>
      <c r="E7" s="68" t="n">
        <v>0</v>
      </c>
      <c r="F7" s="69" t="n">
        <v>0</v>
      </c>
      <c r="G7" s="68" t="n">
        <v>0</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f t="array" ref="C22">D22+E22+F22+G22</f>
        <v/>
      </c>
      <c r="D22" s="55">
        <f t="array" ref="D22">D$11*$H22/$H$57</f>
        <v/>
      </c>
      <c r="E22" s="55">
        <f t="array" ref="E22">E$11*$H22/$H$57</f>
        <v/>
      </c>
      <c r="F22" s="55">
        <f t="array" ref="F22">F$11*$I22/$I$57</f>
        <v/>
      </c>
      <c r="G22" s="55">
        <f t="array" ref="G22">G$11*$I22/$I$57</f>
        <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677.123741937197</v>
      </c>
      <c r="D23" s="55" t="n">
        <v>253.071757275052</v>
      </c>
      <c r="E23" s="55" t="n">
        <v>267.647982426991</v>
      </c>
      <c r="F23" s="55" t="n">
        <v>75.63318344967119</v>
      </c>
      <c r="G23" s="55" t="n">
        <v>80.7708187854827</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814.728780128965</v>
      </c>
      <c r="D24" s="55" t="n">
        <v>304.500981607761</v>
      </c>
      <c r="E24" s="55" t="n">
        <v>322.039386187918</v>
      </c>
      <c r="F24" s="55" t="n">
        <v>91.00335355681</v>
      </c>
      <c r="G24" s="55" t="n">
        <v>97.1850587764763</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970.543712293386</v>
      </c>
      <c r="D25" s="55" t="n">
        <v>362.736066645143</v>
      </c>
      <c r="E25" s="55" t="n">
        <v>383.628649188053</v>
      </c>
      <c r="F25" s="55" t="n">
        <v>108.407527445137</v>
      </c>
      <c r="G25" s="55" t="n">
        <v>115.771469015053</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1144.65383825229</v>
      </c>
      <c r="D26" s="55" t="n">
        <v>427.808892787291</v>
      </c>
      <c r="E26" s="55" t="n">
        <v>452.449488049336</v>
      </c>
      <c r="F26" s="55" t="n">
        <v>127.855232910937</v>
      </c>
      <c r="G26" s="55" t="n">
        <v>136.540224504723</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1336.5655518421</v>
      </c>
      <c r="D27" s="55" t="n">
        <v>499.534977093376</v>
      </c>
      <c r="E27" s="55" t="n">
        <v>528.306794129712</v>
      </c>
      <c r="F27" s="55" t="n">
        <v>149.291335267285</v>
      </c>
      <c r="G27" s="55" t="n">
        <v>159.432445351724</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1545.12416389406</v>
      </c>
      <c r="D28" s="55" t="n">
        <v>577.482760013873</v>
      </c>
      <c r="E28" s="55" t="n">
        <v>610.744151257056</v>
      </c>
      <c r="F28" s="55" t="n">
        <v>172.586858357653</v>
      </c>
      <c r="G28" s="55" t="n">
        <v>184.310394265473</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1768.45303793021</v>
      </c>
      <c r="D29" s="55" t="n">
        <v>660.950857648281</v>
      </c>
      <c r="E29" s="55" t="n">
        <v>699.0197777805949</v>
      </c>
      <c r="F29" s="55" t="n">
        <v>197.532186151449</v>
      </c>
      <c r="G29" s="55" t="n">
        <v>210.950216349889</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2003.92149875662</v>
      </c>
      <c r="D30" s="55" t="n">
        <v>748.956067735446</v>
      </c>
      <c r="E30" s="55" t="n">
        <v>792.093841739826</v>
      </c>
      <c r="F30" s="55" t="n">
        <v>223.83347820679</v>
      </c>
      <c r="G30" s="55" t="n">
        <v>239.038111074558</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2248.14802873149</v>
      </c>
      <c r="D31" s="55" t="n">
        <v>840.234564243491</v>
      </c>
      <c r="E31" s="55" t="n">
        <v>888.6297242594831</v>
      </c>
      <c r="F31" s="55" t="n">
        <v>251.113026686393</v>
      </c>
      <c r="G31" s="55" t="n">
        <v>268.170713542125</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2497.04362187651</v>
      </c>
      <c r="D32" s="55" t="n">
        <v>933.258100761382</v>
      </c>
      <c r="E32" s="55" t="n">
        <v>987.011156211121</v>
      </c>
      <c r="F32" s="55" t="n">
        <v>278.914098913303</v>
      </c>
      <c r="G32" s="55" t="n">
        <v>297.860265990702</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2745.89787426076</v>
      </c>
      <c r="D33" s="55" t="n">
        <v>1026.26618636783</v>
      </c>
      <c r="E33" s="55" t="n">
        <v>1085.37624732204</v>
      </c>
      <c r="F33" s="55" t="n">
        <v>306.710553471168</v>
      </c>
      <c r="G33" s="55" t="n">
        <v>327.544887099718</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2989.50757780914</v>
      </c>
      <c r="D34" s="55" t="n">
        <v>1117.31414695161</v>
      </c>
      <c r="E34" s="55" t="n">
        <v>1181.66831569322</v>
      </c>
      <c r="F34" s="55" t="n">
        <v>333.921203840453</v>
      </c>
      <c r="G34" s="55" t="n">
        <v>356.603911323856</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3222.34445265175</v>
      </c>
      <c r="D35" s="55" t="n">
        <v>1204.33581437428</v>
      </c>
      <c r="E35" s="55" t="n">
        <v>1273.70218768232</v>
      </c>
      <c r="F35" s="55" t="n">
        <v>359.928553720754</v>
      </c>
      <c r="G35" s="55" t="n">
        <v>384.377896874394</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3438.75545652731</v>
      </c>
      <c r="D36" s="55" t="n">
        <v>1285.21839115081</v>
      </c>
      <c r="E36" s="55" t="n">
        <v>1359.24337458057</v>
      </c>
      <c r="F36" s="55" t="n">
        <v>384.10117113603</v>
      </c>
      <c r="G36" s="55" t="n">
        <v>410.192519659898</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3633.18613957236</v>
      </c>
      <c r="D37" s="55" t="n">
        <v>1357.88592823292</v>
      </c>
      <c r="E37" s="55" t="n">
        <v>1436.09635848279</v>
      </c>
      <c r="F37" s="55" t="n">
        <v>405.818636657058</v>
      </c>
      <c r="G37" s="55" t="n">
        <v>433.385216199588</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3800.41506547186</v>
      </c>
      <c r="D38" s="55" t="n">
        <v>1420.38693879198</v>
      </c>
      <c r="E38" s="55" t="n">
        <v>1502.19725237906</v>
      </c>
      <c r="F38" s="55" t="n">
        <v>424.497727711323</v>
      </c>
      <c r="G38" s="55" t="n">
        <v>453.333146589501</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3935.78566428516</v>
      </c>
      <c r="D39" s="55" t="n">
        <v>1470.98105210286</v>
      </c>
      <c r="E39" s="55" t="n">
        <v>1555.70544505985</v>
      </c>
      <c r="F39" s="55" t="n">
        <v>439.618316016862</v>
      </c>
      <c r="G39" s="55" t="n">
        <v>469.480851105592</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4035.42122714591</v>
      </c>
      <c r="D40" s="55" t="n">
        <v>1508.2193667839</v>
      </c>
      <c r="E40" s="55" t="n">
        <v>1595.08858247778</v>
      </c>
      <c r="F40" s="55" t="n">
        <v>450.747382001755</v>
      </c>
      <c r="G40" s="55" t="n">
        <v>481.365895882474</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4096.40921966554</v>
      </c>
      <c r="D41" s="55" t="n">
        <v>1531.01333704916</v>
      </c>
      <c r="E41" s="55" t="n">
        <v>1619.19542165529</v>
      </c>
      <c r="F41" s="55" t="n">
        <v>457.559602192511</v>
      </c>
      <c r="G41" s="55" t="n">
        <v>488.640858768579</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4116.94269393478</v>
      </c>
      <c r="D42" s="55" t="n">
        <v>1538.68762476711</v>
      </c>
      <c r="E42" s="55" t="n">
        <v>1627.31172687397</v>
      </c>
      <c r="F42" s="55" t="n">
        <v>459.853144613313</v>
      </c>
      <c r="G42" s="55" t="n">
        <v>491.090197680391</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4096.40921966554</v>
      </c>
      <c r="D43" s="55" t="n">
        <v>1531.01333704916</v>
      </c>
      <c r="E43" s="55" t="n">
        <v>1619.19542165529</v>
      </c>
      <c r="F43" s="55" t="n">
        <v>457.559602192511</v>
      </c>
      <c r="G43" s="55" t="n">
        <v>488.640858768579</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4035.42122714591</v>
      </c>
      <c r="D44" s="55" t="n">
        <v>1508.2193667839</v>
      </c>
      <c r="E44" s="55" t="n">
        <v>1595.08858247778</v>
      </c>
      <c r="F44" s="55" t="n">
        <v>450.747382001755</v>
      </c>
      <c r="G44" s="55" t="n">
        <v>481.365895882474</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3935.78566428516</v>
      </c>
      <c r="D45" s="55" t="n">
        <v>1470.98105210286</v>
      </c>
      <c r="E45" s="55" t="n">
        <v>1555.70544505985</v>
      </c>
      <c r="F45" s="55" t="n">
        <v>439.618316016862</v>
      </c>
      <c r="G45" s="55" t="n">
        <v>469.480851105592</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3800.41506547186</v>
      </c>
      <c r="D46" s="55" t="n">
        <v>1420.38693879198</v>
      </c>
      <c r="E46" s="55" t="n">
        <v>1502.19725237906</v>
      </c>
      <c r="F46" s="55" t="n">
        <v>424.497727711323</v>
      </c>
      <c r="G46" s="55" t="n">
        <v>453.333146589501</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3633.18613957236</v>
      </c>
      <c r="D47" s="55" t="n">
        <v>1357.88592823292</v>
      </c>
      <c r="E47" s="55" t="n">
        <v>1436.09635848279</v>
      </c>
      <c r="F47" s="55" t="n">
        <v>405.818636657058</v>
      </c>
      <c r="G47" s="55" t="n">
        <v>433.385216199588</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3438.75545652731</v>
      </c>
      <c r="D48" s="55" t="n">
        <v>1285.21839115081</v>
      </c>
      <c r="E48" s="55" t="n">
        <v>1359.24337458057</v>
      </c>
      <c r="F48" s="55" t="n">
        <v>384.10117113603</v>
      </c>
      <c r="G48" s="55" t="n">
        <v>410.192519659898</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3222.34445265175</v>
      </c>
      <c r="D49" s="55" t="n">
        <v>1204.33581437428</v>
      </c>
      <c r="E49" s="55" t="n">
        <v>1273.70218768232</v>
      </c>
      <c r="F49" s="55" t="n">
        <v>359.928553720754</v>
      </c>
      <c r="G49" s="55" t="n">
        <v>384.377896874394</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2989.50757780914</v>
      </c>
      <c r="D50" s="55" t="n">
        <v>1117.31414695161</v>
      </c>
      <c r="E50" s="55" t="n">
        <v>1181.66831569322</v>
      </c>
      <c r="F50" s="55" t="n">
        <v>333.921203840453</v>
      </c>
      <c r="G50" s="55" t="n">
        <v>356.603911323856</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2745.89787426076</v>
      </c>
      <c r="D51" s="55" t="n">
        <v>1026.26618636783</v>
      </c>
      <c r="E51" s="55" t="n">
        <v>1085.37624732204</v>
      </c>
      <c r="F51" s="55" t="n">
        <v>306.710553471168</v>
      </c>
      <c r="G51" s="55" t="n">
        <v>327.544887099718</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2497.04362187651</v>
      </c>
      <c r="D52" s="55" t="n">
        <v>933.258100761382</v>
      </c>
      <c r="E52" s="55" t="n">
        <v>987.011156211121</v>
      </c>
      <c r="F52" s="55" t="n">
        <v>278.914098913303</v>
      </c>
      <c r="G52" s="55" t="n">
        <v>297.860265990702</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2248.14802873149</v>
      </c>
      <c r="D53" s="55" t="n">
        <v>840.234564243491</v>
      </c>
      <c r="E53" s="55" t="n">
        <v>888.6297242594831</v>
      </c>
      <c r="F53" s="55" t="n">
        <v>251.113026686393</v>
      </c>
      <c r="G53" s="55" t="n">
        <v>268.170713542125</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2003.92149875662</v>
      </c>
      <c r="D54" s="55" t="n">
        <v>748.956067735446</v>
      </c>
      <c r="E54" s="55" t="n">
        <v>792.093841739826</v>
      </c>
      <c r="F54" s="55" t="n">
        <v>223.83347820679</v>
      </c>
      <c r="G54" s="55" t="n">
        <v>239.038111074558</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1768.45303793021</v>
      </c>
      <c r="D55" s="55" t="n">
        <v>660.950857648281</v>
      </c>
      <c r="E55" s="55" t="n">
        <v>699.0197777805949</v>
      </c>
      <c r="F55" s="55" t="n">
        <v>197.532186151449</v>
      </c>
      <c r="G55" s="55" t="n">
        <v>210.950216349889</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1545.12416389406</v>
      </c>
      <c r="D56" s="55" t="n">
        <v>577.482760013873</v>
      </c>
      <c r="E56" s="55" t="n">
        <v>610.744151257056</v>
      </c>
      <c r="F56" s="55" t="n">
        <v>172.586858357653</v>
      </c>
      <c r="G56" s="55" t="n">
        <v>184.310394265473</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156</v>
      </c>
      <c r="D7" s="56" t="n">
        <v>65.4419715169237</v>
      </c>
      <c r="E7" s="56" t="n">
        <v>54.5407041359054</v>
      </c>
      <c r="F7" s="56" t="n">
        <v>19.5580284830763</v>
      </c>
      <c r="G7" s="56" t="n">
        <v>16.4592958640946</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25</v>
      </c>
      <c r="D8" s="56" t="n">
        <v>8.31416193914389</v>
      </c>
      <c r="E8" s="56" t="n">
        <v>10.6113223736812</v>
      </c>
      <c r="F8" s="56" t="n">
        <v>2.68583806085611</v>
      </c>
      <c r="G8" s="56" t="n">
        <v>3.38867762631877</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9</v>
      </c>
      <c r="D9" s="56" t="n">
        <v>4.52241330702002</v>
      </c>
      <c r="E9" s="56" t="n">
        <v>2.26886638353479</v>
      </c>
      <c r="F9" s="56" t="n">
        <v>1.47758669297998</v>
      </c>
      <c r="G9" s="56" t="n">
        <v>0.731133616465207</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11</v>
      </c>
      <c r="D10" s="56" t="n">
        <v>5.23609903171566</v>
      </c>
      <c r="E10" s="56" t="n">
        <v>3.00100528230155</v>
      </c>
      <c r="F10" s="56" t="n">
        <v>1.76390096828434</v>
      </c>
      <c r="G10" s="56" t="n">
        <v>0.9989947176984521</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12</v>
      </c>
      <c r="D11" s="56" t="n">
        <v>5.97893700441303</v>
      </c>
      <c r="E11" s="56" t="n">
        <v>3.00511976902288</v>
      </c>
      <c r="F11" s="56" t="n">
        <v>2.02106299558697</v>
      </c>
      <c r="G11" s="56" t="n">
        <v>0.994880230977121</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9</v>
      </c>
      <c r="D12" s="56" t="n">
        <v>3.68020620389299</v>
      </c>
      <c r="E12" s="56" t="n">
        <v>2.95293090713758</v>
      </c>
      <c r="F12" s="56" t="n">
        <v>1.31979379610701</v>
      </c>
      <c r="G12" s="56" t="n">
        <v>1.04706909286242</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3</v>
      </c>
      <c r="D13" s="56" t="n">
        <v>0</v>
      </c>
      <c r="E13" s="56" t="n">
        <v>2.18791103473347</v>
      </c>
      <c r="F13" s="56" t="n">
        <v>0</v>
      </c>
      <c r="G13" s="56" t="n">
        <v>0.812088965266532</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11</v>
      </c>
      <c r="D14" s="56" t="n">
        <v>3.66394469129025</v>
      </c>
      <c r="E14" s="56" t="n">
        <v>4.38128198878869</v>
      </c>
      <c r="F14" s="56" t="n">
        <v>1.33605530870975</v>
      </c>
      <c r="G14" s="56" t="n">
        <v>1.61871801121131</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3</v>
      </c>
      <c r="D15" s="56" t="n">
        <v>2.17478275685807</v>
      </c>
      <c r="E15" s="56" t="n">
        <v>0</v>
      </c>
      <c r="F15" s="56" t="n">
        <v>0.825217243141932</v>
      </c>
      <c r="G15" s="56" t="n">
        <v>0</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7</v>
      </c>
      <c r="D16" s="56" t="n">
        <v>0</v>
      </c>
      <c r="E16" s="56" t="n">
        <v>5.06921397379913</v>
      </c>
      <c r="F16" s="56" t="n">
        <v>0</v>
      </c>
      <c r="G16" s="56" t="n">
        <v>1.93078602620087</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4</v>
      </c>
      <c r="D17" s="56" t="n">
        <v>0</v>
      </c>
      <c r="E17" s="56" t="n">
        <v>2.91181718578807</v>
      </c>
      <c r="F17" s="56" t="n">
        <v>0</v>
      </c>
      <c r="G17" s="56" t="n">
        <v>1.08818281421193</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3</v>
      </c>
      <c r="D18" s="56" t="n">
        <v>2.18434202307768</v>
      </c>
      <c r="E18" s="56" t="n">
        <v>0</v>
      </c>
      <c r="F18" s="56" t="n">
        <v>0.815657976922318</v>
      </c>
      <c r="G18" s="56" t="n">
        <v>0</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3</v>
      </c>
      <c r="D19" s="56" t="n">
        <v>0</v>
      </c>
      <c r="E19" s="56" t="n">
        <v>2.18093027602966</v>
      </c>
      <c r="F19" s="56" t="n">
        <v>0</v>
      </c>
      <c r="G19" s="56" t="n">
        <v>0.8190697239703409</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7</v>
      </c>
      <c r="D20" s="56" t="n">
        <v>0</v>
      </c>
      <c r="E20" s="56" t="n">
        <v>5.06968188703744</v>
      </c>
      <c r="F20" s="56" t="n">
        <v>0</v>
      </c>
      <c r="G20" s="56" t="n">
        <v>1.93031811296256</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13</v>
      </c>
      <c r="D21" s="56" t="n">
        <v>4.37408795109446</v>
      </c>
      <c r="E21" s="56" t="n">
        <v>5.05826871979738</v>
      </c>
      <c r="F21" s="56" t="n">
        <v>1.62591204890554</v>
      </c>
      <c r="G21" s="56" t="n">
        <v>1.94173128020262</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29</v>
      </c>
      <c r="D22" s="56" t="n">
        <v>12.4384010381225</v>
      </c>
      <c r="E22" s="56" t="n">
        <v>8.69851111077992</v>
      </c>
      <c r="F22" s="56" t="n">
        <v>4.56159896187748</v>
      </c>
      <c r="G22" s="56" t="n">
        <v>3.30148888922008</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19</v>
      </c>
      <c r="D23" s="56" t="n">
        <v>9.44544098089461</v>
      </c>
      <c r="E23" s="56" t="n">
        <v>4.35852947016327</v>
      </c>
      <c r="F23" s="56" t="n">
        <v>3.55455901910539</v>
      </c>
      <c r="G23" s="56" t="n">
        <v>1.64147052983673</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21</v>
      </c>
      <c r="D24" s="56" t="n">
        <v>10.1031707077648</v>
      </c>
      <c r="E24" s="56" t="n">
        <v>5.03844327702134</v>
      </c>
      <c r="F24" s="56" t="n">
        <v>3.8968292922352</v>
      </c>
      <c r="G24" s="56" t="n">
        <v>1.96155672297866</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28</v>
      </c>
      <c r="D25" s="56" t="n">
        <v>13.0019319363947</v>
      </c>
      <c r="E25" s="56" t="n">
        <v>7.16846431993077</v>
      </c>
      <c r="F25" s="56" t="n">
        <v>4.99806806360529</v>
      </c>
      <c r="G25" s="56" t="n">
        <v>2.83153568006923</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17</v>
      </c>
      <c r="D26" s="56" t="n">
        <v>7.2075055187638</v>
      </c>
      <c r="E26" s="56" t="n">
        <v>5.02250081356247</v>
      </c>
      <c r="F26" s="56" t="n">
        <v>2.7924944812362</v>
      </c>
      <c r="G26" s="56" t="n">
        <v>1.97749918643753</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30</v>
      </c>
      <c r="D27" s="56" t="n">
        <v>17.1055534874277</v>
      </c>
      <c r="E27" s="56" t="n">
        <v>4.27565138113594</v>
      </c>
      <c r="F27" s="56" t="n">
        <v>6.89444651257234</v>
      </c>
      <c r="G27" s="56" t="n">
        <v>1.72434861886406</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37</v>
      </c>
      <c r="D28" s="56" t="n">
        <v>19.9689848502923</v>
      </c>
      <c r="E28" s="56" t="n">
        <v>6.3787784728523</v>
      </c>
      <c r="F28" s="56" t="n">
        <v>8.03101514970774</v>
      </c>
      <c r="G28" s="56" t="n">
        <v>2.6212215271477</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41</v>
      </c>
      <c r="D29" s="56" t="n">
        <v>20.1392285507075</v>
      </c>
      <c r="E29" s="56" t="n">
        <v>8.51134659118401</v>
      </c>
      <c r="F29" s="56" t="n">
        <v>8.86077144929247</v>
      </c>
      <c r="G29" s="56" t="n">
        <v>3.48865340881599</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39</v>
      </c>
      <c r="D30" s="56" t="n">
        <v>19.0052651244947</v>
      </c>
      <c r="E30" s="56" t="n">
        <v>7.56456402849678</v>
      </c>
      <c r="F30" s="56" t="n">
        <v>8.99473487550528</v>
      </c>
      <c r="G30" s="56" t="n">
        <v>3.43543597150322</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33</v>
      </c>
      <c r="D31" s="56" t="n">
        <v>14.5874763340579</v>
      </c>
      <c r="E31" s="56" t="n">
        <v>7.31833415475604</v>
      </c>
      <c r="F31" s="56" t="n">
        <v>7.41252366594208</v>
      </c>
      <c r="G31" s="56" t="n">
        <v>3.68166584524396</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39</v>
      </c>
      <c r="D32" s="56" t="n">
        <v>19.3826005612722</v>
      </c>
      <c r="E32" s="56" t="n">
        <v>5.6633087400681</v>
      </c>
      <c r="F32" s="56" t="n">
        <v>10.6173994387278</v>
      </c>
      <c r="G32" s="56" t="n">
        <v>3.3366912599319</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43</v>
      </c>
      <c r="D33" s="56" t="n">
        <v>17.6838268476412</v>
      </c>
      <c r="E33" s="56" t="n">
        <v>8.543055126450991</v>
      </c>
      <c r="F33" s="56" t="n">
        <v>10.3161731523588</v>
      </c>
      <c r="G33" s="56" t="n">
        <v>6.45694487354901</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48</v>
      </c>
      <c r="D34" s="56" t="n">
        <v>23.1008684607991</v>
      </c>
      <c r="E34" s="56" t="n">
        <v>6.66017292497788</v>
      </c>
      <c r="F34" s="56" t="n">
        <v>13.8991315392009</v>
      </c>
      <c r="G34" s="56" t="n">
        <v>4.33982707502212</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54</v>
      </c>
      <c r="D35" s="56" t="n">
        <v>24.8507173975206</v>
      </c>
      <c r="E35" s="56" t="n">
        <v>8.835879395370499</v>
      </c>
      <c r="F35" s="56" t="n">
        <v>15.1492826024794</v>
      </c>
      <c r="G35" s="56" t="n">
        <v>5.1641206046295</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40</v>
      </c>
      <c r="D36" s="56" t="n">
        <v>19.4952302948545</v>
      </c>
      <c r="E36" s="56" t="n">
        <v>5.72211992263056</v>
      </c>
      <c r="F36" s="56" t="n">
        <v>11.5047697051455</v>
      </c>
      <c r="G36" s="56" t="n">
        <v>3.27788007736944</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40</v>
      </c>
      <c r="D37" s="56" t="n">
        <v>20.4030707852264</v>
      </c>
      <c r="E37" s="56" t="n">
        <v>5.15477307165019</v>
      </c>
      <c r="F37" s="56" t="n">
        <v>11.5969292147736</v>
      </c>
      <c r="G37" s="56" t="n">
        <v>2.84522692834981</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64</v>
      </c>
      <c r="D38" s="56" t="n">
        <v>30.6528915171862</v>
      </c>
      <c r="E38" s="56" t="n">
        <v>11.1973364136713</v>
      </c>
      <c r="F38" s="56" t="n">
        <v>16.3471084828138</v>
      </c>
      <c r="G38" s="56" t="n">
        <v>5.80266358632874</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63</v>
      </c>
      <c r="D39" s="56" t="n">
        <v>27.1315189976405</v>
      </c>
      <c r="E39" s="56" t="n">
        <v>14.644373394832</v>
      </c>
      <c r="F39" s="56" t="n">
        <v>13.8684810023595</v>
      </c>
      <c r="G39" s="56" t="n">
        <v>7.35562660516799</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73</v>
      </c>
      <c r="D40" s="56" t="n">
        <v>29.3899769585253</v>
      </c>
      <c r="E40" s="56" t="n">
        <v>19.6543692238335</v>
      </c>
      <c r="F40" s="56" t="n">
        <v>14.6100230414747</v>
      </c>
      <c r="G40" s="56" t="n">
        <v>9.3456307761665</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84</v>
      </c>
      <c r="D41" s="56" t="n">
        <v>38.8339772317519</v>
      </c>
      <c r="E41" s="56" t="n">
        <v>17.5677917234103</v>
      </c>
      <c r="F41" s="56" t="n">
        <v>19.1660227682481</v>
      </c>
      <c r="G41" s="56" t="n">
        <v>8.432208276589741</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80</v>
      </c>
      <c r="D42" s="56" t="n">
        <v>33.2899080480123</v>
      </c>
      <c r="E42" s="56" t="n">
        <v>20.11560483284</v>
      </c>
      <c r="F42" s="56" t="n">
        <v>16.7100919519877</v>
      </c>
      <c r="G42" s="56" t="n">
        <v>9.88439516715998</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74</v>
      </c>
      <c r="D43" s="56" t="n">
        <v>29.2776663676183</v>
      </c>
      <c r="E43" s="56" t="n">
        <v>19.0644623927309</v>
      </c>
      <c r="F43" s="56" t="n">
        <v>15.7223336323817</v>
      </c>
      <c r="G43" s="56" t="n">
        <v>9.93553760726906</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82</v>
      </c>
      <c r="D44" s="56" t="n">
        <v>33.9304697697576</v>
      </c>
      <c r="E44" s="56" t="n">
        <v>18.705323486422</v>
      </c>
      <c r="F44" s="56" t="n">
        <v>19.0695302302424</v>
      </c>
      <c r="G44" s="56" t="n">
        <v>10.294676513578</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71</v>
      </c>
      <c r="D45" s="56" t="n">
        <v>29.5308860014297</v>
      </c>
      <c r="E45" s="56" t="n">
        <v>15.1884372962399</v>
      </c>
      <c r="F45" s="56" t="n">
        <v>17.4691139985703</v>
      </c>
      <c r="G45" s="56" t="n">
        <v>8.81156270376005</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86</v>
      </c>
      <c r="D46" s="56" t="n">
        <v>35.5038564096683</v>
      </c>
      <c r="E46" s="56" t="n">
        <v>18.0751196826699</v>
      </c>
      <c r="F46" s="56" t="n">
        <v>21.4961435903317</v>
      </c>
      <c r="G46" s="56" t="n">
        <v>10.9248803173301</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83</v>
      </c>
      <c r="D47" s="56" t="n">
        <v>30.0709961798413</v>
      </c>
      <c r="E47" s="56" t="n">
        <v>20.859750507043</v>
      </c>
      <c r="F47" s="56" t="n">
        <v>18.9290038201587</v>
      </c>
      <c r="G47" s="56" t="n">
        <v>13.140249492957</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105</v>
      </c>
      <c r="D48" s="56" t="n">
        <v>34.5819860728054</v>
      </c>
      <c r="E48" s="56" t="n">
        <v>29.1289594070299</v>
      </c>
      <c r="F48" s="56" t="n">
        <v>22.4180139271946</v>
      </c>
      <c r="G48" s="56" t="n">
        <v>18.8710405929701</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85</v>
      </c>
      <c r="D49" s="56" t="n">
        <v>29.5190919275534</v>
      </c>
      <c r="E49" s="56" t="n">
        <v>21.9681416981188</v>
      </c>
      <c r="F49" s="56" t="n">
        <v>19.4809080724466</v>
      </c>
      <c r="G49" s="56" t="n">
        <v>14.0318583018812</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89</v>
      </c>
      <c r="D50" s="56" t="n">
        <v>34.2064622722384</v>
      </c>
      <c r="E50" s="56" t="n">
        <v>20.2113317220006</v>
      </c>
      <c r="F50" s="56" t="n">
        <v>21.7935377277616</v>
      </c>
      <c r="G50" s="56" t="n">
        <v>12.7886682779994</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88</v>
      </c>
      <c r="D51" s="56" t="n">
        <v>38.1067813128773</v>
      </c>
      <c r="E51" s="56" t="n">
        <v>16.9525318384011</v>
      </c>
      <c r="F51" s="56" t="n">
        <v>22.8932186871227</v>
      </c>
      <c r="G51" s="56" t="n">
        <v>10.0474681615989</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109</v>
      </c>
      <c r="D52" s="56" t="n">
        <v>47.9675216547763</v>
      </c>
      <c r="E52" s="56" t="n">
        <v>20.1742623386597</v>
      </c>
      <c r="F52" s="56" t="n">
        <v>29.0324783452237</v>
      </c>
      <c r="G52" s="56" t="n">
        <v>11.8257376613403</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126</v>
      </c>
      <c r="D53" s="56" t="n">
        <v>50.5113431988136</v>
      </c>
      <c r="E53" s="56" t="n">
        <v>30.2349464746575</v>
      </c>
      <c r="F53" s="56" t="n">
        <v>28.4886568011864</v>
      </c>
      <c r="G53" s="56" t="n">
        <v>16.7650535253425</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137</v>
      </c>
      <c r="D54" s="56" t="n">
        <v>54.7950732985145</v>
      </c>
      <c r="E54" s="56" t="n">
        <v>32.9753557352918</v>
      </c>
      <c r="F54" s="56" t="n">
        <v>31.2049267014855</v>
      </c>
      <c r="G54" s="56" t="n">
        <v>18.0246442647082</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131</v>
      </c>
      <c r="D55" s="56" t="n">
        <v>53.180564526547</v>
      </c>
      <c r="E55" s="56" t="n">
        <v>32.6467048979976</v>
      </c>
      <c r="F55" s="56" t="n">
        <v>28.819435473453</v>
      </c>
      <c r="G55" s="56" t="n">
        <v>16.3532951020024</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164</v>
      </c>
      <c r="D56" s="56" t="n">
        <v>64.55960264900661</v>
      </c>
      <c r="E56" s="56" t="n">
        <v>45.205496914204</v>
      </c>
      <c r="F56" s="56" t="n">
        <v>32.4403973509934</v>
      </c>
      <c r="G56" s="56" t="n">
        <v>21.794503085796</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191</v>
      </c>
      <c r="D57" s="56" t="n">
        <v>72.70716785924481</v>
      </c>
      <c r="E57" s="56" t="n">
        <v>58.28633595745</v>
      </c>
      <c r="F57" s="56" t="n">
        <v>34.2928321407552</v>
      </c>
      <c r="G57" s="56" t="n">
        <v>25.71366404255</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217</v>
      </c>
      <c r="D58" s="56" t="n">
        <v>89.0285305001791</v>
      </c>
      <c r="E58" s="56" t="n">
        <v>63.3684455634305</v>
      </c>
      <c r="F58" s="56" t="n">
        <v>38.9714694998209</v>
      </c>
      <c r="G58" s="56" t="n">
        <v>25.6315544365695</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229</v>
      </c>
      <c r="D59" s="56" t="n">
        <v>100.933370856595</v>
      </c>
      <c r="E59" s="56" t="n">
        <v>62.0630320378073</v>
      </c>
      <c r="F59" s="56" t="n">
        <v>42.0666291434048</v>
      </c>
      <c r="G59" s="56" t="n">
        <v>23.9369679621927</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227</v>
      </c>
      <c r="D60" s="56" t="n">
        <v>94.7600870282842</v>
      </c>
      <c r="E60" s="56" t="n">
        <v>67.48579369981471</v>
      </c>
      <c r="F60" s="56" t="n">
        <v>39.2399129717158</v>
      </c>
      <c r="G60" s="56" t="n">
        <v>25.5142063001853</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275</v>
      </c>
      <c r="D61" s="56" t="n">
        <v>114.656467778265</v>
      </c>
      <c r="E61" s="56" t="n">
        <v>85.0001483723553</v>
      </c>
      <c r="F61" s="56" t="n">
        <v>45.3435322217351</v>
      </c>
      <c r="G61" s="56" t="n">
        <v>29.9998516276447</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300</v>
      </c>
      <c r="D62" s="56" t="n">
        <v>128.480585535293</v>
      </c>
      <c r="E62" s="56" t="n">
        <v>86.864418949266</v>
      </c>
      <c r="F62" s="56" t="n">
        <v>52.5194144647066</v>
      </c>
      <c r="G62" s="56" t="n">
        <v>32.135581050734</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303</v>
      </c>
      <c r="D63" s="56" t="n">
        <v>126.321425170608</v>
      </c>
      <c r="E63" s="56" t="n">
        <v>92.6912561499657</v>
      </c>
      <c r="F63" s="56" t="n">
        <v>50.6785748293922</v>
      </c>
      <c r="G63" s="56" t="n">
        <v>33.3087438500343</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390.999999999999</v>
      </c>
      <c r="D64" s="56" t="n">
        <v>184.58409411188</v>
      </c>
      <c r="E64" s="56" t="n">
        <v>103.551670633605</v>
      </c>
      <c r="F64" s="56" t="n">
        <v>67.4159058881196</v>
      </c>
      <c r="G64" s="56" t="n">
        <v>35.4483293663945</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411</v>
      </c>
      <c r="D65" s="56" t="n">
        <v>191.014872468948</v>
      </c>
      <c r="E65" s="56" t="n">
        <v>120.030047747501</v>
      </c>
      <c r="F65" s="56" t="n">
        <v>62.985127531052</v>
      </c>
      <c r="G65" s="56" t="n">
        <v>36.9699522524992</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463</v>
      </c>
      <c r="D66" s="56" t="n">
        <v>220.133403190814</v>
      </c>
      <c r="E66" s="56" t="n">
        <v>133.993066144949</v>
      </c>
      <c r="F66" s="56" t="n">
        <v>68.86659680918579</v>
      </c>
      <c r="G66" s="56" t="n">
        <v>40.0069338550508</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500</v>
      </c>
      <c r="D67" s="56" t="n">
        <v>226.289473684211</v>
      </c>
      <c r="E67" s="56" t="n">
        <v>156.593872116247</v>
      </c>
      <c r="F67" s="56" t="n">
        <v>70.71052631578949</v>
      </c>
      <c r="G67" s="56" t="n">
        <v>46.4061278837526</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559</v>
      </c>
      <c r="D68" s="56" t="n">
        <v>266.690850655438</v>
      </c>
      <c r="E68" s="56" t="n">
        <v>164.907974648177</v>
      </c>
      <c r="F68" s="56" t="n">
        <v>79.3091493445623</v>
      </c>
      <c r="G68" s="56" t="n">
        <v>48.0920253518227</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600</v>
      </c>
      <c r="D69" s="56" t="n">
        <v>275.828250737796</v>
      </c>
      <c r="E69" s="56" t="n">
        <v>181.683051489147</v>
      </c>
      <c r="F69" s="56" t="n">
        <v>87.1717492622039</v>
      </c>
      <c r="G69" s="56" t="n">
        <v>55.3169485108531</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610</v>
      </c>
      <c r="D70" s="56" t="n">
        <v>272.916390560552</v>
      </c>
      <c r="E70" s="56" t="n">
        <v>189.344705212762</v>
      </c>
      <c r="F70" s="56" t="n">
        <v>88.0836094394482</v>
      </c>
      <c r="G70" s="56" t="n">
        <v>59.6552947872376</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654</v>
      </c>
      <c r="D71" s="56" t="n">
        <v>301.677860958808</v>
      </c>
      <c r="E71" s="56" t="n">
        <v>198.24092351384</v>
      </c>
      <c r="F71" s="56" t="n">
        <v>95.3221390411922</v>
      </c>
      <c r="G71" s="56" t="n">
        <v>58.7590764861596</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756</v>
      </c>
      <c r="D72" s="56" t="n">
        <v>349.953827265934</v>
      </c>
      <c r="E72" s="56" t="n">
        <v>221.470369304901</v>
      </c>
      <c r="F72" s="56" t="n">
        <v>115.046172734066</v>
      </c>
      <c r="G72" s="56" t="n">
        <v>69.5296306950987</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770</v>
      </c>
      <c r="D73" s="56" t="n">
        <v>360.898238993711</v>
      </c>
      <c r="E73" s="56" t="n">
        <v>236.568603414397</v>
      </c>
      <c r="F73" s="56" t="n">
        <v>108.101761006289</v>
      </c>
      <c r="G73" s="56" t="n">
        <v>64.4313965856033</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908</v>
      </c>
      <c r="D74" s="56" t="n">
        <v>427.610112237115</v>
      </c>
      <c r="E74" s="56" t="n">
        <v>286.083842330197</v>
      </c>
      <c r="F74" s="56" t="n">
        <v>119.389887762885</v>
      </c>
      <c r="G74" s="56" t="n">
        <v>74.9161576698032</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1000</v>
      </c>
      <c r="D75" s="56" t="n">
        <v>454.004209955732</v>
      </c>
      <c r="E75" s="56" t="n">
        <v>333.961815255397</v>
      </c>
      <c r="F75" s="56" t="n">
        <v>124.995790044268</v>
      </c>
      <c r="G75" s="56" t="n">
        <v>87.0381847446025</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1138</v>
      </c>
      <c r="D76" s="56" t="n">
        <v>533.509329317564</v>
      </c>
      <c r="E76" s="56" t="n">
        <v>372.227835396454</v>
      </c>
      <c r="F76" s="56" t="n">
        <v>141.490670682436</v>
      </c>
      <c r="G76" s="56" t="n">
        <v>90.7721646035463</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1246</v>
      </c>
      <c r="D77" s="56" t="n">
        <v>599.904178876052</v>
      </c>
      <c r="E77" s="56" t="n">
        <v>399.549971844113</v>
      </c>
      <c r="F77" s="56" t="n">
        <v>154.095821123948</v>
      </c>
      <c r="G77" s="56" t="n">
        <v>92.4500281558865</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1333</v>
      </c>
      <c r="D78" s="56" t="n">
        <v>581.588749613123</v>
      </c>
      <c r="E78" s="56" t="n">
        <v>492.181752440641</v>
      </c>
      <c r="F78" s="56" t="n">
        <v>145.411250386877</v>
      </c>
      <c r="G78" s="56" t="n">
        <v>113.818247559359</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1464</v>
      </c>
      <c r="D79" s="56" t="n">
        <v>707.2340604508</v>
      </c>
      <c r="E79" s="56" t="n">
        <v>496.109731678014</v>
      </c>
      <c r="F79" s="56" t="n">
        <v>160.7659395492</v>
      </c>
      <c r="G79" s="56" t="n">
        <v>99.8902683219864</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1617</v>
      </c>
      <c r="D80" s="56" t="n">
        <v>757.72964753587</v>
      </c>
      <c r="E80" s="56" t="n">
        <v>580.132391407328</v>
      </c>
      <c r="F80" s="56" t="n">
        <v>167.27035246413</v>
      </c>
      <c r="G80" s="56" t="n">
        <v>111.867608592672</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1730</v>
      </c>
      <c r="D81" s="56" t="n">
        <v>838.492688189228</v>
      </c>
      <c r="E81" s="56" t="n">
        <v>602.58676088404</v>
      </c>
      <c r="F81" s="56" t="n">
        <v>178.507311810772</v>
      </c>
      <c r="G81" s="56" t="n">
        <v>110.41323911596</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1904</v>
      </c>
      <c r="D82" s="56" t="n">
        <v>929.547019557325</v>
      </c>
      <c r="E82" s="56" t="n">
        <v>664.182986023935</v>
      </c>
      <c r="F82" s="56" t="n">
        <v>192.452980442675</v>
      </c>
      <c r="G82" s="56" t="n">
        <v>117.817013976065</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2228</v>
      </c>
      <c r="D83" s="56" t="n">
        <v>1059.91110216445</v>
      </c>
      <c r="E83" s="56" t="n">
        <v>832.647507904809</v>
      </c>
      <c r="F83" s="56" t="n">
        <v>201.088897835548</v>
      </c>
      <c r="G83" s="56" t="n">
        <v>134.352492095191</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2525</v>
      </c>
      <c r="D84" s="56" t="n">
        <v>1248.8612847353</v>
      </c>
      <c r="E84" s="56" t="n">
        <v>917.926271027453</v>
      </c>
      <c r="F84" s="56" t="n">
        <v>219.138715264704</v>
      </c>
      <c r="G84" s="56" t="n">
        <v>139.073728972547</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2738</v>
      </c>
      <c r="D85" s="56" t="n">
        <v>1288.8728042328</v>
      </c>
      <c r="E85" s="56" t="n">
        <v>1070.31995836697</v>
      </c>
      <c r="F85" s="56" t="n">
        <v>218.127195767196</v>
      </c>
      <c r="G85" s="56" t="n">
        <v>160.680041633035</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3058.99999999999</v>
      </c>
      <c r="D86" s="56" t="n">
        <v>1459.83030874381</v>
      </c>
      <c r="E86" s="56" t="n">
        <v>1210.239331165</v>
      </c>
      <c r="F86" s="56" t="n">
        <v>225.169691256187</v>
      </c>
      <c r="G86" s="56" t="n">
        <v>163.760668834996</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3393</v>
      </c>
      <c r="D87" s="56" t="n">
        <v>1632.37171201581</v>
      </c>
      <c r="E87" s="56" t="n">
        <v>1375.74228787358</v>
      </c>
      <c r="F87" s="56" t="n">
        <v>221.628287984193</v>
      </c>
      <c r="G87" s="56" t="n">
        <v>163.257712126417</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3551.00000000001</v>
      </c>
      <c r="D88" s="56" t="n">
        <v>1741.2562019377</v>
      </c>
      <c r="E88" s="56" t="n">
        <v>1430.25302538371</v>
      </c>
      <c r="F88" s="56" t="n">
        <v>212.743798062302</v>
      </c>
      <c r="G88" s="56" t="n">
        <v>166.746974616293</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3526</v>
      </c>
      <c r="D89" s="56" t="n">
        <v>1680.07722323923</v>
      </c>
      <c r="E89" s="56" t="n">
        <v>1464.86387170804</v>
      </c>
      <c r="F89" s="56" t="n">
        <v>202.922776760767</v>
      </c>
      <c r="G89" s="56" t="n">
        <v>178.136128291959</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3440</v>
      </c>
      <c r="D90" s="56" t="n">
        <v>1631.18227424749</v>
      </c>
      <c r="E90" s="56" t="n">
        <v>1421.76723062654</v>
      </c>
      <c r="F90" s="56" t="n">
        <v>205.817725752508</v>
      </c>
      <c r="G90" s="56" t="n">
        <v>181.232769373461</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3315</v>
      </c>
      <c r="D91" s="56" t="n">
        <v>1508.41820675243</v>
      </c>
      <c r="E91" s="56" t="n">
        <v>1359.38981437411</v>
      </c>
      <c r="F91" s="56" t="n">
        <v>235.581793247567</v>
      </c>
      <c r="G91" s="56" t="n">
        <v>211.610185625892</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3392.00000000001</v>
      </c>
      <c r="D92" s="56" t="n">
        <v>1500.91480604626</v>
      </c>
      <c r="E92" s="56" t="n">
        <v>1431.99085714286</v>
      </c>
      <c r="F92" s="56" t="n">
        <v>227.085193953742</v>
      </c>
      <c r="G92" s="56" t="n">
        <v>232.009142857143</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3594</v>
      </c>
      <c r="D93" s="56" t="n">
        <v>1605.07549204637</v>
      </c>
      <c r="E93" s="56" t="n">
        <v>1514.90573183214</v>
      </c>
      <c r="F93" s="56" t="n">
        <v>249.924507953626</v>
      </c>
      <c r="G93" s="56" t="n">
        <v>224.094268167861</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3652</v>
      </c>
      <c r="D94" s="56" t="n">
        <v>1544.50337503762</v>
      </c>
      <c r="E94" s="56" t="n">
        <v>1627.07741391765</v>
      </c>
      <c r="F94" s="56" t="n">
        <v>241.49662496238</v>
      </c>
      <c r="G94" s="56" t="n">
        <v>238.92258608235</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3646</v>
      </c>
      <c r="D95" s="56" t="n">
        <v>1479.24865468575</v>
      </c>
      <c r="E95" s="56" t="n">
        <v>1698.85674404937</v>
      </c>
      <c r="F95" s="56" t="n">
        <v>232.751345314245</v>
      </c>
      <c r="G95" s="56" t="n">
        <v>235.143255950632</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3608</v>
      </c>
      <c r="D96" s="56" t="n">
        <v>1435.76909900651</v>
      </c>
      <c r="E96" s="56" t="n">
        <v>1713.914523914</v>
      </c>
      <c r="F96" s="56" t="n">
        <v>226.230900993491</v>
      </c>
      <c r="G96" s="56" t="n">
        <v>232.085476086003</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3319</v>
      </c>
      <c r="D97" s="56" t="n">
        <v>1249.39488480527</v>
      </c>
      <c r="E97" s="56" t="n">
        <v>1640.17683465959</v>
      </c>
      <c r="F97" s="56" t="n">
        <v>199.605115194734</v>
      </c>
      <c r="G97" s="56" t="n">
        <v>229.823165340407</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3143</v>
      </c>
      <c r="D98" s="56" t="n">
        <v>1125.69049715795</v>
      </c>
      <c r="E98" s="56" t="n">
        <v>1624.14513067601</v>
      </c>
      <c r="F98" s="56" t="n">
        <v>182.309502842046</v>
      </c>
      <c r="G98" s="56" t="n">
        <v>210.854869323989</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3063</v>
      </c>
      <c r="D99" s="56" t="n">
        <v>1091.94499170974</v>
      </c>
      <c r="E99" s="56" t="n">
        <v>1617.38122151322</v>
      </c>
      <c r="F99" s="56" t="n">
        <v>162.055008290257</v>
      </c>
      <c r="G99" s="56" t="n">
        <v>191.618778486782</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2815</v>
      </c>
      <c r="D100" s="56" t="n">
        <v>948.7144636991731</v>
      </c>
      <c r="E100" s="56" t="n">
        <v>1547.91598599767</v>
      </c>
      <c r="F100" s="56" t="n">
        <v>136.285536300827</v>
      </c>
      <c r="G100" s="56" t="n">
        <v>182.084014002334</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2523</v>
      </c>
      <c r="D101" s="56" t="n">
        <v>799.855802047782</v>
      </c>
      <c r="E101" s="56" t="n">
        <v>1436.5</v>
      </c>
      <c r="F101" s="56" t="n">
        <v>118.144197952218</v>
      </c>
      <c r="G101" s="56" t="n">
        <v>168.5</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2226</v>
      </c>
      <c r="D102" s="56" t="n">
        <v>680.538706820195</v>
      </c>
      <c r="E102" s="56" t="n">
        <v>1272.39009287926</v>
      </c>
      <c r="F102" s="56" t="n">
        <v>108.461293179805</v>
      </c>
      <c r="G102" s="56" t="n">
        <v>164.609907120743</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1864</v>
      </c>
      <c r="D103" s="56" t="n">
        <v>502.756049865559</v>
      </c>
      <c r="E103" s="56" t="n">
        <v>1140.2355736592</v>
      </c>
      <c r="F103" s="56" t="n">
        <v>72.2439501344415</v>
      </c>
      <c r="G103" s="56" t="n">
        <v>148.764426340801</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1430</v>
      </c>
      <c r="D104" s="56" t="n">
        <v>372.705535538814</v>
      </c>
      <c r="E104" s="56" t="n">
        <v>913.394324853229</v>
      </c>
      <c r="F104" s="56" t="n">
        <v>50.2944644611857</v>
      </c>
      <c r="G104" s="56" t="n">
        <v>93.60567514677101</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1091</v>
      </c>
      <c r="D105" s="56" t="n">
        <v>248.677742375967</v>
      </c>
      <c r="E105" s="56" t="n">
        <v>721.224489795918</v>
      </c>
      <c r="F105" s="56" t="n">
        <v>36.3222576240328</v>
      </c>
      <c r="G105" s="56" t="n">
        <v>84.7755102040816</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2625</v>
      </c>
      <c r="D106" s="56" t="n">
        <v>512.442051282051</v>
      </c>
      <c r="E106" s="56" t="n">
        <v>1811.73191489362</v>
      </c>
      <c r="F106" s="56" t="n">
        <v>70.5579487179487</v>
      </c>
      <c r="G106" s="56" t="n">
        <v>230.268085106383</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https://www.statistikdatabasen.scb.se/pxweb/en/ssd/START__BE__BE0101__BE0101I/DodaFodelsearKCKM/; downloaded 2026-04-20; The deaths were only available for female/male so we distributed the numbers according to their share in the population in the respective age</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62671.39999999999</v>
      </c>
      <c r="D9" s="118" t="n">
        <v>-4257.6</v>
      </c>
      <c r="E9" s="118" t="n">
        <v>-4299.699999999999</v>
      </c>
      <c r="F9" s="118" t="n">
        <v>34318.9</v>
      </c>
      <c r="G9" s="118" t="n">
        <v>36909.8</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433.355046009118</v>
      </c>
      <c r="D17" s="83" t="n">
        <v>-29.4401025649406</v>
      </c>
      <c r="E17" s="83" t="n">
        <v>-29.7312121849105</v>
      </c>
      <c r="F17" s="83" t="n">
        <v>237.3055091873216</v>
      </c>
      <c r="G17" s="83" t="n">
        <v>255.220851571647</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521.4214273267751</v>
      </c>
      <c r="D18" s="83" t="n">
        <v>-35.4229180932052</v>
      </c>
      <c r="E18" s="83" t="n">
        <v>-35.77318698923169</v>
      </c>
      <c r="F18" s="83" t="n">
        <v>285.530717716293</v>
      </c>
      <c r="G18" s="83" t="n">
        <v>307.086814692919</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621.1420292123979</v>
      </c>
      <c r="D19" s="83" t="n">
        <v>-42.1974665249968</v>
      </c>
      <c r="E19" s="83" t="n">
        <v>-42.61472351031799</v>
      </c>
      <c r="F19" s="83" t="n">
        <v>340.137785119484</v>
      </c>
      <c r="G19" s="83" t="n">
        <v>365.816434128224</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732.5714430293029</v>
      </c>
      <c r="D20" s="83" t="n">
        <v>-49.767456540648</v>
      </c>
      <c r="E20" s="83" t="n">
        <v>-50.259567100672</v>
      </c>
      <c r="F20" s="83" t="n">
        <v>401.156605663482</v>
      </c>
      <c r="G20" s="83" t="n">
        <v>431.4418610071399</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855.3937638572039</v>
      </c>
      <c r="D21" s="83" t="n">
        <v>-58.11142704644298</v>
      </c>
      <c r="E21" s="83" t="n">
        <v>-58.686044454995</v>
      </c>
      <c r="F21" s="83" t="n">
        <v>468.41418960545</v>
      </c>
      <c r="G21" s="83" t="n">
        <v>503.777045753193</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988.8699977030449</v>
      </c>
      <c r="D22" s="83" t="n">
        <v>-67.179174268015</v>
      </c>
      <c r="E22" s="83" t="n">
        <v>-67.843455373962</v>
      </c>
      <c r="F22" s="83" t="n">
        <v>541.50586334709</v>
      </c>
      <c r="G22" s="83" t="n">
        <v>582.386763997927</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1131.799108719326</v>
      </c>
      <c r="D23" s="83" t="n">
        <v>-76.88910548166098</v>
      </c>
      <c r="E23" s="83" t="n">
        <v>-77.64940032870598</v>
      </c>
      <c r="F23" s="83" t="n">
        <v>619.773938865695</v>
      </c>
      <c r="G23" s="83" t="n">
        <v>666.563675663994</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1282.49748090044</v>
      </c>
      <c r="D24" s="83" t="n">
        <v>-87.126843738638</v>
      </c>
      <c r="E24" s="83" t="n">
        <v>-87.98837138834699</v>
      </c>
      <c r="F24" s="83" t="n">
        <v>702.2964669254879</v>
      </c>
      <c r="G24" s="83" t="n">
        <v>755.316229101934</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1438.80096367468</v>
      </c>
      <c r="D25" s="83" t="n">
        <v>-97.745366833058</v>
      </c>
      <c r="E25" s="83" t="n">
        <v>-98.71189256202999</v>
      </c>
      <c r="F25" s="83" t="n">
        <v>787.8883572451721</v>
      </c>
      <c r="G25" s="83" t="n">
        <v>847.3698658245939</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1598.09261826982</v>
      </c>
      <c r="D26" s="83" t="n">
        <v>-108.566892259396</v>
      </c>
      <c r="E26" s="83" t="n">
        <v>-109.640423395276</v>
      </c>
      <c r="F26" s="83" t="n">
        <v>875.1165724260181</v>
      </c>
      <c r="G26" s="83" t="n">
        <v>941.183361498468</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1757.35781503136</v>
      </c>
      <c r="D27" s="83" t="n">
        <v>-119.386620265025</v>
      </c>
      <c r="E27" s="83" t="n">
        <v>-120.567139034557</v>
      </c>
      <c r="F27" s="83" t="n">
        <v>962.3302992797301</v>
      </c>
      <c r="G27" s="83" t="n">
        <v>1034.981275051211</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1913.26653267202</v>
      </c>
      <c r="D28" s="83" t="n">
        <v>-129.978324873936</v>
      </c>
      <c r="E28" s="83" t="n">
        <v>-131.263576536185</v>
      </c>
      <c r="F28" s="83" t="n">
        <v>1047.706015951738</v>
      </c>
      <c r="G28" s="83" t="n">
        <v>1126.802418130401</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2062.2807059476</v>
      </c>
      <c r="D29" s="83" t="n">
        <v>-140.101646582692</v>
      </c>
      <c r="E29" s="83" t="n">
        <v>-141.486999673901</v>
      </c>
      <c r="F29" s="83" t="n">
        <v>1129.306275579367</v>
      </c>
      <c r="G29" s="83" t="n">
        <v>1214.563076624822</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2200.78242244785</v>
      </c>
      <c r="D30" s="83" t="n">
        <v>-149.510801447134</v>
      </c>
      <c r="E30" s="83" t="n">
        <v>-150.989194142768</v>
      </c>
      <c r="F30" s="83" t="n">
        <v>1205.149906939135</v>
      </c>
      <c r="G30" s="83" t="n">
        <v>1296.132511098618</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2325.216868293031</v>
      </c>
      <c r="D31" s="83" t="n">
        <v>-157.964292140345</v>
      </c>
      <c r="E31" s="83" t="n">
        <v>-159.526274642015</v>
      </c>
      <c r="F31" s="83" t="n">
        <v>1273.290291604489</v>
      </c>
      <c r="G31" s="83" t="n">
        <v>1369.417143470903</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2432.24235623398</v>
      </c>
      <c r="D32" s="83" t="n">
        <v>-165.235100155762</v>
      </c>
      <c r="E32" s="83" t="n">
        <v>-166.868977860704</v>
      </c>
      <c r="F32" s="83" t="n">
        <v>1331.897519432445</v>
      </c>
      <c r="G32" s="83" t="n">
        <v>1432.448914818006</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2518.87871004015</v>
      </c>
      <c r="D33" s="83" t="n">
        <v>-171.120766344248</v>
      </c>
      <c r="E33" s="83" t="n">
        <v>-172.812842693153</v>
      </c>
      <c r="F33" s="83" t="n">
        <v>1379.339643952372</v>
      </c>
      <c r="G33" s="83" t="n">
        <v>1483.472675125178</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2582.64485979016</v>
      </c>
      <c r="D34" s="83" t="n">
        <v>-175.4527384906449</v>
      </c>
      <c r="E34" s="83" t="n">
        <v>-177.187650246201</v>
      </c>
      <c r="F34" s="83" t="n">
        <v>1414.258029637961</v>
      </c>
      <c r="G34" s="83" t="n">
        <v>1521.02721888905</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2621.67680132087</v>
      </c>
      <c r="D35" s="83" t="n">
        <v>-178.1043849236451</v>
      </c>
      <c r="E35" s="83" t="n">
        <v>-179.865516689261</v>
      </c>
      <c r="F35" s="83" t="n">
        <v>1435.631946579317</v>
      </c>
      <c r="G35" s="83" t="n">
        <v>1544.014756354463</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2634.81809904177</v>
      </c>
      <c r="D36" s="83" t="n">
        <v>-178.997142851129</v>
      </c>
      <c r="E36" s="83" t="n">
        <v>-180.767102385616</v>
      </c>
      <c r="F36" s="83" t="n">
        <v>1442.828129883876</v>
      </c>
      <c r="G36" s="83" t="n">
        <v>1551.754214394633</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2621.67680132087</v>
      </c>
      <c r="D37" s="83" t="n">
        <v>-178.1043849236451</v>
      </c>
      <c r="E37" s="83" t="n">
        <v>-179.865516689261</v>
      </c>
      <c r="F37" s="83" t="n">
        <v>1435.631946579317</v>
      </c>
      <c r="G37" s="83" t="n">
        <v>1544.014756354463</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2582.64485979016</v>
      </c>
      <c r="D38" s="83" t="n">
        <v>-175.4527384906449</v>
      </c>
      <c r="E38" s="83" t="n">
        <v>-177.187650246201</v>
      </c>
      <c r="F38" s="83" t="n">
        <v>1414.258029637961</v>
      </c>
      <c r="G38" s="83" t="n">
        <v>1521.02721888905</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2518.87871004015</v>
      </c>
      <c r="D39" s="83" t="n">
        <v>-171.120766344248</v>
      </c>
      <c r="E39" s="83" t="n">
        <v>-172.812842693153</v>
      </c>
      <c r="F39" s="83" t="n">
        <v>1379.339643952372</v>
      </c>
      <c r="G39" s="83" t="n">
        <v>1483.472675125178</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2432.24235623398</v>
      </c>
      <c r="D40" s="83" t="n">
        <v>-165.235100155762</v>
      </c>
      <c r="E40" s="83" t="n">
        <v>-166.868977860704</v>
      </c>
      <c r="F40" s="83" t="n">
        <v>1331.897519432445</v>
      </c>
      <c r="G40" s="83" t="n">
        <v>1432.448914818006</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2325.216868293031</v>
      </c>
      <c r="D41" s="83" t="n">
        <v>-157.964292140345</v>
      </c>
      <c r="E41" s="83" t="n">
        <v>-159.526274642015</v>
      </c>
      <c r="F41" s="83" t="n">
        <v>1273.290291604489</v>
      </c>
      <c r="G41" s="83" t="n">
        <v>1369.417143470903</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2200.78242244785</v>
      </c>
      <c r="D42" s="83" t="n">
        <v>-149.510801447134</v>
      </c>
      <c r="E42" s="83" t="n">
        <v>-150.989194142768</v>
      </c>
      <c r="F42" s="83" t="n">
        <v>1205.149906939135</v>
      </c>
      <c r="G42" s="83" t="n">
        <v>1296.132511098618</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2062.2807059476</v>
      </c>
      <c r="D43" s="83" t="n">
        <v>-140.101646582692</v>
      </c>
      <c r="E43" s="83" t="n">
        <v>-141.486999673901</v>
      </c>
      <c r="F43" s="83" t="n">
        <v>1129.306275579367</v>
      </c>
      <c r="G43" s="83" t="n">
        <v>1214.563076624822</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1913.26653267202</v>
      </c>
      <c r="D44" s="83" t="n">
        <v>-129.978324873936</v>
      </c>
      <c r="E44" s="83" t="n">
        <v>-131.263576536185</v>
      </c>
      <c r="F44" s="83" t="n">
        <v>1047.706015951738</v>
      </c>
      <c r="G44" s="83" t="n">
        <v>1126.802418130401</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1757.35781503136</v>
      </c>
      <c r="D45" s="83" t="n">
        <v>-119.386620265025</v>
      </c>
      <c r="E45" s="83" t="n">
        <v>-120.567139034557</v>
      </c>
      <c r="F45" s="83" t="n">
        <v>962.3302992797301</v>
      </c>
      <c r="G45" s="83" t="n">
        <v>1034.981275051211</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1598.09261826982</v>
      </c>
      <c r="D46" s="83" t="n">
        <v>-108.566892259396</v>
      </c>
      <c r="E46" s="83" t="n">
        <v>-109.640423395276</v>
      </c>
      <c r="F46" s="83" t="n">
        <v>875.1165724260181</v>
      </c>
      <c r="G46" s="83" t="n">
        <v>941.183361498468</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1438.80096367468</v>
      </c>
      <c r="D47" s="83" t="n">
        <v>-97.745366833058</v>
      </c>
      <c r="E47" s="83" t="n">
        <v>-98.71189256202999</v>
      </c>
      <c r="F47" s="83" t="n">
        <v>787.8883572451721</v>
      </c>
      <c r="G47" s="83" t="n">
        <v>847.3698658245939</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1282.49748090044</v>
      </c>
      <c r="D48" s="83" t="n">
        <v>-87.126843738638</v>
      </c>
      <c r="E48" s="83" t="n">
        <v>-87.98837138834699</v>
      </c>
      <c r="F48" s="83" t="n">
        <v>702.2964669254879</v>
      </c>
      <c r="G48" s="83" t="n">
        <v>755.316229101934</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1131.799108719326</v>
      </c>
      <c r="D49" s="83" t="n">
        <v>-76.88910548166098</v>
      </c>
      <c r="E49" s="83" t="n">
        <v>-77.64940032870598</v>
      </c>
      <c r="F49" s="83" t="n">
        <v>619.773938865695</v>
      </c>
      <c r="G49" s="83" t="n">
        <v>666.563675663994</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988.8699977030449</v>
      </c>
      <c r="D50" s="83" t="n">
        <v>-67.179174268015</v>
      </c>
      <c r="E50" s="83" t="n">
        <v>-67.843455373962</v>
      </c>
      <c r="F50" s="83" t="n">
        <v>541.50586334709</v>
      </c>
      <c r="G50" s="83" t="n">
        <v>582.386763997927</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855.3937638572039</v>
      </c>
      <c r="D51" s="83" t="n">
        <v>-58.11142704644298</v>
      </c>
      <c r="E51" s="83" t="n">
        <v>-58.686044454995</v>
      </c>
      <c r="F51" s="83" t="n">
        <v>468.41418960545</v>
      </c>
      <c r="G51" s="83" t="n">
        <v>503.777045753193</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732.5714430293029</v>
      </c>
      <c r="D52" s="83" t="n">
        <v>-49.767456540648</v>
      </c>
      <c r="E52" s="83" t="n">
        <v>-50.259567100672</v>
      </c>
      <c r="F52" s="83" t="n">
        <v>401.156605663482</v>
      </c>
      <c r="G52" s="83" t="n">
        <v>431.4418610071399</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621.1420292123979</v>
      </c>
      <c r="D53" s="83" t="n">
        <v>-42.1974665249968</v>
      </c>
      <c r="E53" s="83" t="n">
        <v>-42.61472351031799</v>
      </c>
      <c r="F53" s="83" t="n">
        <v>340.137785119484</v>
      </c>
      <c r="G53" s="83" t="n">
        <v>365.816434128224</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521.4214273267751</v>
      </c>
      <c r="D54" s="83" t="n">
        <v>-35.4229180932052</v>
      </c>
      <c r="E54" s="83" t="n">
        <v>-35.77318698923169</v>
      </c>
      <c r="F54" s="83" t="n">
        <v>285.530717716293</v>
      </c>
      <c r="G54" s="83" t="n">
        <v>307.086814692919</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433.355046009118</v>
      </c>
      <c r="D55" s="83" t="n">
        <v>-29.4401025649406</v>
      </c>
      <c r="E55" s="83" t="n">
        <v>-29.7312121849105</v>
      </c>
      <c r="F55" s="83" t="n">
        <v>237.3055091873216</v>
      </c>
      <c r="G55" s="83" t="n">
        <v>255.220851571647</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134240</v>
      </c>
      <c r="D189" s="112" t="n">
        <v>9702</v>
      </c>
      <c r="E189" s="112" t="n">
        <v>10670</v>
      </c>
      <c r="F189" s="129" t="n">
        <v>50939</v>
      </c>
      <c r="G189" s="118" t="n">
        <v>62929</v>
      </c>
      <c r="H189" s="83">
        <f t="array" ref="H189">E189+D189</f>
        <v/>
      </c>
      <c r="I189" s="128">
        <f t="array" ref="I189">G189+F189</f>
        <v/>
      </c>
      <c r="J189" s="112" t="n">
        <v>69345</v>
      </c>
      <c r="K189" s="112" t="n">
        <v>96978</v>
      </c>
      <c r="L189" s="131" t="n"/>
    </row>
    <row r="190" ht="20.65" customHeight="1" s="206">
      <c r="A190" s="10" t="n"/>
      <c r="B190" s="127">
        <f t="array" ref="B190">$B191-1</f>
        <v/>
      </c>
      <c r="C190" s="128" t="n">
        <v>163005</v>
      </c>
      <c r="D190" s="112" t="n">
        <v>9465</v>
      </c>
      <c r="E190" s="112" t="n">
        <v>10554</v>
      </c>
      <c r="F190" s="129" t="n">
        <v>62394</v>
      </c>
      <c r="G190" s="118" t="n">
        <v>80592</v>
      </c>
      <c r="H190" s="83">
        <f t="array" ref="H190">E190+D190</f>
        <v/>
      </c>
      <c r="I190" s="128">
        <f t="array" ref="I190">G190+F190</f>
        <v/>
      </c>
      <c r="J190" s="112" t="n">
        <v>59191</v>
      </c>
      <c r="K190" s="112" t="n">
        <v>70318</v>
      </c>
      <c r="L190" s="131" t="n"/>
    </row>
    <row r="191" ht="20.65" customHeight="1" s="206">
      <c r="A191" s="10" t="n"/>
      <c r="B191" s="127">
        <f t="array" ref="B191">$B192-1</f>
        <v/>
      </c>
      <c r="C191" s="128" t="n">
        <v>144489</v>
      </c>
      <c r="D191" s="112" t="n">
        <v>9285</v>
      </c>
      <c r="E191" s="112" t="n">
        <v>10228</v>
      </c>
      <c r="F191" s="129" t="n">
        <v>57339</v>
      </c>
      <c r="G191" s="118" t="n">
        <v>67637</v>
      </c>
      <c r="H191" s="83">
        <f t="array" ref="H191">E191+D191</f>
        <v/>
      </c>
      <c r="I191" s="128">
        <f t="array" ref="I191">G191+F191</f>
        <v/>
      </c>
      <c r="J191" s="112" t="n">
        <v>52863</v>
      </c>
      <c r="K191" s="112" t="n">
        <v>58938</v>
      </c>
      <c r="L191" s="131" t="n"/>
    </row>
    <row r="192" ht="20.65" customHeight="1" s="206">
      <c r="A192" s="10" t="n"/>
      <c r="B192" s="127">
        <f t="array" ref="B192">$B193-1</f>
        <v/>
      </c>
      <c r="C192" s="128" t="n">
        <v>132602</v>
      </c>
      <c r="D192" s="112" t="n">
        <v>8719</v>
      </c>
      <c r="E192" s="112" t="n">
        <v>9452</v>
      </c>
      <c r="F192" s="129" t="n">
        <v>53435</v>
      </c>
      <c r="G192" s="118" t="n">
        <v>60996</v>
      </c>
      <c r="H192" s="83">
        <f t="array" ref="H192">E192+D192</f>
        <v/>
      </c>
      <c r="I192" s="128">
        <f t="array" ref="I192">G192+F192</f>
        <v/>
      </c>
      <c r="J192" s="112" t="n">
        <v>49456</v>
      </c>
      <c r="K192" s="112" t="n">
        <v>56177</v>
      </c>
      <c r="L192" s="131" t="n"/>
    </row>
    <row r="193" ht="20.65" customHeight="1" s="206">
      <c r="A193" s="10" t="n"/>
      <c r="B193" s="127">
        <f t="array" ref="B193">$B194-1</f>
        <v/>
      </c>
      <c r="C193" s="128" t="n">
        <v>115805</v>
      </c>
      <c r="D193" s="112" t="n">
        <v>8311</v>
      </c>
      <c r="E193" s="112" t="n">
        <v>9259</v>
      </c>
      <c r="F193" s="129" t="n">
        <v>45768</v>
      </c>
      <c r="G193" s="118" t="n">
        <v>52467</v>
      </c>
      <c r="H193" s="83">
        <f t="array" ref="H193">E193+D193</f>
        <v/>
      </c>
      <c r="I193" s="128">
        <f t="array" ref="I193">G193+F193</f>
        <v/>
      </c>
      <c r="J193" s="112" t="n">
        <v>50613</v>
      </c>
      <c r="K193" s="112" t="n">
        <v>58554</v>
      </c>
      <c r="L193" s="131" t="n"/>
    </row>
    <row r="194" ht="20.65" customHeight="1" s="206">
      <c r="A194" s="10" t="n"/>
      <c r="B194" s="127">
        <f t="array" ref="B194">$B195-1</f>
        <v/>
      </c>
      <c r="C194" s="128" t="n">
        <v>82518</v>
      </c>
      <c r="D194" s="112" t="n">
        <v>8142</v>
      </c>
      <c r="E194" s="112" t="n">
        <v>8587</v>
      </c>
      <c r="F194" s="129" t="n">
        <v>31606</v>
      </c>
      <c r="G194" s="118" t="n">
        <v>34183</v>
      </c>
      <c r="H194" s="83">
        <f t="array" ref="H194">E194+D194</f>
        <v/>
      </c>
      <c r="I194" s="128">
        <f t="array" ref="I194">G194+F194</f>
        <v/>
      </c>
      <c r="J194" s="112" t="n">
        <v>47156</v>
      </c>
      <c r="K194" s="112" t="n">
        <v>56409</v>
      </c>
      <c r="L194" s="131" t="n"/>
    </row>
    <row r="195" ht="20.65" customHeight="1" s="206">
      <c r="A195" s="10" t="n"/>
      <c r="B195" s="127">
        <f t="array" ref="B195">$B196-1</f>
        <v/>
      </c>
      <c r="C195" s="128" t="n">
        <v>90631</v>
      </c>
      <c r="D195" s="112" t="n">
        <v>7744</v>
      </c>
      <c r="E195" s="112" t="n">
        <v>8261</v>
      </c>
      <c r="F195" s="129" t="n">
        <v>36419</v>
      </c>
      <c r="G195" s="118" t="n">
        <v>38207</v>
      </c>
      <c r="H195" s="83">
        <f t="array" ref="H195">E195+D195</f>
        <v/>
      </c>
      <c r="I195" s="128">
        <f t="array" ref="I195">G195+F195</f>
        <v/>
      </c>
      <c r="J195" s="112" t="n">
        <v>50392</v>
      </c>
      <c r="K195" s="112" t="n">
        <v>68119</v>
      </c>
      <c r="L195" s="131" t="n"/>
    </row>
    <row r="196" ht="20.65" customHeight="1" s="206">
      <c r="A196" s="10" t="n"/>
      <c r="B196" s="127">
        <f t="array" ref="B196">$B197-1</f>
        <v/>
      </c>
      <c r="C196" s="128" t="n">
        <v>102436</v>
      </c>
      <c r="D196" s="112" t="n">
        <v>7685</v>
      </c>
      <c r="E196" s="112" t="n">
        <v>8020</v>
      </c>
      <c r="F196" s="129" t="n">
        <v>41186</v>
      </c>
      <c r="G196" s="118" t="n">
        <v>45545</v>
      </c>
      <c r="H196" s="83">
        <f t="array" ref="H196">E196+D196</f>
        <v/>
      </c>
      <c r="I196" s="128">
        <f t="array" ref="I196">G196+F196</f>
        <v/>
      </c>
      <c r="J196" s="112" t="n">
        <v>102165</v>
      </c>
      <c r="K196" s="112" t="n">
        <v>99457</v>
      </c>
      <c r="L196" s="131" t="n"/>
    </row>
    <row r="197" ht="20.65" customHeight="1" s="206">
      <c r="A197" s="10" t="n"/>
      <c r="B197" s="127">
        <f t="array" ref="B197">$B198-1</f>
        <v/>
      </c>
      <c r="C197" s="128" t="n">
        <v>94514</v>
      </c>
      <c r="D197" s="112" t="n">
        <v>8250</v>
      </c>
      <c r="E197" s="112" t="n">
        <v>8978</v>
      </c>
      <c r="F197" s="129" t="n">
        <v>38141</v>
      </c>
      <c r="G197" s="118" t="n">
        <v>39145</v>
      </c>
      <c r="H197" s="83">
        <f t="array" ref="H197">E197+D197</f>
        <v/>
      </c>
      <c r="I197" s="128">
        <f t="array" ref="I197">G197+F197</f>
        <v/>
      </c>
      <c r="J197" s="112" t="n">
        <v>68403</v>
      </c>
      <c r="K197" s="112" t="n">
        <v>79188</v>
      </c>
      <c r="L197" s="131" t="n"/>
    </row>
    <row r="198" ht="20.45" customHeight="1" s="206">
      <c r="A198" s="10" t="n"/>
      <c r="B198" s="127">
        <f t="array" ref="B198">$C$7</f>
        <v/>
      </c>
      <c r="C198" s="128" t="n">
        <v>116197</v>
      </c>
      <c r="D198" s="132" t="n">
        <v>8898</v>
      </c>
      <c r="E198" s="133" t="n">
        <v>10018</v>
      </c>
      <c r="F198" s="118" t="n">
        <v>51192</v>
      </c>
      <c r="G198" s="118" t="n">
        <v>46089</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55830</v>
      </c>
      <c r="D276" s="112" t="n">
        <v>11800</v>
      </c>
      <c r="E276" s="112" t="n">
        <v>12697</v>
      </c>
      <c r="F276" s="129" t="n">
        <v>13557</v>
      </c>
      <c r="G276" s="118" t="n">
        <v>17776</v>
      </c>
      <c r="H276" s="83">
        <f t="array" ref="H276">E276+D276</f>
        <v/>
      </c>
      <c r="I276" s="128">
        <f t="array" ref="I276">G276+F276</f>
        <v/>
      </c>
      <c r="J276" s="112" t="n">
        <v>24746</v>
      </c>
      <c r="K276" s="112" t="n">
        <v>31943</v>
      </c>
      <c r="L276" s="131" t="n"/>
    </row>
    <row r="277" ht="20.65" customHeight="1" s="206">
      <c r="A277" s="10" t="n"/>
      <c r="B277" s="127">
        <f t="array" ref="B277">$B278-1</f>
        <v/>
      </c>
      <c r="C277" s="128" t="n">
        <v>45878</v>
      </c>
      <c r="D277" s="112" t="n">
        <v>10781</v>
      </c>
      <c r="E277" s="112" t="n">
        <v>11644</v>
      </c>
      <c r="F277" s="129" t="n">
        <v>10299</v>
      </c>
      <c r="G277" s="118" t="n">
        <v>13154</v>
      </c>
      <c r="H277" s="83">
        <f t="array" ref="H277">E277+D277</f>
        <v/>
      </c>
      <c r="I277" s="128">
        <f t="array" ref="I277">G277+F277</f>
        <v/>
      </c>
      <c r="J277" s="112" t="n">
        <v>28284</v>
      </c>
      <c r="K277" s="112" t="n">
        <v>36144</v>
      </c>
      <c r="L277" s="131" t="n"/>
    </row>
    <row r="278" ht="20.65" customHeight="1" s="206">
      <c r="A278" s="10" t="n"/>
      <c r="B278" s="127">
        <f t="array" ref="B278">$B279-1</f>
        <v/>
      </c>
      <c r="C278" s="128" t="n">
        <v>45620</v>
      </c>
      <c r="D278" s="112" t="n">
        <v>10701</v>
      </c>
      <c r="E278" s="112" t="n">
        <v>11547</v>
      </c>
      <c r="F278" s="129" t="n">
        <v>10537</v>
      </c>
      <c r="G278" s="118" t="n">
        <v>12835</v>
      </c>
      <c r="H278" s="83">
        <f t="array" ref="H278">E278+D278</f>
        <v/>
      </c>
      <c r="I278" s="128">
        <f t="array" ref="I278">G278+F278</f>
        <v/>
      </c>
      <c r="J278" s="112" t="n">
        <v>28364</v>
      </c>
      <c r="K278" s="112" t="n">
        <v>37780</v>
      </c>
      <c r="L278" s="131" t="n"/>
    </row>
    <row r="279" ht="20.65" customHeight="1" s="206">
      <c r="A279" s="10" t="n"/>
      <c r="B279" s="127">
        <f t="array" ref="B279">$B280-1</f>
        <v/>
      </c>
      <c r="C279" s="128" t="n">
        <v>46981</v>
      </c>
      <c r="D279" s="112" t="n">
        <v>11046</v>
      </c>
      <c r="E279" s="112" t="n">
        <v>11838</v>
      </c>
      <c r="F279" s="129" t="n">
        <v>10782</v>
      </c>
      <c r="G279" s="118" t="n">
        <v>13315</v>
      </c>
      <c r="H279" s="83">
        <f t="array" ref="H279">E279+D279</f>
        <v/>
      </c>
      <c r="I279" s="128">
        <f t="array" ref="I279">G279+F279</f>
        <v/>
      </c>
      <c r="J279" s="112" t="n">
        <v>28381</v>
      </c>
      <c r="K279" s="112" t="n">
        <v>38831</v>
      </c>
      <c r="L279" s="131" t="n"/>
    </row>
    <row r="280" ht="20.65" customHeight="1" s="206">
      <c r="A280" s="10" t="n"/>
      <c r="B280" s="127">
        <f t="array" ref="B280">$B281-1</f>
        <v/>
      </c>
      <c r="C280" s="128" t="n">
        <v>47718</v>
      </c>
      <c r="D280" s="112" t="n">
        <v>11092</v>
      </c>
      <c r="E280" s="112" t="n">
        <v>11315</v>
      </c>
      <c r="F280" s="129" t="n">
        <v>11325</v>
      </c>
      <c r="G280" s="118" t="n">
        <v>13986</v>
      </c>
      <c r="H280" s="83">
        <f t="array" ref="H280">E280+D280</f>
        <v/>
      </c>
      <c r="I280" s="128">
        <f t="array" ref="I280">G280+F280</f>
        <v/>
      </c>
      <c r="J280" s="112" t="n">
        <v>28842</v>
      </c>
      <c r="K280" s="112" t="n">
        <v>39438</v>
      </c>
      <c r="L280" s="131" t="n"/>
    </row>
    <row r="281" ht="20.65" customHeight="1" s="206">
      <c r="A281" s="10" t="n"/>
      <c r="B281" s="127">
        <f t="array" ref="B281">$B282-1</f>
        <v/>
      </c>
      <c r="C281" s="128" t="n">
        <v>48937</v>
      </c>
      <c r="D281" s="112" t="n">
        <v>10818</v>
      </c>
      <c r="E281" s="112" t="n">
        <v>11377</v>
      </c>
      <c r="F281" s="129" t="n">
        <v>11789</v>
      </c>
      <c r="G281" s="118" t="n">
        <v>14953</v>
      </c>
      <c r="H281" s="83">
        <f t="array" ref="H281">E281+D281</f>
        <v/>
      </c>
      <c r="I281" s="128">
        <f t="array" ref="I281">G281+F281</f>
        <v/>
      </c>
      <c r="J281" s="112" t="n">
        <v>26795</v>
      </c>
      <c r="K281" s="112" t="n">
        <v>35786</v>
      </c>
      <c r="L281" s="131" t="n"/>
    </row>
    <row r="282" ht="20.65" customHeight="1" s="206">
      <c r="A282" s="10" t="n"/>
      <c r="B282" s="127">
        <f t="array" ref="B282">$B283-1</f>
        <v/>
      </c>
      <c r="C282" s="128" t="n">
        <v>48284</v>
      </c>
      <c r="D282" s="112" t="n">
        <v>10818</v>
      </c>
      <c r="E282" s="112" t="n">
        <v>11377</v>
      </c>
      <c r="F282" s="129" t="n">
        <v>12442</v>
      </c>
      <c r="G282" s="118" t="n">
        <v>13647</v>
      </c>
      <c r="H282" s="83">
        <f t="array" ref="H282">E282+D282</f>
        <v/>
      </c>
      <c r="I282" s="128">
        <f t="array" ref="I282">G282+F282</f>
        <v/>
      </c>
      <c r="J282" s="112" t="n">
        <v>28792</v>
      </c>
      <c r="K282" s="112" t="n">
        <v>38507</v>
      </c>
      <c r="L282" s="131" t="n"/>
    </row>
    <row r="283" ht="20.65" customHeight="1" s="206">
      <c r="A283" s="10" t="n"/>
      <c r="B283" s="127">
        <f t="array" ref="B283">$B284-1</f>
        <v/>
      </c>
      <c r="C283" s="128" t="n">
        <v>50592</v>
      </c>
      <c r="D283" s="112" t="n">
        <v>14717</v>
      </c>
      <c r="E283" s="112" t="n">
        <v>15175</v>
      </c>
      <c r="F283" s="129" t="n">
        <v>9689</v>
      </c>
      <c r="G283" s="118" t="n">
        <v>11011</v>
      </c>
      <c r="H283" s="83">
        <f t="array" ref="H283">E283+D283</f>
        <v/>
      </c>
      <c r="I283" s="128">
        <f t="array" ref="I283">G283+F283</f>
        <v/>
      </c>
      <c r="J283" s="112" t="n">
        <v>33347</v>
      </c>
      <c r="K283" s="112" t="n">
        <v>40924</v>
      </c>
      <c r="L283" s="131" t="n"/>
    </row>
    <row r="284" ht="20.65" customHeight="1" s="206">
      <c r="A284" s="10" t="n"/>
      <c r="B284" s="127">
        <f t="array" ref="B284">$B285-1</f>
        <v/>
      </c>
      <c r="C284" s="128" t="n">
        <v>73434</v>
      </c>
      <c r="D284" s="112" t="n">
        <v>18469</v>
      </c>
      <c r="E284" s="112" t="n">
        <v>19039</v>
      </c>
      <c r="F284" s="129" t="n">
        <v>15450</v>
      </c>
      <c r="G284" s="118" t="n">
        <v>20476</v>
      </c>
      <c r="H284" s="83">
        <f t="array" ref="H284">E284+D284</f>
        <v/>
      </c>
      <c r="I284" s="128">
        <f t="array" ref="I284">G284+F284</f>
        <v/>
      </c>
      <c r="J284" s="112" t="n">
        <v>33164</v>
      </c>
      <c r="K284" s="112" t="n">
        <v>40872</v>
      </c>
      <c r="L284" s="131" t="n"/>
    </row>
    <row r="285" ht="20.65" customHeight="1" s="206">
      <c r="A285" s="10" t="n"/>
      <c r="B285" s="127">
        <f t="array" ref="B285">$C$7</f>
        <v/>
      </c>
      <c r="C285" s="128" t="n">
        <v>86449</v>
      </c>
      <c r="D285" s="112" t="n">
        <v>18535</v>
      </c>
      <c r="E285" s="134" t="n">
        <v>21015</v>
      </c>
      <c r="F285" s="118" t="n">
        <v>19360</v>
      </c>
      <c r="G285" s="118" t="n">
        <v>27539</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19104</v>
      </c>
      <c r="G16" s="89" t="n">
        <v>15914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8874</v>
      </c>
      <c r="G18" s="89" t="n">
        <v>7782</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0</v>
      </c>
      <c r="G62" s="55" t="n">
        <v>0</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0</v>
      </c>
      <c r="G107" s="55" t="n">
        <v>0</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0</v>
      </c>
      <c r="G123" s="55" t="n">
        <v>0</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0</v>
      </c>
      <c r="G184" s="55" t="n">
        <v>0</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0</v>
      </c>
      <c r="G208" s="55" t="n">
        <v>0</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0</v>
      </c>
      <c r="G243" s="55" t="n">
        <v>0</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0</v>
      </c>
      <c r="G273" s="55" t="n">
        <v>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0</v>
      </c>
      <c r="G285" s="79" t="n">
        <v>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2026-05-25T15:03:33Z</dcterms:modified>
  <cp:lastModifiedBy>King Dom</cp:lastModifiedBy>
</cp:coreProperties>
</file>