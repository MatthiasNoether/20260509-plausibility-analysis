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GB</t>
        </is>
      </c>
      <c r="D11" s="177" t="n"/>
      <c r="E11" s="177" t="n"/>
      <c r="F11" s="177" t="n"/>
      <c r="G11" s="177" t="n"/>
      <c r="H11" s="177" t="n"/>
      <c r="I11" s="177" t="n"/>
      <c r="J11" s="177" t="n"/>
      <c r="K11" s="177" t="n"/>
      <c r="L11" s="13" t="n"/>
    </row>
    <row r="12" ht="20.1" customHeight="1" s="206">
      <c r="A12" s="2" t="inlineStr">
        <is>
          <t>nn</t>
        </is>
      </c>
      <c r="B12" s="23" t="inlineStr">
        <is>
          <t>Name</t>
        </is>
      </c>
      <c r="C12" s="176" t="inlineStr">
        <is>
          <t>United Kingdom of Great Britain and Northern Ireland</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17:03</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Foreign-born (born outside the UK) = Migrant; UK-born = Native</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https://www.ons.gov.uk/peoplepopulationandcommunity/populationandmigration/internationalmigration/bulletins/ukpopulationbycountryofbirthandnationality; downloaded 46125</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81.13724412550515</v>
      </c>
      <c r="D60" s="40" t="n">
        <v>83</v>
      </c>
      <c r="E60" s="40" t="n">
        <v>79.2</v>
      </c>
      <c r="F60" s="40" t="n">
        <v>83</v>
      </c>
      <c r="G60" s="40" t="n">
        <v>79.2</v>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expectancyhttps://www.ons.gov.uk/peoplepopulationandcommunity/birthsdeathsandmarriages/lifeexpectancies/bulletins/nationallifetablesunitedkingdom/2022to2024; downloaded 46125; no distinction between native/migrant available</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695775</v>
      </c>
      <c r="D9" s="56" t="n">
        <v>278389</v>
      </c>
      <c r="E9" s="56" t="n">
        <v>292147</v>
      </c>
      <c r="F9" s="56" t="n">
        <v>61110</v>
      </c>
      <c r="G9" s="56" t="n">
        <v>64129</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694461</v>
      </c>
      <c r="D10" s="56" t="n">
        <v>277827</v>
      </c>
      <c r="E10" s="56" t="n">
        <v>291631</v>
      </c>
      <c r="F10" s="56" t="n">
        <v>60986</v>
      </c>
      <c r="G10" s="56" t="n">
        <v>64017</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714364</v>
      </c>
      <c r="D11" s="56" t="n">
        <v>286011</v>
      </c>
      <c r="E11" s="56" t="n">
        <v>299767</v>
      </c>
      <c r="F11" s="56" t="n">
        <v>62783</v>
      </c>
      <c r="G11" s="56" t="n">
        <v>65803</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726641</v>
      </c>
      <c r="D12" s="56" t="n">
        <v>290443</v>
      </c>
      <c r="E12" s="56" t="n">
        <v>305403</v>
      </c>
      <c r="F12" s="56" t="n">
        <v>63756</v>
      </c>
      <c r="G12" s="56" t="n">
        <v>67039</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734371</v>
      </c>
      <c r="D13" s="56" t="n">
        <v>293973</v>
      </c>
      <c r="E13" s="56" t="n">
        <v>308211</v>
      </c>
      <c r="F13" s="56" t="n">
        <v>64531</v>
      </c>
      <c r="G13" s="56" t="n">
        <v>67656</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748086</v>
      </c>
      <c r="D14" s="56" t="n">
        <v>299466</v>
      </c>
      <c r="E14" s="56" t="n">
        <v>313965</v>
      </c>
      <c r="F14" s="56" t="n">
        <v>65736</v>
      </c>
      <c r="G14" s="56" t="n">
        <v>68919</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765068</v>
      </c>
      <c r="D15" s="56" t="n">
        <v>305795</v>
      </c>
      <c r="E15" s="56" t="n">
        <v>321561</v>
      </c>
      <c r="F15" s="56" t="n">
        <v>67125</v>
      </c>
      <c r="G15" s="56" t="n">
        <v>70587</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761540</v>
      </c>
      <c r="D16" s="56" t="n">
        <v>304706</v>
      </c>
      <c r="E16" s="56" t="n">
        <v>319757</v>
      </c>
      <c r="F16" s="56" t="n">
        <v>66887</v>
      </c>
      <c r="G16" s="56" t="n">
        <v>70190</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764884</v>
      </c>
      <c r="D17" s="56" t="n">
        <v>306078</v>
      </c>
      <c r="E17" s="56" t="n">
        <v>321127</v>
      </c>
      <c r="F17" s="56" t="n">
        <v>67188</v>
      </c>
      <c r="G17" s="56" t="n">
        <v>70491</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780332</v>
      </c>
      <c r="D18" s="56" t="n">
        <v>312093</v>
      </c>
      <c r="E18" s="56" t="n">
        <v>327779</v>
      </c>
      <c r="F18" s="56" t="n">
        <v>68508</v>
      </c>
      <c r="G18" s="56" t="n">
        <v>71952</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807081</v>
      </c>
      <c r="D19" s="56" t="n">
        <v>322939</v>
      </c>
      <c r="E19" s="56" t="n">
        <v>338867</v>
      </c>
      <c r="F19" s="56" t="n">
        <v>70889</v>
      </c>
      <c r="G19" s="56" t="n">
        <v>74386</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807287</v>
      </c>
      <c r="D20" s="56" t="n">
        <v>322627</v>
      </c>
      <c r="E20" s="56" t="n">
        <v>339348</v>
      </c>
      <c r="F20" s="56" t="n">
        <v>70821</v>
      </c>
      <c r="G20" s="56" t="n">
        <v>74491</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807253</v>
      </c>
      <c r="D21" s="56" t="n">
        <v>323178</v>
      </c>
      <c r="E21" s="56" t="n">
        <v>338769</v>
      </c>
      <c r="F21" s="56" t="n">
        <v>70942</v>
      </c>
      <c r="G21" s="56" t="n">
        <v>74364</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807808</v>
      </c>
      <c r="D22" s="56" t="n">
        <v>322929</v>
      </c>
      <c r="E22" s="56" t="n">
        <v>339474</v>
      </c>
      <c r="F22" s="56" t="n">
        <v>70886</v>
      </c>
      <c r="G22" s="56" t="n">
        <v>74519</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816008</v>
      </c>
      <c r="D23" s="56" t="n">
        <v>326683</v>
      </c>
      <c r="E23" s="56" t="n">
        <v>342444</v>
      </c>
      <c r="F23" s="56" t="n">
        <v>71711</v>
      </c>
      <c r="G23" s="56" t="n">
        <v>75170</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799542</v>
      </c>
      <c r="D24" s="56" t="n">
        <v>319336</v>
      </c>
      <c r="E24" s="56" t="n">
        <v>336288</v>
      </c>
      <c r="F24" s="56" t="n">
        <v>70098</v>
      </c>
      <c r="G24" s="56" t="n">
        <v>73820</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796984</v>
      </c>
      <c r="D25" s="56" t="n">
        <v>317869</v>
      </c>
      <c r="E25" s="56" t="n">
        <v>335658</v>
      </c>
      <c r="F25" s="56" t="n">
        <v>69776</v>
      </c>
      <c r="G25" s="56" t="n">
        <v>73681</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795453</v>
      </c>
      <c r="D26" s="56" t="n">
        <v>316497</v>
      </c>
      <c r="E26" s="56" t="n">
        <v>335774</v>
      </c>
      <c r="F26" s="56" t="n">
        <v>69475</v>
      </c>
      <c r="G26" s="56" t="n">
        <v>73707</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803495</v>
      </c>
      <c r="D27" s="56" t="n">
        <v>319763</v>
      </c>
      <c r="E27" s="56" t="n">
        <v>339103</v>
      </c>
      <c r="F27" s="56" t="n">
        <v>70192</v>
      </c>
      <c r="G27" s="56" t="n">
        <v>74437</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816395</v>
      </c>
      <c r="D28" s="56" t="n">
        <v>325054</v>
      </c>
      <c r="E28" s="56" t="n">
        <v>344390</v>
      </c>
      <c r="F28" s="56" t="n">
        <v>71353</v>
      </c>
      <c r="G28" s="56" t="n">
        <v>75598</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832575</v>
      </c>
      <c r="D29" s="56" t="n">
        <v>333930</v>
      </c>
      <c r="E29" s="56" t="n">
        <v>348782</v>
      </c>
      <c r="F29" s="56" t="n">
        <v>73302</v>
      </c>
      <c r="G29" s="56" t="n">
        <v>76561</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840210</v>
      </c>
      <c r="D30" s="56" t="n">
        <v>337282</v>
      </c>
      <c r="E30" s="56" t="n">
        <v>351690</v>
      </c>
      <c r="F30" s="56" t="n">
        <v>74038</v>
      </c>
      <c r="G30" s="56" t="n">
        <v>77200</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852303</v>
      </c>
      <c r="D31" s="56" t="n">
        <v>342427</v>
      </c>
      <c r="E31" s="56" t="n">
        <v>356461</v>
      </c>
      <c r="F31" s="56" t="n">
        <v>75167</v>
      </c>
      <c r="G31" s="56" t="n">
        <v>78248</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876623</v>
      </c>
      <c r="D32" s="56" t="n">
        <v>354059</v>
      </c>
      <c r="E32" s="56" t="n">
        <v>364772</v>
      </c>
      <c r="F32" s="56" t="n">
        <v>77720</v>
      </c>
      <c r="G32" s="56" t="n">
        <v>80072</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887182</v>
      </c>
      <c r="D33" s="56" t="n">
        <v>360645</v>
      </c>
      <c r="E33" s="56" t="n">
        <v>366844</v>
      </c>
      <c r="F33" s="56" t="n">
        <v>79166</v>
      </c>
      <c r="G33" s="56" t="n">
        <v>80527</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891149</v>
      </c>
      <c r="D34" s="56" t="n">
        <v>362929</v>
      </c>
      <c r="E34" s="56" t="n">
        <v>367813</v>
      </c>
      <c r="F34" s="56" t="n">
        <v>79667</v>
      </c>
      <c r="G34" s="56" t="n">
        <v>80740</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881209</v>
      </c>
      <c r="D35" s="56" t="n">
        <v>359300</v>
      </c>
      <c r="E35" s="56" t="n">
        <v>363291</v>
      </c>
      <c r="F35" s="56" t="n">
        <v>78871</v>
      </c>
      <c r="G35" s="56" t="n">
        <v>79747</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894888</v>
      </c>
      <c r="D36" s="56" t="n">
        <v>366735</v>
      </c>
      <c r="E36" s="56" t="n">
        <v>367073</v>
      </c>
      <c r="F36" s="56" t="n">
        <v>80503</v>
      </c>
      <c r="G36" s="56" t="n">
        <v>80577</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917886</v>
      </c>
      <c r="D37" s="56" t="n">
        <v>378250</v>
      </c>
      <c r="E37" s="56" t="n">
        <v>374417</v>
      </c>
      <c r="F37" s="56" t="n">
        <v>83030</v>
      </c>
      <c r="G37" s="56" t="n">
        <v>82189</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920449</v>
      </c>
      <c r="D38" s="56" t="n">
        <v>380833</v>
      </c>
      <c r="E38" s="56" t="n">
        <v>373935</v>
      </c>
      <c r="F38" s="56" t="n">
        <v>83598</v>
      </c>
      <c r="G38" s="56" t="n">
        <v>82083</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940759</v>
      </c>
      <c r="D39" s="56" t="n">
        <v>391586</v>
      </c>
      <c r="E39" s="56" t="n">
        <v>379836</v>
      </c>
      <c r="F39" s="56" t="n">
        <v>85958</v>
      </c>
      <c r="G39" s="56" t="n">
        <v>83379</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953369</v>
      </c>
      <c r="D40" s="56" t="n">
        <v>397484</v>
      </c>
      <c r="E40" s="56" t="n">
        <v>384279</v>
      </c>
      <c r="F40" s="56" t="n">
        <v>87252</v>
      </c>
      <c r="G40" s="56" t="n">
        <v>84354</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957523</v>
      </c>
      <c r="D41" s="56" t="n">
        <v>400340</v>
      </c>
      <c r="E41" s="56" t="n">
        <v>384829</v>
      </c>
      <c r="F41" s="56" t="n">
        <v>87879</v>
      </c>
      <c r="G41" s="56" t="n">
        <v>84475</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960946</v>
      </c>
      <c r="D42" s="56" t="n">
        <v>402514</v>
      </c>
      <c r="E42" s="56" t="n">
        <v>385462</v>
      </c>
      <c r="F42" s="56" t="n">
        <v>88356</v>
      </c>
      <c r="G42" s="56" t="n">
        <v>84614</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969805</v>
      </c>
      <c r="D43" s="56" t="n">
        <v>408093</v>
      </c>
      <c r="E43" s="56" t="n">
        <v>387147</v>
      </c>
      <c r="F43" s="56" t="n">
        <v>89581</v>
      </c>
      <c r="G43" s="56" t="n">
        <v>84984</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959139</v>
      </c>
      <c r="D44" s="56" t="n">
        <v>404190</v>
      </c>
      <c r="E44" s="56" t="n">
        <v>382304</v>
      </c>
      <c r="F44" s="56" t="n">
        <v>88725</v>
      </c>
      <c r="G44" s="56" t="n">
        <v>83920</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949018</v>
      </c>
      <c r="D45" s="56" t="n">
        <v>398537</v>
      </c>
      <c r="E45" s="56" t="n">
        <v>379658</v>
      </c>
      <c r="F45" s="56" t="n">
        <v>87483</v>
      </c>
      <c r="G45" s="56" t="n">
        <v>83340</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947737</v>
      </c>
      <c r="D46" s="56" t="n">
        <v>398521</v>
      </c>
      <c r="E46" s="56" t="n">
        <v>378623</v>
      </c>
      <c r="F46" s="56" t="n">
        <v>87480</v>
      </c>
      <c r="G46" s="56" t="n">
        <v>83113</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931956</v>
      </c>
      <c r="D47" s="56" t="n">
        <v>392370</v>
      </c>
      <c r="E47" s="56" t="n">
        <v>371834</v>
      </c>
      <c r="F47" s="56" t="n">
        <v>86130</v>
      </c>
      <c r="G47" s="56" t="n">
        <v>81622</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930237</v>
      </c>
      <c r="D48" s="56" t="n">
        <v>392043</v>
      </c>
      <c r="E48" s="56" t="n">
        <v>370751</v>
      </c>
      <c r="F48" s="56" t="n">
        <v>86058</v>
      </c>
      <c r="G48" s="56" t="n">
        <v>81385</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932237</v>
      </c>
      <c r="D49" s="56" t="n">
        <v>392385</v>
      </c>
      <c r="E49" s="56" t="n">
        <v>372049</v>
      </c>
      <c r="F49" s="56" t="n">
        <v>86134</v>
      </c>
      <c r="G49" s="56" t="n">
        <v>81669</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939682</v>
      </c>
      <c r="D50" s="56" t="n">
        <v>395778</v>
      </c>
      <c r="E50" s="56" t="n">
        <v>374761</v>
      </c>
      <c r="F50" s="56" t="n">
        <v>86878</v>
      </c>
      <c r="G50" s="56" t="n">
        <v>82265</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937117</v>
      </c>
      <c r="D51" s="56" t="n">
        <v>394180</v>
      </c>
      <c r="E51" s="56" t="n">
        <v>374256</v>
      </c>
      <c r="F51" s="56" t="n">
        <v>86527</v>
      </c>
      <c r="G51" s="56" t="n">
        <v>82154</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907439</v>
      </c>
      <c r="D52" s="56" t="n">
        <v>381117</v>
      </c>
      <c r="E52" s="56" t="n">
        <v>362983</v>
      </c>
      <c r="F52" s="56" t="n">
        <v>83660</v>
      </c>
      <c r="G52" s="56" t="n">
        <v>79679</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865702</v>
      </c>
      <c r="D53" s="56" t="n">
        <v>364010</v>
      </c>
      <c r="E53" s="56" t="n">
        <v>345866</v>
      </c>
      <c r="F53" s="56" t="n">
        <v>79905</v>
      </c>
      <c r="G53" s="56" t="n">
        <v>75921</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846501</v>
      </c>
      <c r="D54" s="56" t="n">
        <v>355295</v>
      </c>
      <c r="E54" s="56" t="n">
        <v>338836</v>
      </c>
      <c r="F54" s="56" t="n">
        <v>77991</v>
      </c>
      <c r="G54" s="56" t="n">
        <v>74379</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855588</v>
      </c>
      <c r="D55" s="56" t="n">
        <v>358402</v>
      </c>
      <c r="E55" s="56" t="n">
        <v>343180</v>
      </c>
      <c r="F55" s="56" t="n">
        <v>78674</v>
      </c>
      <c r="G55" s="56" t="n">
        <v>75332</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863638</v>
      </c>
      <c r="D56" s="56" t="n">
        <v>361610</v>
      </c>
      <c r="E56" s="56" t="n">
        <v>346573</v>
      </c>
      <c r="F56" s="56" t="n">
        <v>79378</v>
      </c>
      <c r="G56" s="56" t="n">
        <v>76077</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861454</v>
      </c>
      <c r="D57" s="56" t="n">
        <v>360639</v>
      </c>
      <c r="E57" s="56" t="n">
        <v>345753</v>
      </c>
      <c r="F57" s="56" t="n">
        <v>79165</v>
      </c>
      <c r="G57" s="56" t="n">
        <v>75897</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883497</v>
      </c>
      <c r="D58" s="56" t="n">
        <v>369784</v>
      </c>
      <c r="E58" s="56" t="n">
        <v>354684</v>
      </c>
      <c r="F58" s="56" t="n">
        <v>81172</v>
      </c>
      <c r="G58" s="56" t="n">
        <v>77857</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904118</v>
      </c>
      <c r="D59" s="56" t="n">
        <v>378322</v>
      </c>
      <c r="E59" s="56" t="n">
        <v>363055</v>
      </c>
      <c r="F59" s="56" t="n">
        <v>83046</v>
      </c>
      <c r="G59" s="56" t="n">
        <v>79695</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929709</v>
      </c>
      <c r="D60" s="56" t="n">
        <v>390187</v>
      </c>
      <c r="E60" s="56" t="n">
        <v>372174</v>
      </c>
      <c r="F60" s="56" t="n">
        <v>85651</v>
      </c>
      <c r="G60" s="56" t="n">
        <v>81697</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913370</v>
      </c>
      <c r="D61" s="56" t="n">
        <v>382536</v>
      </c>
      <c r="E61" s="56" t="n">
        <v>366427</v>
      </c>
      <c r="F61" s="56" t="n">
        <v>83971</v>
      </c>
      <c r="G61" s="56" t="n">
        <v>80436</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916369</v>
      </c>
      <c r="D62" s="56" t="n">
        <v>383259</v>
      </c>
      <c r="E62" s="56" t="n">
        <v>368164</v>
      </c>
      <c r="F62" s="56" t="n">
        <v>84130</v>
      </c>
      <c r="G62" s="56" t="n">
        <v>80816</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895783</v>
      </c>
      <c r="D63" s="56" t="n">
        <v>374647</v>
      </c>
      <c r="E63" s="56" t="n">
        <v>359895</v>
      </c>
      <c r="F63" s="56" t="n">
        <v>82240</v>
      </c>
      <c r="G63" s="56" t="n">
        <v>79001</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893882</v>
      </c>
      <c r="D64" s="56" t="n">
        <v>372786</v>
      </c>
      <c r="E64" s="56" t="n">
        <v>360197</v>
      </c>
      <c r="F64" s="56" t="n">
        <v>81831</v>
      </c>
      <c r="G64" s="56" t="n">
        <v>79068</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895129</v>
      </c>
      <c r="D65" s="56" t="n">
        <v>374515</v>
      </c>
      <c r="E65" s="56" t="n">
        <v>359491</v>
      </c>
      <c r="F65" s="56" t="n">
        <v>82210</v>
      </c>
      <c r="G65" s="56" t="n">
        <v>78913</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901647</v>
      </c>
      <c r="D66" s="56" t="n">
        <v>377173</v>
      </c>
      <c r="E66" s="56" t="n">
        <v>362178</v>
      </c>
      <c r="F66" s="56" t="n">
        <v>82794</v>
      </c>
      <c r="G66" s="56" t="n">
        <v>79502</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894393</v>
      </c>
      <c r="D67" s="56" t="n">
        <v>374458</v>
      </c>
      <c r="E67" s="56" t="n">
        <v>358944</v>
      </c>
      <c r="F67" s="56" t="n">
        <v>82198</v>
      </c>
      <c r="G67" s="56" t="n">
        <v>78793</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887206</v>
      </c>
      <c r="D68" s="56" t="n">
        <v>371251</v>
      </c>
      <c r="E68" s="56" t="n">
        <v>356258</v>
      </c>
      <c r="F68" s="56" t="n">
        <v>81494</v>
      </c>
      <c r="G68" s="56" t="n">
        <v>78203</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879351</v>
      </c>
      <c r="D69" s="56" t="n">
        <v>367996</v>
      </c>
      <c r="E69" s="56" t="n">
        <v>353072</v>
      </c>
      <c r="F69" s="56" t="n">
        <v>80780</v>
      </c>
      <c r="G69" s="56" t="n">
        <v>77503</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864961</v>
      </c>
      <c r="D70" s="56" t="n">
        <v>362039</v>
      </c>
      <c r="E70" s="56" t="n">
        <v>347229</v>
      </c>
      <c r="F70" s="56" t="n">
        <v>79472</v>
      </c>
      <c r="G70" s="56" t="n">
        <v>76221</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833129</v>
      </c>
      <c r="D71" s="56" t="n">
        <v>348834</v>
      </c>
      <c r="E71" s="56" t="n">
        <v>334332</v>
      </c>
      <c r="F71" s="56" t="n">
        <v>76573</v>
      </c>
      <c r="G71" s="56" t="n">
        <v>73390</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822183</v>
      </c>
      <c r="D72" s="56" t="n">
        <v>344901</v>
      </c>
      <c r="E72" s="56" t="n">
        <v>329289</v>
      </c>
      <c r="F72" s="56" t="n">
        <v>75710</v>
      </c>
      <c r="G72" s="56" t="n">
        <v>72283</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804032</v>
      </c>
      <c r="D73" s="56" t="n">
        <v>337612</v>
      </c>
      <c r="E73" s="56" t="n">
        <v>321694</v>
      </c>
      <c r="F73" s="56" t="n">
        <v>74110</v>
      </c>
      <c r="G73" s="56" t="n">
        <v>70616</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780096</v>
      </c>
      <c r="D74" s="56" t="n">
        <v>328164</v>
      </c>
      <c r="E74" s="56" t="n">
        <v>311515</v>
      </c>
      <c r="F74" s="56" t="n">
        <v>72036</v>
      </c>
      <c r="G74" s="56" t="n">
        <v>68381</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756733</v>
      </c>
      <c r="D75" s="56" t="n">
        <v>319079</v>
      </c>
      <c r="E75" s="56" t="n">
        <v>301442</v>
      </c>
      <c r="F75" s="56" t="n">
        <v>70042</v>
      </c>
      <c r="G75" s="56" t="n">
        <v>66170</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735080</v>
      </c>
      <c r="D76" s="56" t="n">
        <v>311141</v>
      </c>
      <c r="E76" s="56" t="n">
        <v>291625</v>
      </c>
      <c r="F76" s="56" t="n">
        <v>68299</v>
      </c>
      <c r="G76" s="56" t="n">
        <v>64015</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727277</v>
      </c>
      <c r="D77" s="56" t="n">
        <v>308787</v>
      </c>
      <c r="E77" s="56" t="n">
        <v>287580</v>
      </c>
      <c r="F77" s="56" t="n">
        <v>67783</v>
      </c>
      <c r="G77" s="56" t="n">
        <v>63127</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708911</v>
      </c>
      <c r="D78" s="56" t="n">
        <v>301166</v>
      </c>
      <c r="E78" s="56" t="n">
        <v>280141</v>
      </c>
      <c r="F78" s="56" t="n">
        <v>66110</v>
      </c>
      <c r="G78" s="56" t="n">
        <v>61494</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683461</v>
      </c>
      <c r="D79" s="56" t="n">
        <v>291669</v>
      </c>
      <c r="E79" s="56" t="n">
        <v>268769</v>
      </c>
      <c r="F79" s="56" t="n">
        <v>64025</v>
      </c>
      <c r="G79" s="56" t="n">
        <v>58998</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671978</v>
      </c>
      <c r="D80" s="56" t="n">
        <v>287007</v>
      </c>
      <c r="E80" s="56" t="n">
        <v>264015</v>
      </c>
      <c r="F80" s="56" t="n">
        <v>63002</v>
      </c>
      <c r="G80" s="56" t="n">
        <v>57954</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662590</v>
      </c>
      <c r="D81" s="56" t="n">
        <v>284429</v>
      </c>
      <c r="E81" s="56" t="n">
        <v>258895</v>
      </c>
      <c r="F81" s="56" t="n">
        <v>62435</v>
      </c>
      <c r="G81" s="56" t="n">
        <v>56831</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660734</v>
      </c>
      <c r="D82" s="56" t="n">
        <v>284041</v>
      </c>
      <c r="E82" s="56" t="n">
        <v>257761</v>
      </c>
      <c r="F82" s="56" t="n">
        <v>62350</v>
      </c>
      <c r="G82" s="56" t="n">
        <v>56582</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671004</v>
      </c>
      <c r="D83" s="56" t="n">
        <v>289796</v>
      </c>
      <c r="E83" s="56" t="n">
        <v>260427</v>
      </c>
      <c r="F83" s="56" t="n">
        <v>63614</v>
      </c>
      <c r="G83" s="56" t="n">
        <v>57167</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691314</v>
      </c>
      <c r="D84" s="56" t="n">
        <v>299343</v>
      </c>
      <c r="E84" s="56" t="n">
        <v>267534</v>
      </c>
      <c r="F84" s="56" t="n">
        <v>65710</v>
      </c>
      <c r="G84" s="56" t="n">
        <v>58727</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557883</v>
      </c>
      <c r="D85" s="56" t="n">
        <v>242973</v>
      </c>
      <c r="E85" s="56" t="n">
        <v>214491</v>
      </c>
      <c r="F85" s="56" t="n">
        <v>53336</v>
      </c>
      <c r="G85" s="56" t="n">
        <v>47083</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528747</v>
      </c>
      <c r="D86" s="56" t="n">
        <v>232063</v>
      </c>
      <c r="E86" s="56" t="n">
        <v>201510</v>
      </c>
      <c r="F86" s="56" t="n">
        <v>50940</v>
      </c>
      <c r="G86" s="56" t="n">
        <v>44234</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516361</v>
      </c>
      <c r="D87" s="56" t="n">
        <v>227551</v>
      </c>
      <c r="E87" s="56" t="n">
        <v>195865</v>
      </c>
      <c r="F87" s="56" t="n">
        <v>49950</v>
      </c>
      <c r="G87" s="56" t="n">
        <v>42995</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476827</v>
      </c>
      <c r="D88" s="56" t="n">
        <v>212180</v>
      </c>
      <c r="E88" s="56" t="n">
        <v>178818</v>
      </c>
      <c r="F88" s="56" t="n">
        <v>46576</v>
      </c>
      <c r="G88" s="56" t="n">
        <v>39253</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426504</v>
      </c>
      <c r="D89" s="56" t="n">
        <v>191737</v>
      </c>
      <c r="E89" s="56" t="n">
        <v>157996</v>
      </c>
      <c r="F89" s="56" t="n">
        <v>42089</v>
      </c>
      <c r="G89" s="56" t="n">
        <v>34682</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385046</v>
      </c>
      <c r="D90" s="56" t="n">
        <v>174847</v>
      </c>
      <c r="E90" s="56" t="n">
        <v>140891</v>
      </c>
      <c r="F90" s="56" t="n">
        <v>38381</v>
      </c>
      <c r="G90" s="56" t="n">
        <v>30927</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381317</v>
      </c>
      <c r="D91" s="56" t="n">
        <v>174633</v>
      </c>
      <c r="E91" s="56" t="n">
        <v>138047</v>
      </c>
      <c r="F91" s="56" t="n">
        <v>38334</v>
      </c>
      <c r="G91" s="56" t="n">
        <v>30303</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366545</v>
      </c>
      <c r="D92" s="56" t="n">
        <v>169064</v>
      </c>
      <c r="E92" s="56" t="n">
        <v>131503</v>
      </c>
      <c r="F92" s="56" t="n">
        <v>37112</v>
      </c>
      <c r="G92" s="56" t="n">
        <v>28866</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349567</v>
      </c>
      <c r="D93" s="56" t="n">
        <v>162766</v>
      </c>
      <c r="E93" s="56" t="n">
        <v>123879</v>
      </c>
      <c r="F93" s="56" t="n">
        <v>35729</v>
      </c>
      <c r="G93" s="56" t="n">
        <v>27193</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330349</v>
      </c>
      <c r="D94" s="56" t="n">
        <v>155331</v>
      </c>
      <c r="E94" s="56" t="n">
        <v>115555</v>
      </c>
      <c r="F94" s="56" t="n">
        <v>34097</v>
      </c>
      <c r="G94" s="56" t="n">
        <v>25366</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269634</v>
      </c>
      <c r="D95" s="56" t="n">
        <v>128862</v>
      </c>
      <c r="E95" s="56" t="n">
        <v>92238</v>
      </c>
      <c r="F95" s="56" t="n">
        <v>28287</v>
      </c>
      <c r="G95" s="56" t="n">
        <v>20247</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238634</v>
      </c>
      <c r="D96" s="56" t="n">
        <v>115591</v>
      </c>
      <c r="E96" s="56" t="n">
        <v>80089</v>
      </c>
      <c r="F96" s="56" t="n">
        <v>25373</v>
      </c>
      <c r="G96" s="56" t="n">
        <v>17581</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207731</v>
      </c>
      <c r="D97" s="56" t="n">
        <v>102270</v>
      </c>
      <c r="E97" s="56" t="n">
        <v>68069</v>
      </c>
      <c r="F97" s="56" t="n">
        <v>22450</v>
      </c>
      <c r="G97" s="56" t="n">
        <v>14942</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177062</v>
      </c>
      <c r="D98" s="56" t="n">
        <v>88701</v>
      </c>
      <c r="E98" s="56" t="n">
        <v>56490</v>
      </c>
      <c r="F98" s="56" t="n">
        <v>19471</v>
      </c>
      <c r="G98" s="56" t="n">
        <v>12400</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147872</v>
      </c>
      <c r="D99" s="56" t="n">
        <v>75433</v>
      </c>
      <c r="E99" s="56" t="n">
        <v>45822</v>
      </c>
      <c r="F99" s="56" t="n">
        <v>16559</v>
      </c>
      <c r="G99" s="56" t="n">
        <v>10058</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120565</v>
      </c>
      <c r="D100" s="56" t="n">
        <v>62845</v>
      </c>
      <c r="E100" s="56" t="n">
        <v>36018</v>
      </c>
      <c r="F100" s="56" t="n">
        <v>13796</v>
      </c>
      <c r="G100" s="56" t="n">
        <v>7906</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101011</v>
      </c>
      <c r="D101" s="56" t="n">
        <v>53800</v>
      </c>
      <c r="E101" s="56" t="n">
        <v>29029</v>
      </c>
      <c r="F101" s="56" t="n">
        <v>11810</v>
      </c>
      <c r="G101" s="56" t="n">
        <v>6372</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80150</v>
      </c>
      <c r="D102" s="56" t="n">
        <v>43519</v>
      </c>
      <c r="E102" s="56" t="n">
        <v>22204</v>
      </c>
      <c r="F102" s="56" t="n">
        <v>9553</v>
      </c>
      <c r="G102" s="56" t="n">
        <v>4874</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61837</v>
      </c>
      <c r="D103" s="56" t="n">
        <v>34232</v>
      </c>
      <c r="E103" s="56" t="n">
        <v>16474</v>
      </c>
      <c r="F103" s="56" t="n">
        <v>7515</v>
      </c>
      <c r="G103" s="56" t="n">
        <v>3616</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46767</v>
      </c>
      <c r="D104" s="56" t="n">
        <v>26434</v>
      </c>
      <c r="E104" s="56" t="n">
        <v>11915</v>
      </c>
      <c r="F104" s="56" t="n">
        <v>5803</v>
      </c>
      <c r="G104" s="56" t="n">
        <v>2615</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34118</v>
      </c>
      <c r="D105" s="56" t="n">
        <v>19751</v>
      </c>
      <c r="E105" s="56" t="n">
        <v>8226</v>
      </c>
      <c r="F105" s="56" t="n">
        <v>4335</v>
      </c>
      <c r="G105" s="56" t="n">
        <v>1806</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24014</v>
      </c>
      <c r="D106" s="56" t="n">
        <v>14210</v>
      </c>
      <c r="E106" s="56" t="n">
        <v>5481</v>
      </c>
      <c r="F106" s="56" t="n">
        <v>3120</v>
      </c>
      <c r="G106" s="56" t="n">
        <v>1203</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16203</v>
      </c>
      <c r="D107" s="56" t="n">
        <v>9847</v>
      </c>
      <c r="E107" s="56" t="n">
        <v>3439</v>
      </c>
      <c r="F107" s="56" t="n">
        <v>2162</v>
      </c>
      <c r="G107" s="56" t="n">
        <v>755</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27166</v>
      </c>
      <c r="D108" s="56" t="n">
        <v>17424</v>
      </c>
      <c r="E108" s="56" t="n">
        <v>4852</v>
      </c>
      <c r="F108" s="56" t="n">
        <v>3825</v>
      </c>
      <c r="G108" s="56" t="n">
        <v>1065</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69486996</v>
      </c>
      <c r="D109" s="55" t="n">
        <v>29048126</v>
      </c>
      <c r="E109" s="55" t="n">
        <v>27931209</v>
      </c>
      <c r="F109" s="55" t="n">
        <v>6376420</v>
      </c>
      <c r="G109" s="55" t="n">
        <v>6131241</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https://www.ons.gov.uk/peoplepopulationandcommunity/populationandmigration/populationestimates/bulletins/provisionalpopulationestimatefortheuk/mid2025; downloaded 46125</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c r="D7" s="69" t="n">
        <v>0.7514320919275909</v>
      </c>
      <c r="E7" s="68" t="n">
        <v>0.7885679080724091</v>
      </c>
      <c r="F7" s="69" t="n">
        <v>0.9905325018564504</v>
      </c>
      <c r="G7" s="68" t="n">
        <v>1.039467498143549</v>
      </c>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f t="array" ref="C11">H11+I11</f>
        <v/>
      </c>
      <c r="D11" s="55">
        <f t="array" ref="D11">(D8+F8)*D10/C10</f>
        <v/>
      </c>
      <c r="E11" s="55">
        <f t="array" ref="E11">(E8+G8)*D10/C10</f>
        <v/>
      </c>
      <c r="F11" s="55">
        <f t="array" ref="F11">(D8+F8)*F10/C10</f>
        <v/>
      </c>
      <c r="G11" s="55">
        <f t="array" ref="G11">(E8+G8)*F10/C10</f>
        <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https://www.ons.gov.uk/peoplepopulationandcommunity/birthsdeathsandmarriages/livebirths/bulletins/parentscountryofbirthenglandandwales/2021; downloaded 46155</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f t="array" ref="C22">D22+E22+F22+G22</f>
        <v/>
      </c>
      <c r="D22" s="55">
        <f t="array" ref="D22">D$11*$H22/$H$57</f>
        <v/>
      </c>
      <c r="E22" s="55">
        <f t="array" ref="E22">E$11*$H22/$H$57</f>
        <v/>
      </c>
      <c r="F22" s="55">
        <f t="array" ref="F22">F$11*$I22/$I$57</f>
        <v/>
      </c>
      <c r="G22" s="55">
        <f t="array" ref="G22">G$11*$I22/$I$57</f>
        <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4811.087787044706</v>
      </c>
      <c r="D23" s="55" t="n">
        <v>1924.981377525189</v>
      </c>
      <c r="E23" s="55" t="n">
        <v>2020.114065210377</v>
      </c>
      <c r="F23" s="55" t="n">
        <v>422.5584056143178</v>
      </c>
      <c r="G23" s="55" t="n">
        <v>443.4339386948222</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5788.796701498398</v>
      </c>
      <c r="D24" s="55" t="n">
        <v>2316.175954774801</v>
      </c>
      <c r="E24" s="55" t="n">
        <v>2430.64150041702</v>
      </c>
      <c r="F24" s="55" t="n">
        <v>508.4306944465769</v>
      </c>
      <c r="G24" s="55" t="n">
        <v>533.5485518599988</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6895.890236619146</v>
      </c>
      <c r="D25" s="55" t="n">
        <v>2759.139070938403</v>
      </c>
      <c r="E25" s="55" t="n">
        <v>2895.49587863544</v>
      </c>
      <c r="F25" s="55" t="n">
        <v>605.6668497140541</v>
      </c>
      <c r="G25" s="55" t="n">
        <v>635.5884373312482</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8132.974463211488</v>
      </c>
      <c r="D26" s="55" t="n">
        <v>3254.113223152575</v>
      </c>
      <c r="E26" s="55" t="n">
        <v>3414.931681224313</v>
      </c>
      <c r="F26" s="55" t="n">
        <v>714.320102686722</v>
      </c>
      <c r="G26" s="55" t="n">
        <v>749.6094561478775</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9496.542219381499</v>
      </c>
      <c r="D27" s="55" t="n">
        <v>3799.695148447984</v>
      </c>
      <c r="E27" s="55" t="n">
        <v>3987.476295879626</v>
      </c>
      <c r="F27" s="55" t="n">
        <v>834.0824189233638</v>
      </c>
      <c r="G27" s="55" t="n">
        <v>875.2883561305252</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10978.38922781096</v>
      </c>
      <c r="D28" s="55" t="n">
        <v>4392.602204363575</v>
      </c>
      <c r="E28" s="55" t="n">
        <v>4609.684851765714</v>
      </c>
      <c r="F28" s="55" t="n">
        <v>964.2332157831599</v>
      </c>
      <c r="G28" s="55" t="n">
        <v>1011.868955898515</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12565.18164376712</v>
      </c>
      <c r="D29" s="55" t="n">
        <v>5027.499339048806</v>
      </c>
      <c r="E29" s="55" t="n">
        <v>5275.958638470241</v>
      </c>
      <c r="F29" s="55" t="n">
        <v>1103.601380116573</v>
      </c>
      <c r="G29" s="55" t="n">
        <v>1158.122286131495</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14238.22803979969</v>
      </c>
      <c r="D30" s="55" t="n">
        <v>5696.907859253058</v>
      </c>
      <c r="E30" s="55" t="n">
        <v>5978.449365302519</v>
      </c>
      <c r="F30" s="55" t="n">
        <v>1250.545241654499</v>
      </c>
      <c r="G30" s="55" t="n">
        <v>1312.325573589615</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15973.50211580961</v>
      </c>
      <c r="D31" s="55" t="n">
        <v>6391.214516931653</v>
      </c>
      <c r="E31" s="55" t="n">
        <v>6707.068696960123</v>
      </c>
      <c r="F31" s="55" t="n">
        <v>1402.954567636269</v>
      </c>
      <c r="G31" s="55" t="n">
        <v>1472.264334281563</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17741.95073792318</v>
      </c>
      <c r="D32" s="55" t="n">
        <v>7098.79475977104</v>
      </c>
      <c r="E32" s="55" t="n">
        <v>7449.617595101926</v>
      </c>
      <c r="F32" s="55" t="n">
        <v>1558.277617900162</v>
      </c>
      <c r="G32" s="55" t="n">
        <v>1635.260765150049</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19510.1056263853</v>
      </c>
      <c r="D33" s="55" t="n">
        <v>7806.257475798609</v>
      </c>
      <c r="E33" s="55" t="n">
        <v>8192.043158250275</v>
      </c>
      <c r="F33" s="55" t="n">
        <v>1713.574869502936</v>
      </c>
      <c r="G33" s="55" t="n">
        <v>1798.230122833477</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21240.99703804091</v>
      </c>
      <c r="D34" s="55" t="n">
        <v>8498.810570117021</v>
      </c>
      <c r="E34" s="55" t="n">
        <v>8918.822265348046</v>
      </c>
      <c r="F34" s="55" t="n">
        <v>1865.599265559527</v>
      </c>
      <c r="G34" s="55" t="n">
        <v>1957.764937016313</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22895.34553529503</v>
      </c>
      <c r="D35" s="55" t="n">
        <v>9160.737807804602</v>
      </c>
      <c r="E35" s="55" t="n">
        <v>9613.461984261918</v>
      </c>
      <c r="F35" s="55" t="n">
        <v>2010.900888450834</v>
      </c>
      <c r="G35" s="55" t="n">
        <v>2110.244854777672</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24432.98522098839</v>
      </c>
      <c r="D36" s="55" t="n">
        <v>9775.96826946317</v>
      </c>
      <c r="E36" s="55" t="n">
        <v>10259.09716985533</v>
      </c>
      <c r="F36" s="55" t="n">
        <v>2145.951962710072</v>
      </c>
      <c r="G36" s="55" t="n">
        <v>2251.967818959814</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25814.45071494466</v>
      </c>
      <c r="D37" s="55" t="n">
        <v>10328.71132202613</v>
      </c>
      <c r="E37" s="55" t="n">
        <v>10839.15681508956</v>
      </c>
      <c r="F37" s="55" t="n">
        <v>2267.286239359374</v>
      </c>
      <c r="G37" s="55" t="n">
        <v>2379.2963384696</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27002.64275903689</v>
      </c>
      <c r="D38" s="55" t="n">
        <v>10804.12304990194</v>
      </c>
      <c r="E38" s="55" t="n">
        <v>11338.06341723165</v>
      </c>
      <c r="F38" s="55" t="n">
        <v>2371.645286198475</v>
      </c>
      <c r="G38" s="55" t="n">
        <v>2488.811005704827</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27964.47557383728</v>
      </c>
      <c r="D39" s="55" t="n">
        <v>11188.96538467894</v>
      </c>
      <c r="E39" s="55" t="n">
        <v>11741.92468178626</v>
      </c>
      <c r="F39" s="55" t="n">
        <v>2456.123175332825</v>
      </c>
      <c r="G39" s="55" t="n">
        <v>2577.462332039252</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28672.40443520493</v>
      </c>
      <c r="D40" s="55" t="n">
        <v>11472.21730920523</v>
      </c>
      <c r="E40" s="55" t="n">
        <v>12039.1749323155</v>
      </c>
      <c r="F40" s="55" t="n">
        <v>2518.300650404762</v>
      </c>
      <c r="G40" s="55" t="n">
        <v>2642.711543279447</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29105.73525466209</v>
      </c>
      <c r="D41" s="55" t="n">
        <v>11645.59883843214</v>
      </c>
      <c r="E41" s="55" t="n">
        <v>12221.12498644499</v>
      </c>
      <c r="F41" s="55" t="n">
        <v>2556.360147191836</v>
      </c>
      <c r="G41" s="55" t="n">
        <v>2682.651282593115</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29251.62933747745</v>
      </c>
      <c r="D42" s="55" t="n">
        <v>11703.97303673028</v>
      </c>
      <c r="E42" s="55" t="n">
        <v>12282.38404089831</v>
      </c>
      <c r="F42" s="55" t="n">
        <v>2569.174041627318</v>
      </c>
      <c r="G42" s="55" t="n">
        <v>2696.098218221539</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29105.73525466209</v>
      </c>
      <c r="D43" s="55" t="n">
        <v>11645.59883843214</v>
      </c>
      <c r="E43" s="55" t="n">
        <v>12221.12498644499</v>
      </c>
      <c r="F43" s="55" t="n">
        <v>2556.360147191836</v>
      </c>
      <c r="G43" s="55" t="n">
        <v>2682.651282593115</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28672.40443520493</v>
      </c>
      <c r="D44" s="55" t="n">
        <v>11472.21730920523</v>
      </c>
      <c r="E44" s="55" t="n">
        <v>12039.1749323155</v>
      </c>
      <c r="F44" s="55" t="n">
        <v>2518.300650404762</v>
      </c>
      <c r="G44" s="55" t="n">
        <v>2642.711543279447</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27964.47557383728</v>
      </c>
      <c r="D45" s="55" t="n">
        <v>11188.96538467894</v>
      </c>
      <c r="E45" s="55" t="n">
        <v>11741.92468178626</v>
      </c>
      <c r="F45" s="55" t="n">
        <v>2456.123175332825</v>
      </c>
      <c r="G45" s="55" t="n">
        <v>2577.462332039252</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27002.64275903689</v>
      </c>
      <c r="D46" s="55" t="n">
        <v>10804.12304990194</v>
      </c>
      <c r="E46" s="55" t="n">
        <v>11338.06341723165</v>
      </c>
      <c r="F46" s="55" t="n">
        <v>2371.645286198475</v>
      </c>
      <c r="G46" s="55" t="n">
        <v>2488.811005704827</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25814.45071494466</v>
      </c>
      <c r="D47" s="55" t="n">
        <v>10328.71132202613</v>
      </c>
      <c r="E47" s="55" t="n">
        <v>10839.15681508956</v>
      </c>
      <c r="F47" s="55" t="n">
        <v>2267.286239359374</v>
      </c>
      <c r="G47" s="55" t="n">
        <v>2379.2963384696</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24432.98522098839</v>
      </c>
      <c r="D48" s="55" t="n">
        <v>9775.96826946317</v>
      </c>
      <c r="E48" s="55" t="n">
        <v>10259.09716985533</v>
      </c>
      <c r="F48" s="55" t="n">
        <v>2145.951962710072</v>
      </c>
      <c r="G48" s="55" t="n">
        <v>2251.967818959814</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22895.34553529503</v>
      </c>
      <c r="D49" s="55" t="n">
        <v>9160.737807804602</v>
      </c>
      <c r="E49" s="55" t="n">
        <v>9613.461984261918</v>
      </c>
      <c r="F49" s="55" t="n">
        <v>2010.900888450834</v>
      </c>
      <c r="G49" s="55" t="n">
        <v>2110.244854777672</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21240.99703804091</v>
      </c>
      <c r="D50" s="55" t="n">
        <v>8498.810570117021</v>
      </c>
      <c r="E50" s="55" t="n">
        <v>8918.822265348046</v>
      </c>
      <c r="F50" s="55" t="n">
        <v>1865.599265559527</v>
      </c>
      <c r="G50" s="55" t="n">
        <v>1957.764937016313</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19510.1056263853</v>
      </c>
      <c r="D51" s="55" t="n">
        <v>7806.257475798609</v>
      </c>
      <c r="E51" s="55" t="n">
        <v>8192.043158250275</v>
      </c>
      <c r="F51" s="55" t="n">
        <v>1713.574869502936</v>
      </c>
      <c r="G51" s="55" t="n">
        <v>1798.230122833477</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17741.95073792318</v>
      </c>
      <c r="D52" s="55" t="n">
        <v>7098.79475977104</v>
      </c>
      <c r="E52" s="55" t="n">
        <v>7449.617595101926</v>
      </c>
      <c r="F52" s="55" t="n">
        <v>1558.277617900162</v>
      </c>
      <c r="G52" s="55" t="n">
        <v>1635.260765150049</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15973.50211580961</v>
      </c>
      <c r="D53" s="55" t="n">
        <v>6391.214516931653</v>
      </c>
      <c r="E53" s="55" t="n">
        <v>6707.068696960123</v>
      </c>
      <c r="F53" s="55" t="n">
        <v>1402.954567636269</v>
      </c>
      <c r="G53" s="55" t="n">
        <v>1472.264334281563</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14238.22803979969</v>
      </c>
      <c r="D54" s="55" t="n">
        <v>5696.907859253058</v>
      </c>
      <c r="E54" s="55" t="n">
        <v>5978.449365302519</v>
      </c>
      <c r="F54" s="55" t="n">
        <v>1250.545241654499</v>
      </c>
      <c r="G54" s="55" t="n">
        <v>1312.325573589615</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12565.18164376712</v>
      </c>
      <c r="D55" s="55" t="n">
        <v>5027.499339048806</v>
      </c>
      <c r="E55" s="55" t="n">
        <v>5275.958638470241</v>
      </c>
      <c r="F55" s="55" t="n">
        <v>1103.601380116573</v>
      </c>
      <c r="G55" s="55" t="n">
        <v>1158.122286131495</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10978.38922781096</v>
      </c>
      <c r="D56" s="55" t="n">
        <v>4392.602204363575</v>
      </c>
      <c r="E56" s="55" t="n">
        <v>4609.684851765714</v>
      </c>
      <c r="F56" s="55" t="n">
        <v>964.2332157831599</v>
      </c>
      <c r="G56" s="55" t="n">
        <v>1011.868955898515</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2445</v>
      </c>
      <c r="D7" s="56" t="n">
        <v>880.6794305726968</v>
      </c>
      <c r="E7" s="56" t="n">
        <v>1124.22261673534</v>
      </c>
      <c r="F7" s="56" t="n">
        <v>193.3205694273032</v>
      </c>
      <c r="G7" s="56" t="n">
        <v>246.77738326466</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132</v>
      </c>
      <c r="D8" s="56" t="n">
        <v>50.02006121370786</v>
      </c>
      <c r="E8" s="56" t="n">
        <v>58.21992813118589</v>
      </c>
      <c r="F8" s="56" t="n">
        <v>10.97993878629214</v>
      </c>
      <c r="G8" s="56" t="n">
        <v>12.78007186881411</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91</v>
      </c>
      <c r="D9" s="56" t="n">
        <v>31.979991054892</v>
      </c>
      <c r="E9" s="56" t="n">
        <v>42.63994310255218</v>
      </c>
      <c r="F9" s="56" t="n">
        <v>7.020008945108001</v>
      </c>
      <c r="G9" s="56" t="n">
        <v>9.360056897447821</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60</v>
      </c>
      <c r="D10" s="56" t="n">
        <v>20.49998729527751</v>
      </c>
      <c r="E10" s="56" t="n">
        <v>28.70005262564372</v>
      </c>
      <c r="F10" s="56" t="n">
        <v>4.500012704722486</v>
      </c>
      <c r="G10" s="56" t="n">
        <v>6.299947374356275</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64</v>
      </c>
      <c r="D11" s="56" t="n">
        <v>25.41997578827572</v>
      </c>
      <c r="E11" s="56" t="n">
        <v>27.0600052678208</v>
      </c>
      <c r="F11" s="56" t="n">
        <v>5.580024211724276</v>
      </c>
      <c r="G11" s="56" t="n">
        <v>5.939994732179201</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59</v>
      </c>
      <c r="D12" s="56" t="n">
        <v>24.60002957267485</v>
      </c>
      <c r="E12" s="56" t="n">
        <v>23.78000908891466</v>
      </c>
      <c r="F12" s="56" t="n">
        <v>5.399970427325152</v>
      </c>
      <c r="G12" s="56" t="n">
        <v>5.219990911085342</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53</v>
      </c>
      <c r="D13" s="56" t="n">
        <v>16.40003217848332</v>
      </c>
      <c r="E13" s="56" t="n">
        <v>27.05996970531534</v>
      </c>
      <c r="F13" s="56" t="n">
        <v>3.599967821516679</v>
      </c>
      <c r="G13" s="56" t="n">
        <v>5.94003029468466</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43</v>
      </c>
      <c r="D14" s="56" t="n">
        <v>17.2199853065047</v>
      </c>
      <c r="E14" s="56" t="n">
        <v>18.04002595224479</v>
      </c>
      <c r="F14" s="56" t="n">
        <v>3.780014693495303</v>
      </c>
      <c r="G14" s="56" t="n">
        <v>3.959974047755208</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49.99999999999999</v>
      </c>
      <c r="D15" s="56" t="n">
        <v>17.21999324878237</v>
      </c>
      <c r="E15" s="56" t="n">
        <v>23.78001777242108</v>
      </c>
      <c r="F15" s="56" t="n">
        <v>3.780006751217631</v>
      </c>
      <c r="G15" s="56" t="n">
        <v>5.219982227578917</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39</v>
      </c>
      <c r="D16" s="56" t="n">
        <v>13.12000756697959</v>
      </c>
      <c r="E16" s="56" t="n">
        <v>18.85997583374819</v>
      </c>
      <c r="F16" s="56" t="n">
        <v>2.879992433020407</v>
      </c>
      <c r="G16" s="56" t="n">
        <v>4.140024166251805</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40</v>
      </c>
      <c r="D17" s="56" t="n">
        <v>18.040002234478</v>
      </c>
      <c r="E17" s="56" t="n">
        <v>14.75997996384781</v>
      </c>
      <c r="F17" s="56" t="n">
        <v>3.959997765522004</v>
      </c>
      <c r="G17" s="56" t="n">
        <v>3.240020036152188</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49</v>
      </c>
      <c r="D18" s="56" t="n">
        <v>15.57998261523759</v>
      </c>
      <c r="E18" s="56" t="n">
        <v>24.60000144983919</v>
      </c>
      <c r="F18" s="56" t="n">
        <v>3.420017384762408</v>
      </c>
      <c r="G18" s="56" t="n">
        <v>5.399998550160811</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66</v>
      </c>
      <c r="D19" s="56" t="n">
        <v>21.31997361209784</v>
      </c>
      <c r="E19" s="56" t="n">
        <v>32.79999419073277</v>
      </c>
      <c r="F19" s="56" t="n">
        <v>4.680026387902162</v>
      </c>
      <c r="G19" s="56" t="n">
        <v>7.200005809267234</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75</v>
      </c>
      <c r="D20" s="56" t="n">
        <v>22.96004976956185</v>
      </c>
      <c r="E20" s="56" t="n">
        <v>38.5399704825927</v>
      </c>
      <c r="F20" s="56" t="n">
        <v>5.03995023043815</v>
      </c>
      <c r="G20" s="56" t="n">
        <v>8.4600295174073</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87</v>
      </c>
      <c r="D21" s="56" t="n">
        <v>31.15999236936299</v>
      </c>
      <c r="E21" s="56" t="n">
        <v>40.18006101328021</v>
      </c>
      <c r="F21" s="56" t="n">
        <v>6.840007630637007</v>
      </c>
      <c r="G21" s="56" t="n">
        <v>8.819938986719794</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101</v>
      </c>
      <c r="D22" s="56" t="n">
        <v>29.52001109302218</v>
      </c>
      <c r="E22" s="56" t="n">
        <v>53.29991124289212</v>
      </c>
      <c r="F22" s="56" t="n">
        <v>6.479988906977819</v>
      </c>
      <c r="G22" s="56" t="n">
        <v>11.70008875710788</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128</v>
      </c>
      <c r="D23" s="56" t="n">
        <v>41.00001289839931</v>
      </c>
      <c r="E23" s="56" t="n">
        <v>63.96000381102216</v>
      </c>
      <c r="F23" s="56" t="n">
        <v>8.999987101600691</v>
      </c>
      <c r="G23" s="56" t="n">
        <v>14.03999618897784</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167</v>
      </c>
      <c r="D24" s="56" t="n">
        <v>45.91999419647021</v>
      </c>
      <c r="E24" s="56" t="n">
        <v>91.01988614856367</v>
      </c>
      <c r="F24" s="56" t="n">
        <v>10.08000580352979</v>
      </c>
      <c r="G24" s="56" t="n">
        <v>19.98011385143633</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222</v>
      </c>
      <c r="D25" s="56" t="n">
        <v>54.11998307497019</v>
      </c>
      <c r="E25" s="56" t="n">
        <v>127.9200754461479</v>
      </c>
      <c r="F25" s="56" t="n">
        <v>11.88001692502981</v>
      </c>
      <c r="G25" s="56" t="n">
        <v>28.07992455385211</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236</v>
      </c>
      <c r="D26" s="56" t="n">
        <v>56.58004525651666</v>
      </c>
      <c r="E26" s="56" t="n">
        <v>136.9399363791347</v>
      </c>
      <c r="F26" s="56" t="n">
        <v>12.41995474348334</v>
      </c>
      <c r="G26" s="56" t="n">
        <v>30.06006362086536</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281</v>
      </c>
      <c r="D27" s="56" t="n">
        <v>68.8799504950495</v>
      </c>
      <c r="E27" s="56" t="n">
        <v>161.5403427351573</v>
      </c>
      <c r="F27" s="56" t="n">
        <v>15.1200495049505</v>
      </c>
      <c r="G27" s="56" t="n">
        <v>35.45965726484273</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246</v>
      </c>
      <c r="D28" s="56" t="n">
        <v>68.05991928425557</v>
      </c>
      <c r="E28" s="56" t="n">
        <v>133.6600760101658</v>
      </c>
      <c r="F28" s="56" t="n">
        <v>14.94008071574443</v>
      </c>
      <c r="G28" s="56" t="n">
        <v>29.33992398983422</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241</v>
      </c>
      <c r="D29" s="56" t="n">
        <v>56.57998678141927</v>
      </c>
      <c r="E29" s="56" t="n">
        <v>141.0398496465452</v>
      </c>
      <c r="F29" s="56" t="n">
        <v>12.42001321858073</v>
      </c>
      <c r="G29" s="56" t="n">
        <v>30.96015035345484</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264</v>
      </c>
      <c r="D30" s="56" t="n">
        <v>59.04003668543398</v>
      </c>
      <c r="E30" s="56" t="n">
        <v>157.4399654710415</v>
      </c>
      <c r="F30" s="56" t="n">
        <v>12.95996331456602</v>
      </c>
      <c r="G30" s="56" t="n">
        <v>34.56003452895847</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272</v>
      </c>
      <c r="D31" s="56" t="n">
        <v>69.69999613470331</v>
      </c>
      <c r="E31" s="56" t="n">
        <v>153.3399080405301</v>
      </c>
      <c r="F31" s="56" t="n">
        <v>15.30000386529668</v>
      </c>
      <c r="G31" s="56" t="n">
        <v>33.66009195946988</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291</v>
      </c>
      <c r="D32" s="56" t="n">
        <v>78.72006073258683</v>
      </c>
      <c r="E32" s="56" t="n">
        <v>159.8998000236315</v>
      </c>
      <c r="F32" s="56" t="n">
        <v>17.27993926741317</v>
      </c>
      <c r="G32" s="56" t="n">
        <v>35.10019997636846</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325</v>
      </c>
      <c r="D33" s="56" t="n">
        <v>73.79995481216237</v>
      </c>
      <c r="E33" s="56" t="n">
        <v>192.6999151314334</v>
      </c>
      <c r="F33" s="56" t="n">
        <v>16.20004518783762</v>
      </c>
      <c r="G33" s="56" t="n">
        <v>42.30008486856658</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319</v>
      </c>
      <c r="D34" s="56" t="n">
        <v>88.55996136285378</v>
      </c>
      <c r="E34" s="56" t="n">
        <v>173.02</v>
      </c>
      <c r="F34" s="56" t="n">
        <v>19.44003863714622</v>
      </c>
      <c r="G34" s="56" t="n">
        <v>37.98</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357</v>
      </c>
      <c r="D35" s="56" t="n">
        <v>82.82008758237947</v>
      </c>
      <c r="E35" s="56" t="n">
        <v>209.9200448526739</v>
      </c>
      <c r="F35" s="56" t="n">
        <v>18.17991241762054</v>
      </c>
      <c r="G35" s="56" t="n">
        <v>46.07995514732614</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390</v>
      </c>
      <c r="D36" s="56" t="n">
        <v>105.7798833411206</v>
      </c>
      <c r="E36" s="56" t="n">
        <v>214.0201373629988</v>
      </c>
      <c r="F36" s="56" t="n">
        <v>23.22011665887936</v>
      </c>
      <c r="G36" s="56" t="n">
        <v>46.97986263700117</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430</v>
      </c>
      <c r="D37" s="56" t="n">
        <v>104.9599785569497</v>
      </c>
      <c r="E37" s="56" t="n">
        <v>247.6398044104789</v>
      </c>
      <c r="F37" s="56" t="n">
        <v>23.04002144305027</v>
      </c>
      <c r="G37" s="56" t="n">
        <v>54.36019558952106</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473.0000000000001</v>
      </c>
      <c r="D38" s="56" t="n">
        <v>122.1801475442303</v>
      </c>
      <c r="E38" s="56" t="n">
        <v>265.679958517646</v>
      </c>
      <c r="F38" s="56" t="n">
        <v>26.81985245576974</v>
      </c>
      <c r="G38" s="56" t="n">
        <v>58.32004148235399</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479</v>
      </c>
      <c r="D39" s="56" t="n">
        <v>139.4001462458446</v>
      </c>
      <c r="E39" s="56" t="n">
        <v>253.3798156418867</v>
      </c>
      <c r="F39" s="56" t="n">
        <v>30.59985375415541</v>
      </c>
      <c r="G39" s="56" t="n">
        <v>55.62018435811329</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581</v>
      </c>
      <c r="D40" s="56" t="n">
        <v>182.0402713549412</v>
      </c>
      <c r="E40" s="56" t="n">
        <v>294.3797556139858</v>
      </c>
      <c r="F40" s="56" t="n">
        <v>39.95972864505877</v>
      </c>
      <c r="G40" s="56" t="n">
        <v>64.62024438601418</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591</v>
      </c>
      <c r="D41" s="56" t="n">
        <v>182.0401427440453</v>
      </c>
      <c r="E41" s="56" t="n">
        <v>302.5796717436474</v>
      </c>
      <c r="F41" s="56" t="n">
        <v>39.9598572559547</v>
      </c>
      <c r="G41" s="56" t="n">
        <v>66.42032825635258</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646</v>
      </c>
      <c r="D42" s="56" t="n">
        <v>185.3198624509297</v>
      </c>
      <c r="E42" s="56" t="n">
        <v>344.400288273448</v>
      </c>
      <c r="F42" s="56" t="n">
        <v>40.68013754907032</v>
      </c>
      <c r="G42" s="56" t="n">
        <v>75.59971172655204</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719.9999999999999</v>
      </c>
      <c r="D43" s="56" t="n">
        <v>225.500339492202</v>
      </c>
      <c r="E43" s="56" t="n">
        <v>364.8996539941857</v>
      </c>
      <c r="F43" s="56" t="n">
        <v>49.49966050779803</v>
      </c>
      <c r="G43" s="56" t="n">
        <v>80.10034600581427</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776</v>
      </c>
      <c r="D44" s="56" t="n">
        <v>250.9201133331001</v>
      </c>
      <c r="E44" s="56" t="n">
        <v>385.39947069321</v>
      </c>
      <c r="F44" s="56" t="n">
        <v>55.07988666689986</v>
      </c>
      <c r="G44" s="56" t="n">
        <v>84.60052930679002</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807</v>
      </c>
      <c r="D45" s="56" t="n">
        <v>244.36</v>
      </c>
      <c r="E45" s="56" t="n">
        <v>417.3800897992308</v>
      </c>
      <c r="F45" s="56" t="n">
        <v>53.64</v>
      </c>
      <c r="G45" s="56" t="n">
        <v>91.6199102007692</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906.9999999999999</v>
      </c>
      <c r="D46" s="56" t="n">
        <v>292.7401344067467</v>
      </c>
      <c r="E46" s="56" t="n">
        <v>450.9993674469629</v>
      </c>
      <c r="F46" s="56" t="n">
        <v>64.25986559325331</v>
      </c>
      <c r="G46" s="56" t="n">
        <v>99.00063255303714</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906</v>
      </c>
      <c r="D47" s="56" t="n">
        <v>300.9395551691782</v>
      </c>
      <c r="E47" s="56" t="n">
        <v>441.9802851110161</v>
      </c>
      <c r="F47" s="56" t="n">
        <v>66.06044483082177</v>
      </c>
      <c r="G47" s="56" t="n">
        <v>97.01971488898391</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1004</v>
      </c>
      <c r="D48" s="56" t="n">
        <v>315.700063813565</v>
      </c>
      <c r="E48" s="56" t="n">
        <v>507.5795665892094</v>
      </c>
      <c r="F48" s="56" t="n">
        <v>69.29993618643506</v>
      </c>
      <c r="G48" s="56" t="n">
        <v>111.4204334107906</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1168</v>
      </c>
      <c r="D49" s="56" t="n">
        <v>355.8802347375844</v>
      </c>
      <c r="E49" s="56" t="n">
        <v>601.8796783593699</v>
      </c>
      <c r="F49" s="56" t="n">
        <v>78.11976526241557</v>
      </c>
      <c r="G49" s="56" t="n">
        <v>132.1203216406301</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1197</v>
      </c>
      <c r="D50" s="56" t="n">
        <v>372.279863246245</v>
      </c>
      <c r="E50" s="56" t="n">
        <v>609.260268557048</v>
      </c>
      <c r="F50" s="56" t="n">
        <v>81.72013675375503</v>
      </c>
      <c r="G50" s="56" t="n">
        <v>133.7397314429519</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1343</v>
      </c>
      <c r="D51" s="56" t="n">
        <v>437.0596397959069</v>
      </c>
      <c r="E51" s="56" t="n">
        <v>664.2012674643837</v>
      </c>
      <c r="F51" s="56" t="n">
        <v>95.94036020409312</v>
      </c>
      <c r="G51" s="56" t="n">
        <v>145.7987325356163</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1448</v>
      </c>
      <c r="D52" s="56" t="n">
        <v>457.5606181598297</v>
      </c>
      <c r="E52" s="56" t="n">
        <v>729.7993538472708</v>
      </c>
      <c r="F52" s="56" t="n">
        <v>100.4393818401702</v>
      </c>
      <c r="G52" s="56" t="n">
        <v>160.2006461527292</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1540</v>
      </c>
      <c r="D53" s="56" t="n">
        <v>485.4395665742342</v>
      </c>
      <c r="E53" s="56" t="n">
        <v>777.3603624268839</v>
      </c>
      <c r="F53" s="56" t="n">
        <v>106.5604334257658</v>
      </c>
      <c r="G53" s="56" t="n">
        <v>170.6396375731162</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1517</v>
      </c>
      <c r="D54" s="56" t="n">
        <v>454.2797989967981</v>
      </c>
      <c r="E54" s="56" t="n">
        <v>789.66</v>
      </c>
      <c r="F54" s="56" t="n">
        <v>99.72020100320191</v>
      </c>
      <c r="G54" s="56" t="n">
        <v>173.34</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1598</v>
      </c>
      <c r="D55" s="56" t="n">
        <v>515.7795995488899</v>
      </c>
      <c r="E55" s="56" t="n">
        <v>794.58</v>
      </c>
      <c r="F55" s="56" t="n">
        <v>113.22040045111</v>
      </c>
      <c r="G55" s="56" t="n">
        <v>174.42</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1827</v>
      </c>
      <c r="D56" s="56" t="n">
        <v>574.8201243580305</v>
      </c>
      <c r="E56" s="56" t="n">
        <v>923.3209892241429</v>
      </c>
      <c r="F56" s="56" t="n">
        <v>126.1798756419695</v>
      </c>
      <c r="G56" s="56" t="n">
        <v>202.6790107758571</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2029</v>
      </c>
      <c r="D57" s="56" t="n">
        <v>642.8804078306255</v>
      </c>
      <c r="E57" s="56" t="n">
        <v>1020.9</v>
      </c>
      <c r="F57" s="56" t="n">
        <v>141.1195921693746</v>
      </c>
      <c r="G57" s="56" t="n">
        <v>224.1</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2231</v>
      </c>
      <c r="D58" s="56" t="n">
        <v>687.9797178871801</v>
      </c>
      <c r="E58" s="56" t="n">
        <v>1141.439325270837</v>
      </c>
      <c r="F58" s="56" t="n">
        <v>151.0202821128199</v>
      </c>
      <c r="G58" s="56" t="n">
        <v>250.5606747291631</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2565</v>
      </c>
      <c r="D59" s="56" t="n">
        <v>778.180528909534</v>
      </c>
      <c r="E59" s="56" t="n">
        <v>1325.117613228215</v>
      </c>
      <c r="F59" s="56" t="n">
        <v>170.819471090466</v>
      </c>
      <c r="G59" s="56" t="n">
        <v>290.8823867717846</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2805</v>
      </c>
      <c r="D60" s="56" t="n">
        <v>888.0600463425541</v>
      </c>
      <c r="E60" s="56" t="n">
        <v>1412.04153414406</v>
      </c>
      <c r="F60" s="56" t="n">
        <v>194.9399536574459</v>
      </c>
      <c r="G60" s="56" t="n">
        <v>309.9584658559401</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3175</v>
      </c>
      <c r="D61" s="56" t="n">
        <v>1003.679089140203</v>
      </c>
      <c r="E61" s="56" t="n">
        <v>1599.821244668441</v>
      </c>
      <c r="F61" s="56" t="n">
        <v>220.3209108597968</v>
      </c>
      <c r="G61" s="56" t="n">
        <v>351.1787553315592</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3256</v>
      </c>
      <c r="D62" s="56" t="n">
        <v>980.7201578471548</v>
      </c>
      <c r="E62" s="56" t="n">
        <v>1689.19859310439</v>
      </c>
      <c r="F62" s="56" t="n">
        <v>215.2798421528451</v>
      </c>
      <c r="G62" s="56" t="n">
        <v>370.8014068956097</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3647</v>
      </c>
      <c r="D63" s="56" t="n">
        <v>1117.661492145164</v>
      </c>
      <c r="E63" s="56" t="n">
        <v>1872.878541254186</v>
      </c>
      <c r="F63" s="56" t="n">
        <v>245.3385078548361</v>
      </c>
      <c r="G63" s="56" t="n">
        <v>411.1214587458144</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3859</v>
      </c>
      <c r="D64" s="56" t="n">
        <v>1277.560203231971</v>
      </c>
      <c r="E64" s="56" t="n">
        <v>1886.822083861619</v>
      </c>
      <c r="F64" s="56" t="n">
        <v>280.439796768029</v>
      </c>
      <c r="G64" s="56" t="n">
        <v>414.1779161383807</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4257</v>
      </c>
      <c r="D65" s="56" t="n">
        <v>1366.120291860832</v>
      </c>
      <c r="E65" s="56" t="n">
        <v>2124.61798751305</v>
      </c>
      <c r="F65" s="56" t="n">
        <v>299.8797081391682</v>
      </c>
      <c r="G65" s="56" t="n">
        <v>466.3820124869499</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4681</v>
      </c>
      <c r="D66" s="56" t="n">
        <v>1521.920409943787</v>
      </c>
      <c r="E66" s="56" t="n">
        <v>2316.499869953805</v>
      </c>
      <c r="F66" s="56" t="n">
        <v>334.0795900562127</v>
      </c>
      <c r="G66" s="56" t="n">
        <v>508.5001300461952</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5010</v>
      </c>
      <c r="D67" s="56" t="n">
        <v>1626.878585307592</v>
      </c>
      <c r="E67" s="56" t="n">
        <v>2481.323513905824</v>
      </c>
      <c r="F67" s="56" t="n">
        <v>357.1214146924078</v>
      </c>
      <c r="G67" s="56" t="n">
        <v>544.6764860941764</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5114</v>
      </c>
      <c r="D68" s="56" t="n">
        <v>1599.819911621681</v>
      </c>
      <c r="E68" s="56" t="n">
        <v>2593.66</v>
      </c>
      <c r="F68" s="56" t="n">
        <v>351.180088378319</v>
      </c>
      <c r="G68" s="56" t="n">
        <v>569.34</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5532</v>
      </c>
      <c r="D69" s="56" t="n">
        <v>1876.161398378494</v>
      </c>
      <c r="E69" s="56" t="n">
        <v>2660.079681743933</v>
      </c>
      <c r="F69" s="56" t="n">
        <v>411.838601621506</v>
      </c>
      <c r="G69" s="56" t="n">
        <v>583.9203182560666</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5991</v>
      </c>
      <c r="D70" s="56" t="n">
        <v>2039.339881743464</v>
      </c>
      <c r="E70" s="56" t="n">
        <v>2873.279650971681</v>
      </c>
      <c r="F70" s="56" t="n">
        <v>447.6601182565364</v>
      </c>
      <c r="G70" s="56" t="n">
        <v>630.7203490283187</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6190</v>
      </c>
      <c r="D71" s="56" t="n">
        <v>2095.099751774255</v>
      </c>
      <c r="E71" s="56" t="n">
        <v>2980.698146873646</v>
      </c>
      <c r="F71" s="56" t="n">
        <v>459.9002482257446</v>
      </c>
      <c r="G71" s="56" t="n">
        <v>654.3018531263541</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6467.000000000001</v>
      </c>
      <c r="D72" s="56" t="n">
        <v>2184.48</v>
      </c>
      <c r="E72" s="56" t="n">
        <v>3118.462802977657</v>
      </c>
      <c r="F72" s="56" t="n">
        <v>479.52</v>
      </c>
      <c r="G72" s="56" t="n">
        <v>684.537197022343</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6779</v>
      </c>
      <c r="D73" s="56" t="n">
        <v>2281.238427121641</v>
      </c>
      <c r="E73" s="56" t="n">
        <v>3277.541739660294</v>
      </c>
      <c r="F73" s="56" t="n">
        <v>500.7615728783592</v>
      </c>
      <c r="G73" s="56" t="n">
        <v>719.458260339706</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7475.000000000001</v>
      </c>
      <c r="D74" s="56" t="n">
        <v>2512.481615011596</v>
      </c>
      <c r="E74" s="56" t="n">
        <v>3617.022480598358</v>
      </c>
      <c r="F74" s="56" t="n">
        <v>551.5183849884039</v>
      </c>
      <c r="G74" s="56" t="n">
        <v>793.9775194016421</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7634.000000000001</v>
      </c>
      <c r="D75" s="56" t="n">
        <v>2593.656640199697</v>
      </c>
      <c r="E75" s="56" t="n">
        <v>3666.223314618756</v>
      </c>
      <c r="F75" s="56" t="n">
        <v>569.3433598003028</v>
      </c>
      <c r="G75" s="56" t="n">
        <v>804.7766853812442</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8209</v>
      </c>
      <c r="D76" s="56" t="n">
        <v>2721.577108223788</v>
      </c>
      <c r="E76" s="56" t="n">
        <v>4009.804294056522</v>
      </c>
      <c r="F76" s="56" t="n">
        <v>597.4228917762119</v>
      </c>
      <c r="G76" s="56" t="n">
        <v>880.1957059434777</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8621</v>
      </c>
      <c r="D77" s="56" t="n">
        <v>2987.259180644037</v>
      </c>
      <c r="E77" s="56" t="n">
        <v>4081.960911257082</v>
      </c>
      <c r="F77" s="56" t="n">
        <v>655.7408193559633</v>
      </c>
      <c r="G77" s="56" t="n">
        <v>896.039088742918</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9152</v>
      </c>
      <c r="D78" s="56" t="n">
        <v>3202.095760394733</v>
      </c>
      <c r="E78" s="56" t="n">
        <v>4302.546844571993</v>
      </c>
      <c r="F78" s="56" t="n">
        <v>702.9042396052673</v>
      </c>
      <c r="G78" s="56" t="n">
        <v>944.453155428007</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9841.999999999998</v>
      </c>
      <c r="D79" s="56" t="n">
        <v>3416.946246944047</v>
      </c>
      <c r="E79" s="56" t="n">
        <v>4653.494248177217</v>
      </c>
      <c r="F79" s="56" t="n">
        <v>750.0537530559527</v>
      </c>
      <c r="G79" s="56" t="n">
        <v>1021.505751822783</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10341</v>
      </c>
      <c r="D80" s="56" t="n">
        <v>3559.624762190704</v>
      </c>
      <c r="E80" s="56" t="n">
        <v>4919.995037268207</v>
      </c>
      <c r="F80" s="56" t="n">
        <v>781.3752378092964</v>
      </c>
      <c r="G80" s="56" t="n">
        <v>1080.004962731793</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11497</v>
      </c>
      <c r="D81" s="56" t="n">
        <v>4006.517234939588</v>
      </c>
      <c r="E81" s="56" t="n">
        <v>5421.018334729246</v>
      </c>
      <c r="F81" s="56" t="n">
        <v>879.4827650604115</v>
      </c>
      <c r="G81" s="56" t="n">
        <v>1189.981665270755</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12799</v>
      </c>
      <c r="D82" s="56" t="n">
        <v>4577.232966172035</v>
      </c>
      <c r="E82" s="56" t="n">
        <v>5917.93955759346</v>
      </c>
      <c r="F82" s="56" t="n">
        <v>1004.767033827965</v>
      </c>
      <c r="G82" s="56" t="n">
        <v>1299.06044240654</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14239</v>
      </c>
      <c r="D83" s="56" t="n">
        <v>4985.592202734308</v>
      </c>
      <c r="E83" s="56" t="n">
        <v>6690.389981420171</v>
      </c>
      <c r="F83" s="56" t="n">
        <v>1094.407797265692</v>
      </c>
      <c r="G83" s="56" t="n">
        <v>1468.610018579828</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16306</v>
      </c>
      <c r="D84" s="56" t="n">
        <v>5904.013738370265</v>
      </c>
      <c r="E84" s="56" t="n">
        <v>7466.917035614298</v>
      </c>
      <c r="F84" s="56" t="n">
        <v>1295.986261629735</v>
      </c>
      <c r="G84" s="56" t="n">
        <v>1639.082964385702</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18799</v>
      </c>
      <c r="D85" s="56" t="n">
        <v>6785.505367548225</v>
      </c>
      <c r="E85" s="56" t="n">
        <v>8629.671188143682</v>
      </c>
      <c r="F85" s="56" t="n">
        <v>1489.494632451775</v>
      </c>
      <c r="G85" s="56" t="n">
        <v>1894.328811856318</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16560</v>
      </c>
      <c r="D86" s="56" t="n">
        <v>6170.5023265161</v>
      </c>
      <c r="E86" s="56" t="n">
        <v>7408.690885078713</v>
      </c>
      <c r="F86" s="56" t="n">
        <v>1354.4976734839</v>
      </c>
      <c r="G86" s="56" t="n">
        <v>1626.309114921287</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17686</v>
      </c>
      <c r="D87" s="56" t="n">
        <v>6710.868799876832</v>
      </c>
      <c r="E87" s="56" t="n">
        <v>7791.641972617527</v>
      </c>
      <c r="F87" s="56" t="n">
        <v>1473.131200123169</v>
      </c>
      <c r="G87" s="56" t="n">
        <v>1710.358027382472</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18880</v>
      </c>
      <c r="D88" s="56" t="n">
        <v>7183.201643311385</v>
      </c>
      <c r="E88" s="56" t="n">
        <v>8298.414135887975</v>
      </c>
      <c r="F88" s="56" t="n">
        <v>1576.798356688615</v>
      </c>
      <c r="G88" s="56" t="n">
        <v>1821.585864112026</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18747</v>
      </c>
      <c r="D89" s="56" t="n">
        <v>7334.082519827016</v>
      </c>
      <c r="E89" s="56" t="n">
        <v>8038.46</v>
      </c>
      <c r="F89" s="56" t="n">
        <v>1609.917480172985</v>
      </c>
      <c r="G89" s="56" t="n">
        <v>1764.54</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18214</v>
      </c>
      <c r="D90" s="56" t="n">
        <v>7249.606278131305</v>
      </c>
      <c r="E90" s="56" t="n">
        <v>7685.8845475123</v>
      </c>
      <c r="F90" s="56" t="n">
        <v>1591.393721868695</v>
      </c>
      <c r="G90" s="56" t="n">
        <v>1687.1154524877</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18185</v>
      </c>
      <c r="D91" s="56" t="n">
        <v>7385.744537645784</v>
      </c>
      <c r="E91" s="56" t="n">
        <v>7525.957569900444</v>
      </c>
      <c r="F91" s="56" t="n">
        <v>1621.255462354216</v>
      </c>
      <c r="G91" s="56" t="n">
        <v>1652.042430099555</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19833</v>
      </c>
      <c r="D92" s="56" t="n">
        <v>8088.482082902211</v>
      </c>
      <c r="E92" s="56" t="n">
        <v>8174.564436812115</v>
      </c>
      <c r="F92" s="56" t="n">
        <v>1775.517917097789</v>
      </c>
      <c r="G92" s="56" t="n">
        <v>1794.435563187885</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20827</v>
      </c>
      <c r="D93" s="56" t="n">
        <v>8671.487887291678</v>
      </c>
      <c r="E93" s="56" t="n">
        <v>8406.667342312308</v>
      </c>
      <c r="F93" s="56" t="n">
        <v>1903.512112708321</v>
      </c>
      <c r="G93" s="56" t="n">
        <v>1845.332657687692</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20983</v>
      </c>
      <c r="D94" s="56" t="n">
        <v>8986.42042649187</v>
      </c>
      <c r="E94" s="56" t="n">
        <v>8219.638947476195</v>
      </c>
      <c r="F94" s="56" t="n">
        <v>1972.57957350813</v>
      </c>
      <c r="G94" s="56" t="n">
        <v>1804.361052523805</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21090</v>
      </c>
      <c r="D95" s="56" t="n">
        <v>9156.904185375241</v>
      </c>
      <c r="E95" s="56" t="n">
        <v>8136.857609232511</v>
      </c>
      <c r="F95" s="56" t="n">
        <v>2010.095814624759</v>
      </c>
      <c r="G95" s="56" t="n">
        <v>1786.142390767489</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20249</v>
      </c>
      <c r="D96" s="56" t="n">
        <v>8940.45596827275</v>
      </c>
      <c r="E96" s="56" t="n">
        <v>7663.747133110756</v>
      </c>
      <c r="F96" s="56" t="n">
        <v>1962.544031727249</v>
      </c>
      <c r="G96" s="56" t="n">
        <v>1682.252866889244</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19414</v>
      </c>
      <c r="D97" s="56" t="n">
        <v>8889.568147230193</v>
      </c>
      <c r="E97" s="56" t="n">
        <v>7029.921367215462</v>
      </c>
      <c r="F97" s="56" t="n">
        <v>1951.431852769806</v>
      </c>
      <c r="G97" s="56" t="n">
        <v>1543.078632784538</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17733</v>
      </c>
      <c r="D98" s="56" t="n">
        <v>8381.957307446406</v>
      </c>
      <c r="E98" s="56" t="n">
        <v>6159.074719970858</v>
      </c>
      <c r="F98" s="56" t="n">
        <v>1840.042692553594</v>
      </c>
      <c r="G98" s="56" t="n">
        <v>1351.925280029141</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16600</v>
      </c>
      <c r="D99" s="56" t="n">
        <v>8036.79012345679</v>
      </c>
      <c r="E99" s="56" t="n">
        <v>5575.214570209881</v>
      </c>
      <c r="F99" s="56" t="n">
        <v>1764.20987654321</v>
      </c>
      <c r="G99" s="56" t="n">
        <v>1223.785429790119</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15015</v>
      </c>
      <c r="D100" s="56" t="n">
        <v>7547.273063008743</v>
      </c>
      <c r="E100" s="56" t="n">
        <v>4765.028584090405</v>
      </c>
      <c r="F100" s="56" t="n">
        <v>1656.726936991257</v>
      </c>
      <c r="G100" s="56" t="n">
        <v>1045.971415909594</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13079</v>
      </c>
      <c r="D101" s="56" t="n">
        <v>6753.41346683594</v>
      </c>
      <c r="E101" s="56" t="n">
        <v>3971.308213041314</v>
      </c>
      <c r="F101" s="56" t="n">
        <v>1482.58653316406</v>
      </c>
      <c r="G101" s="56" t="n">
        <v>871.691786958686</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11143</v>
      </c>
      <c r="D102" s="56" t="n">
        <v>5901.464094053417</v>
      </c>
      <c r="E102" s="56" t="n">
        <v>3235.828630419821</v>
      </c>
      <c r="F102" s="56" t="n">
        <v>1295.535905946583</v>
      </c>
      <c r="G102" s="56" t="n">
        <v>710.171369580179</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8754.999999999998</v>
      </c>
      <c r="D103" s="56" t="n">
        <v>4835.657518890642</v>
      </c>
      <c r="E103" s="56" t="n">
        <v>2343.491626794259</v>
      </c>
      <c r="F103" s="56" t="n">
        <v>1061.342481109358</v>
      </c>
      <c r="G103" s="56" t="n">
        <v>514.5083732057416</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6690</v>
      </c>
      <c r="D104" s="56" t="n">
        <v>3753.801500288517</v>
      </c>
      <c r="E104" s="56" t="n">
        <v>1731.877917414722</v>
      </c>
      <c r="F104" s="56" t="n">
        <v>824.198499711483</v>
      </c>
      <c r="G104" s="56" t="n">
        <v>380.1220825852783</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5016</v>
      </c>
      <c r="D105" s="56" t="n">
        <v>2940.406528437005</v>
      </c>
      <c r="E105" s="56" t="n">
        <v>1172.57272293753</v>
      </c>
      <c r="F105" s="56" t="n">
        <v>645.5934715629944</v>
      </c>
      <c r="G105" s="56" t="n">
        <v>257.4272770624702</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10665</v>
      </c>
      <c r="D106" s="56" t="n">
        <v>6773.950021177468</v>
      </c>
      <c r="E106" s="56" t="n">
        <v>1971.304377218185</v>
      </c>
      <c r="F106" s="56" t="n">
        <v>1487.049978822533</v>
      </c>
      <c r="G106" s="56" t="n">
        <v>432.6956227818151</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 xml:space="preserve">https://www.ons.gov.uk/peoplepopulationandcommunity/birthsdeathsandmarriages/deaths/adhocs/3250provisionalnumbersofdeathregistrationsbysexandageenglandandwales2025; downloaded 46126; no distinction between native/migrant available, just between UK-born women and NON-UK-born women. </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f t="array" ref="C9">H9+I9</f>
        <v/>
      </c>
      <c r="D9" s="118">
        <f t="array" ref="D9">D199-D286</f>
        <v/>
      </c>
      <c r="E9" s="118">
        <f t="array" ref="E9">E199-E286</f>
        <v/>
      </c>
      <c r="F9" s="118">
        <f t="array" ref="F9">F199-F286</f>
        <v/>
      </c>
      <c r="G9" s="118">
        <f t="array" ref="G9">G199-G286</f>
        <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f t="array" ref="C11">H11+I11</f>
        <v/>
      </c>
      <c r="D11" s="55">
        <f t="array" ref="D11">D$9*$L11</f>
        <v/>
      </c>
      <c r="E11" s="55">
        <f t="array" ref="E11">E$9*$L11</f>
        <v/>
      </c>
      <c r="F11" s="55">
        <f t="array" ref="F11">F$9*$L11</f>
        <v/>
      </c>
      <c r="G11" s="55">
        <f t="array" ref="G11">G$9*$L11</f>
        <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f t="array" ref="C12">H12+I12</f>
        <v/>
      </c>
      <c r="D12" s="55">
        <f t="array" ref="D12">D$9*$L12</f>
        <v/>
      </c>
      <c r="E12" s="55">
        <f t="array" ref="E12">E$9*$L12</f>
        <v/>
      </c>
      <c r="F12" s="55">
        <f t="array" ref="F12">F$9*$L12</f>
        <v/>
      </c>
      <c r="G12" s="55">
        <f t="array" ref="G12">G$9*$L12</f>
        <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f t="array" ref="C13">H13+I13</f>
        <v/>
      </c>
      <c r="D13" s="55">
        <f t="array" ref="D13">D$9*$L13</f>
        <v/>
      </c>
      <c r="E13" s="55">
        <f t="array" ref="E13">E$9*$L13</f>
        <v/>
      </c>
      <c r="F13" s="55">
        <f t="array" ref="F13">F$9*$L13</f>
        <v/>
      </c>
      <c r="G13" s="55">
        <f t="array" ref="G13">G$9*$L13</f>
        <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f t="array" ref="C14">H14+I14</f>
        <v/>
      </c>
      <c r="D14" s="55">
        <f t="array" ref="D14">D$9*$L14</f>
        <v/>
      </c>
      <c r="E14" s="55">
        <f t="array" ref="E14">E$9*$L14</f>
        <v/>
      </c>
      <c r="F14" s="55">
        <f t="array" ref="F14">F$9*$L14</f>
        <v/>
      </c>
      <c r="G14" s="55">
        <f t="array" ref="G14">G$9*$L14</f>
        <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f t="array" ref="C15">H15+I15</f>
        <v/>
      </c>
      <c r="D15" s="79">
        <f t="array" ref="D15">D$9*$L15</f>
        <v/>
      </c>
      <c r="E15" s="79">
        <f t="array" ref="E15">E$9*$L15</f>
        <v/>
      </c>
      <c r="F15" s="79">
        <f t="array" ref="F15">F$9*$L15</f>
        <v/>
      </c>
      <c r="G15" s="79">
        <f t="array" ref="G15">G$9*$L15</f>
        <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f t="array" ref="C16">H16+I16</f>
        <v/>
      </c>
      <c r="D16" s="83">
        <f t="array" ref="D16">D$9*$L16</f>
        <v/>
      </c>
      <c r="E16" s="83">
        <f t="array" ref="E16">E$9*$L16</f>
        <v/>
      </c>
      <c r="F16" s="83">
        <f t="array" ref="F16">F$9*$L16</f>
        <v/>
      </c>
      <c r="G16" s="83">
        <f t="array" ref="G16">G$9*$L16</f>
        <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f t="array" ref="C17">H17+I17</f>
        <v/>
      </c>
      <c r="D17" s="83">
        <f t="array" ref="D17">D$9*$L17</f>
        <v/>
      </c>
      <c r="E17" s="83">
        <f t="array" ref="E17">E$9*$L17</f>
        <v/>
      </c>
      <c r="F17" s="83">
        <f t="array" ref="F17">F$9*$L17</f>
        <v/>
      </c>
      <c r="G17" s="83">
        <f t="array" ref="G17">G$9*$L17</f>
        <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f t="array" ref="C18">H18+I18</f>
        <v/>
      </c>
      <c r="D18" s="83">
        <f t="array" ref="D18">D$9*$L18</f>
        <v/>
      </c>
      <c r="E18" s="83">
        <f t="array" ref="E18">E$9*$L18</f>
        <v/>
      </c>
      <c r="F18" s="83">
        <f t="array" ref="F18">F$9*$L18</f>
        <v/>
      </c>
      <c r="G18" s="83">
        <f t="array" ref="G18">G$9*$L18</f>
        <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f t="array" ref="C19">H19+I19</f>
        <v/>
      </c>
      <c r="D19" s="83">
        <f t="array" ref="D19">D$9*$L19</f>
        <v/>
      </c>
      <c r="E19" s="83">
        <f t="array" ref="E19">E$9*$L19</f>
        <v/>
      </c>
      <c r="F19" s="83">
        <f t="array" ref="F19">F$9*$L19</f>
        <v/>
      </c>
      <c r="G19" s="83">
        <f t="array" ref="G19">G$9*$L19</f>
        <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f t="array" ref="C20">H20+I20</f>
        <v/>
      </c>
      <c r="D20" s="83">
        <f t="array" ref="D20">D$9*$L20</f>
        <v/>
      </c>
      <c r="E20" s="83">
        <f t="array" ref="E20">E$9*$L20</f>
        <v/>
      </c>
      <c r="F20" s="83">
        <f t="array" ref="F20">F$9*$L20</f>
        <v/>
      </c>
      <c r="G20" s="83">
        <f t="array" ref="G20">G$9*$L20</f>
        <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f t="array" ref="C21">H21+I21</f>
        <v/>
      </c>
      <c r="D21" s="83">
        <f t="array" ref="D21">D$9*$L21</f>
        <v/>
      </c>
      <c r="E21" s="83">
        <f t="array" ref="E21">E$9*$L21</f>
        <v/>
      </c>
      <c r="F21" s="83">
        <f t="array" ref="F21">F$9*$L21</f>
        <v/>
      </c>
      <c r="G21" s="83">
        <f t="array" ref="G21">G$9*$L21</f>
        <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f t="array" ref="C22">H22+I22</f>
        <v/>
      </c>
      <c r="D22" s="83">
        <f t="array" ref="D22">D$9*$L22</f>
        <v/>
      </c>
      <c r="E22" s="83">
        <f t="array" ref="E22">E$9*$L22</f>
        <v/>
      </c>
      <c r="F22" s="83">
        <f t="array" ref="F22">F$9*$L22</f>
        <v/>
      </c>
      <c r="G22" s="83">
        <f t="array" ref="G22">G$9*$L22</f>
        <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f t="array" ref="C23">H23+I23</f>
        <v/>
      </c>
      <c r="D23" s="83">
        <f t="array" ref="D23">D$9*$L23</f>
        <v/>
      </c>
      <c r="E23" s="83">
        <f t="array" ref="E23">E$9*$L23</f>
        <v/>
      </c>
      <c r="F23" s="83">
        <f t="array" ref="F23">F$9*$L23</f>
        <v/>
      </c>
      <c r="G23" s="83">
        <f t="array" ref="G23">G$9*$L23</f>
        <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f t="array" ref="C24">H24+I24</f>
        <v/>
      </c>
      <c r="D24" s="83">
        <f t="array" ref="D24">D$9*$L24</f>
        <v/>
      </c>
      <c r="E24" s="83">
        <f t="array" ref="E24">E$9*$L24</f>
        <v/>
      </c>
      <c r="F24" s="83">
        <f t="array" ref="F24">F$9*$L24</f>
        <v/>
      </c>
      <c r="G24" s="83">
        <f t="array" ref="G24">G$9*$L24</f>
        <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f t="array" ref="C25">H25+I25</f>
        <v/>
      </c>
      <c r="D25" s="83">
        <f t="array" ref="D25">D$9*$L25</f>
        <v/>
      </c>
      <c r="E25" s="83">
        <f t="array" ref="E25">E$9*$L25</f>
        <v/>
      </c>
      <c r="F25" s="83">
        <f t="array" ref="F25">F$9*$L25</f>
        <v/>
      </c>
      <c r="G25" s="83">
        <f t="array" ref="G25">G$9*$L25</f>
        <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f t="array" ref="C26">H26+I26</f>
        <v/>
      </c>
      <c r="D26" s="83">
        <f t="array" ref="D26">D$9*$L26</f>
        <v/>
      </c>
      <c r="E26" s="83">
        <f t="array" ref="E26">E$9*$L26</f>
        <v/>
      </c>
      <c r="F26" s="83">
        <f t="array" ref="F26">F$9*$L26</f>
        <v/>
      </c>
      <c r="G26" s="83">
        <f t="array" ref="G26">G$9*$L26</f>
        <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f t="array" ref="C27">H27+I27</f>
        <v/>
      </c>
      <c r="D27" s="83">
        <f t="array" ref="D27">D$9*$L27</f>
        <v/>
      </c>
      <c r="E27" s="83">
        <f t="array" ref="E27">E$9*$L27</f>
        <v/>
      </c>
      <c r="F27" s="83">
        <f t="array" ref="F27">F$9*$L27</f>
        <v/>
      </c>
      <c r="G27" s="83">
        <f t="array" ref="G27">G$9*$L27</f>
        <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f t="array" ref="C28">H28+I28</f>
        <v/>
      </c>
      <c r="D28" s="83">
        <f t="array" ref="D28">D$9*$L28</f>
        <v/>
      </c>
      <c r="E28" s="83">
        <f t="array" ref="E28">E$9*$L28</f>
        <v/>
      </c>
      <c r="F28" s="83">
        <f t="array" ref="F28">F$9*$L28</f>
        <v/>
      </c>
      <c r="G28" s="83">
        <f t="array" ref="G28">G$9*$L28</f>
        <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f t="array" ref="C29">H29+I29</f>
        <v/>
      </c>
      <c r="D29" s="83">
        <f t="array" ref="D29">D$9*$L29</f>
        <v/>
      </c>
      <c r="E29" s="83">
        <f t="array" ref="E29">E$9*$L29</f>
        <v/>
      </c>
      <c r="F29" s="83">
        <f t="array" ref="F29">F$9*$L29</f>
        <v/>
      </c>
      <c r="G29" s="83">
        <f t="array" ref="G29">G$9*$L29</f>
        <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f t="array" ref="C30">H30+I30</f>
        <v/>
      </c>
      <c r="D30" s="83">
        <f t="array" ref="D30">D$9*$L30</f>
        <v/>
      </c>
      <c r="E30" s="83">
        <f t="array" ref="E30">E$9*$L30</f>
        <v/>
      </c>
      <c r="F30" s="83">
        <f t="array" ref="F30">F$9*$L30</f>
        <v/>
      </c>
      <c r="G30" s="83">
        <f t="array" ref="G30">G$9*$L30</f>
        <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f t="array" ref="C31">H31+I31</f>
        <v/>
      </c>
      <c r="D31" s="83">
        <f t="array" ref="D31">D$9*$L31</f>
        <v/>
      </c>
      <c r="E31" s="83">
        <f t="array" ref="E31">E$9*$L31</f>
        <v/>
      </c>
      <c r="F31" s="83">
        <f t="array" ref="F31">F$9*$L31</f>
        <v/>
      </c>
      <c r="G31" s="83">
        <f t="array" ref="G31">G$9*$L31</f>
        <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f t="array" ref="C32">H32+I32</f>
        <v/>
      </c>
      <c r="D32" s="83">
        <f t="array" ref="D32">D$9*$L32</f>
        <v/>
      </c>
      <c r="E32" s="83">
        <f t="array" ref="E32">E$9*$L32</f>
        <v/>
      </c>
      <c r="F32" s="83">
        <f t="array" ref="F32">F$9*$L32</f>
        <v/>
      </c>
      <c r="G32" s="83">
        <f t="array" ref="G32">G$9*$L32</f>
        <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f t="array" ref="C33">H33+I33</f>
        <v/>
      </c>
      <c r="D33" s="83">
        <f t="array" ref="D33">D$9*$L33</f>
        <v/>
      </c>
      <c r="E33" s="83">
        <f t="array" ref="E33">E$9*$L33</f>
        <v/>
      </c>
      <c r="F33" s="83">
        <f t="array" ref="F33">F$9*$L33</f>
        <v/>
      </c>
      <c r="G33" s="83">
        <f t="array" ref="G33">G$9*$L33</f>
        <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f t="array" ref="C34">H34+I34</f>
        <v/>
      </c>
      <c r="D34" s="83">
        <f t="array" ref="D34">D$9*$L34</f>
        <v/>
      </c>
      <c r="E34" s="83">
        <f t="array" ref="E34">E$9*$L34</f>
        <v/>
      </c>
      <c r="F34" s="83">
        <f t="array" ref="F34">F$9*$L34</f>
        <v/>
      </c>
      <c r="G34" s="83">
        <f t="array" ref="G34">G$9*$L34</f>
        <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f t="array" ref="C35">H35+I35</f>
        <v/>
      </c>
      <c r="D35" s="83">
        <f t="array" ref="D35">D$9*$L35</f>
        <v/>
      </c>
      <c r="E35" s="83">
        <f t="array" ref="E35">E$9*$L35</f>
        <v/>
      </c>
      <c r="F35" s="83">
        <f t="array" ref="F35">F$9*$L35</f>
        <v/>
      </c>
      <c r="G35" s="83">
        <f t="array" ref="G35">G$9*$L35</f>
        <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f t="array" ref="C36">H36+I36</f>
        <v/>
      </c>
      <c r="D36" s="83">
        <f t="array" ref="D36">D$9*$L36</f>
        <v/>
      </c>
      <c r="E36" s="83">
        <f t="array" ref="E36">E$9*$L36</f>
        <v/>
      </c>
      <c r="F36" s="83">
        <f t="array" ref="F36">F$9*$L36</f>
        <v/>
      </c>
      <c r="G36" s="83">
        <f t="array" ref="G36">G$9*$L36</f>
        <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f t="array" ref="C37">H37+I37</f>
        <v/>
      </c>
      <c r="D37" s="83">
        <f t="array" ref="D37">D$9*$L37</f>
        <v/>
      </c>
      <c r="E37" s="83">
        <f t="array" ref="E37">E$9*$L37</f>
        <v/>
      </c>
      <c r="F37" s="83">
        <f t="array" ref="F37">F$9*$L37</f>
        <v/>
      </c>
      <c r="G37" s="83">
        <f t="array" ref="G37">G$9*$L37</f>
        <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f t="array" ref="C38">H38+I38</f>
        <v/>
      </c>
      <c r="D38" s="83">
        <f t="array" ref="D38">D$9*$L38</f>
        <v/>
      </c>
      <c r="E38" s="83">
        <f t="array" ref="E38">E$9*$L38</f>
        <v/>
      </c>
      <c r="F38" s="83">
        <f t="array" ref="F38">F$9*$L38</f>
        <v/>
      </c>
      <c r="G38" s="83">
        <f t="array" ref="G38">G$9*$L38</f>
        <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f t="array" ref="C39">H39+I39</f>
        <v/>
      </c>
      <c r="D39" s="83">
        <f t="array" ref="D39">D$9*$L39</f>
        <v/>
      </c>
      <c r="E39" s="83">
        <f t="array" ref="E39">E$9*$L39</f>
        <v/>
      </c>
      <c r="F39" s="83">
        <f t="array" ref="F39">F$9*$L39</f>
        <v/>
      </c>
      <c r="G39" s="83">
        <f t="array" ref="G39">G$9*$L39</f>
        <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f t="array" ref="C40">H40+I40</f>
        <v/>
      </c>
      <c r="D40" s="83">
        <f t="array" ref="D40">D$9*$L40</f>
        <v/>
      </c>
      <c r="E40" s="83">
        <f t="array" ref="E40">E$9*$L40</f>
        <v/>
      </c>
      <c r="F40" s="83">
        <f t="array" ref="F40">F$9*$L40</f>
        <v/>
      </c>
      <c r="G40" s="83">
        <f t="array" ref="G40">G$9*$L40</f>
        <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f t="array" ref="C41">H41+I41</f>
        <v/>
      </c>
      <c r="D41" s="83">
        <f t="array" ref="D41">D$9*$L41</f>
        <v/>
      </c>
      <c r="E41" s="83">
        <f t="array" ref="E41">E$9*$L41</f>
        <v/>
      </c>
      <c r="F41" s="83">
        <f t="array" ref="F41">F$9*$L41</f>
        <v/>
      </c>
      <c r="G41" s="83">
        <f t="array" ref="G41">G$9*$L41</f>
        <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f t="array" ref="C42">H42+I42</f>
        <v/>
      </c>
      <c r="D42" s="83">
        <f t="array" ref="D42">D$9*$L42</f>
        <v/>
      </c>
      <c r="E42" s="83">
        <f t="array" ref="E42">E$9*$L42</f>
        <v/>
      </c>
      <c r="F42" s="83">
        <f t="array" ref="F42">F$9*$L42</f>
        <v/>
      </c>
      <c r="G42" s="83">
        <f t="array" ref="G42">G$9*$L42</f>
        <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f t="array" ref="C43">H43+I43</f>
        <v/>
      </c>
      <c r="D43" s="83">
        <f t="array" ref="D43">D$9*$L43</f>
        <v/>
      </c>
      <c r="E43" s="83">
        <f t="array" ref="E43">E$9*$L43</f>
        <v/>
      </c>
      <c r="F43" s="83">
        <f t="array" ref="F43">F$9*$L43</f>
        <v/>
      </c>
      <c r="G43" s="83">
        <f t="array" ref="G43">G$9*$L43</f>
        <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f t="array" ref="C44">H44+I44</f>
        <v/>
      </c>
      <c r="D44" s="83">
        <f t="array" ref="D44">D$9*$L44</f>
        <v/>
      </c>
      <c r="E44" s="83">
        <f t="array" ref="E44">E$9*$L44</f>
        <v/>
      </c>
      <c r="F44" s="83">
        <f t="array" ref="F44">F$9*$L44</f>
        <v/>
      </c>
      <c r="G44" s="83">
        <f t="array" ref="G44">G$9*$L44</f>
        <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f t="array" ref="C45">H45+I45</f>
        <v/>
      </c>
      <c r="D45" s="83">
        <f t="array" ref="D45">D$9*$L45</f>
        <v/>
      </c>
      <c r="E45" s="83">
        <f t="array" ref="E45">E$9*$L45</f>
        <v/>
      </c>
      <c r="F45" s="83">
        <f t="array" ref="F45">F$9*$L45</f>
        <v/>
      </c>
      <c r="G45" s="83">
        <f t="array" ref="G45">G$9*$L45</f>
        <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f t="array" ref="C46">H46+I46</f>
        <v/>
      </c>
      <c r="D46" s="83">
        <f t="array" ref="D46">D$9*$L46</f>
        <v/>
      </c>
      <c r="E46" s="83">
        <f t="array" ref="E46">E$9*$L46</f>
        <v/>
      </c>
      <c r="F46" s="83">
        <f t="array" ref="F46">F$9*$L46</f>
        <v/>
      </c>
      <c r="G46" s="83">
        <f t="array" ref="G46">G$9*$L46</f>
        <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f t="array" ref="C47">H47+I47</f>
        <v/>
      </c>
      <c r="D47" s="83">
        <f t="array" ref="D47">D$9*$L47</f>
        <v/>
      </c>
      <c r="E47" s="83">
        <f t="array" ref="E47">E$9*$L47</f>
        <v/>
      </c>
      <c r="F47" s="83">
        <f t="array" ref="F47">F$9*$L47</f>
        <v/>
      </c>
      <c r="G47" s="83">
        <f t="array" ref="G47">G$9*$L47</f>
        <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f t="array" ref="C48">H48+I48</f>
        <v/>
      </c>
      <c r="D48" s="83">
        <f t="array" ref="D48">D$9*$L48</f>
        <v/>
      </c>
      <c r="E48" s="83">
        <f t="array" ref="E48">E$9*$L48</f>
        <v/>
      </c>
      <c r="F48" s="83">
        <f t="array" ref="F48">F$9*$L48</f>
        <v/>
      </c>
      <c r="G48" s="83">
        <f t="array" ref="G48">G$9*$L48</f>
        <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f t="array" ref="C49">H49+I49</f>
        <v/>
      </c>
      <c r="D49" s="83">
        <f t="array" ref="D49">D$9*$L49</f>
        <v/>
      </c>
      <c r="E49" s="83">
        <f t="array" ref="E49">E$9*$L49</f>
        <v/>
      </c>
      <c r="F49" s="83">
        <f t="array" ref="F49">F$9*$L49</f>
        <v/>
      </c>
      <c r="G49" s="83">
        <f t="array" ref="G49">G$9*$L49</f>
        <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f t="array" ref="C50">H50+I50</f>
        <v/>
      </c>
      <c r="D50" s="83">
        <f t="array" ref="D50">D$9*$L50</f>
        <v/>
      </c>
      <c r="E50" s="83">
        <f t="array" ref="E50">E$9*$L50</f>
        <v/>
      </c>
      <c r="F50" s="83">
        <f t="array" ref="F50">F$9*$L50</f>
        <v/>
      </c>
      <c r="G50" s="83">
        <f t="array" ref="G50">G$9*$L50</f>
        <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f t="array" ref="C51">H51+I51</f>
        <v/>
      </c>
      <c r="D51" s="83">
        <f t="array" ref="D51">D$9*$L51</f>
        <v/>
      </c>
      <c r="E51" s="83">
        <f t="array" ref="E51">E$9*$L51</f>
        <v/>
      </c>
      <c r="F51" s="83">
        <f t="array" ref="F51">F$9*$L51</f>
        <v/>
      </c>
      <c r="G51" s="83">
        <f t="array" ref="G51">G$9*$L51</f>
        <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f t="array" ref="C52">H52+I52</f>
        <v/>
      </c>
      <c r="D52" s="83">
        <f t="array" ref="D52">D$9*$L52</f>
        <v/>
      </c>
      <c r="E52" s="83">
        <f t="array" ref="E52">E$9*$L52</f>
        <v/>
      </c>
      <c r="F52" s="83">
        <f t="array" ref="F52">F$9*$L52</f>
        <v/>
      </c>
      <c r="G52" s="83">
        <f t="array" ref="G52">G$9*$L52</f>
        <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f t="array" ref="C53">H53+I53</f>
        <v/>
      </c>
      <c r="D53" s="83">
        <f t="array" ref="D53">D$9*$L53</f>
        <v/>
      </c>
      <c r="E53" s="83">
        <f t="array" ref="E53">E$9*$L53</f>
        <v/>
      </c>
      <c r="F53" s="83">
        <f t="array" ref="F53">F$9*$L53</f>
        <v/>
      </c>
      <c r="G53" s="83">
        <f t="array" ref="G53">G$9*$L53</f>
        <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f t="array" ref="C54">H54+I54</f>
        <v/>
      </c>
      <c r="D54" s="83">
        <f t="array" ref="D54">D$9*$L54</f>
        <v/>
      </c>
      <c r="E54" s="83">
        <f t="array" ref="E54">E$9*$L54</f>
        <v/>
      </c>
      <c r="F54" s="83">
        <f t="array" ref="F54">F$9*$L54</f>
        <v/>
      </c>
      <c r="G54" s="83">
        <f t="array" ref="G54">G$9*$L54</f>
        <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f t="array" ref="C55">H55+I55</f>
        <v/>
      </c>
      <c r="D55" s="83">
        <f t="array" ref="D55">D$9*$L55</f>
        <v/>
      </c>
      <c r="E55" s="83">
        <f t="array" ref="E55">E$9*$L55</f>
        <v/>
      </c>
      <c r="F55" s="83">
        <f t="array" ref="F55">F$9*$L55</f>
        <v/>
      </c>
      <c r="G55" s="83">
        <f t="array" ref="G55">G$9*$L55</f>
        <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f t="array" ref="C56">H56+I56</f>
        <v/>
      </c>
      <c r="D56" s="83">
        <f t="array" ref="D56">D$9*$L56</f>
        <v/>
      </c>
      <c r="E56" s="83">
        <f t="array" ref="E56">E$9*$L56</f>
        <v/>
      </c>
      <c r="F56" s="83">
        <f t="array" ref="F56">F$9*$L56</f>
        <v/>
      </c>
      <c r="G56" s="83">
        <f t="array" ref="G56">G$9*$L56</f>
        <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f t="array" ref="C57">H57+I57</f>
        <v/>
      </c>
      <c r="D57" s="83">
        <f t="array" ref="D57">D$9*$L57</f>
        <v/>
      </c>
      <c r="E57" s="83">
        <f t="array" ref="E57">E$9*$L57</f>
        <v/>
      </c>
      <c r="F57" s="83">
        <f t="array" ref="F57">F$9*$L57</f>
        <v/>
      </c>
      <c r="G57" s="83">
        <f t="array" ref="G57">G$9*$L57</f>
        <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f t="array" ref="C58">H58+I58</f>
        <v/>
      </c>
      <c r="D58" s="83">
        <f t="array" ref="D58">D$9*$L58</f>
        <v/>
      </c>
      <c r="E58" s="83">
        <f t="array" ref="E58">E$9*$L58</f>
        <v/>
      </c>
      <c r="F58" s="83">
        <f t="array" ref="F58">F$9*$L58</f>
        <v/>
      </c>
      <c r="G58" s="83">
        <f t="array" ref="G58">G$9*$L58</f>
        <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f t="array" ref="C59">H59+I59</f>
        <v/>
      </c>
      <c r="D59" s="83">
        <f t="array" ref="D59">D$9*$L59</f>
        <v/>
      </c>
      <c r="E59" s="83">
        <f t="array" ref="E59">E$9*$L59</f>
        <v/>
      </c>
      <c r="F59" s="83">
        <f t="array" ref="F59">F$9*$L59</f>
        <v/>
      </c>
      <c r="G59" s="83">
        <f t="array" ref="G59">G$9*$L59</f>
        <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f t="array" ref="C60">H60+I60</f>
        <v/>
      </c>
      <c r="D60" s="83">
        <f t="array" ref="D60">D$9*$L60</f>
        <v/>
      </c>
      <c r="E60" s="83">
        <f t="array" ref="E60">E$9*$L60</f>
        <v/>
      </c>
      <c r="F60" s="83">
        <f t="array" ref="F60">F$9*$L60</f>
        <v/>
      </c>
      <c r="G60" s="83">
        <f t="array" ref="G60">G$9*$L60</f>
        <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f t="array" ref="C61">H61+I61</f>
        <v/>
      </c>
      <c r="D61" s="83">
        <f t="array" ref="D61">D$9*$L61</f>
        <v/>
      </c>
      <c r="E61" s="83">
        <f t="array" ref="E61">E$9*$L61</f>
        <v/>
      </c>
      <c r="F61" s="83">
        <f t="array" ref="F61">F$9*$L61</f>
        <v/>
      </c>
      <c r="G61" s="83">
        <f t="array" ref="G61">G$9*$L61</f>
        <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f t="array" ref="C62">H62+I62</f>
        <v/>
      </c>
      <c r="D62" s="83">
        <f t="array" ref="D62">D$9*$L62</f>
        <v/>
      </c>
      <c r="E62" s="83">
        <f t="array" ref="E62">E$9*$L62</f>
        <v/>
      </c>
      <c r="F62" s="83">
        <f t="array" ref="F62">F$9*$L62</f>
        <v/>
      </c>
      <c r="G62" s="83">
        <f t="array" ref="G62">G$9*$L62</f>
        <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f t="array" ref="C63">H63+I63</f>
        <v/>
      </c>
      <c r="D63" s="83">
        <f t="array" ref="D63">D$9*$L63</f>
        <v/>
      </c>
      <c r="E63" s="83">
        <f t="array" ref="E63">E$9*$L63</f>
        <v/>
      </c>
      <c r="F63" s="83">
        <f t="array" ref="F63">F$9*$L63</f>
        <v/>
      </c>
      <c r="G63" s="83">
        <f t="array" ref="G63">G$9*$L63</f>
        <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f t="array" ref="C64">H64+I64</f>
        <v/>
      </c>
      <c r="D64" s="83">
        <f t="array" ref="D64">D$9*$L64</f>
        <v/>
      </c>
      <c r="E64" s="83">
        <f t="array" ref="E64">E$9*$L64</f>
        <v/>
      </c>
      <c r="F64" s="83">
        <f t="array" ref="F64">F$9*$L64</f>
        <v/>
      </c>
      <c r="G64" s="83">
        <f t="array" ref="G64">G$9*$L64</f>
        <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f t="array" ref="C65">H65+I65</f>
        <v/>
      </c>
      <c r="D65" s="83">
        <f t="array" ref="D65">D$9*$L65</f>
        <v/>
      </c>
      <c r="E65" s="83">
        <f t="array" ref="E65">E$9*$L65</f>
        <v/>
      </c>
      <c r="F65" s="83">
        <f t="array" ref="F65">F$9*$L65</f>
        <v/>
      </c>
      <c r="G65" s="83">
        <f t="array" ref="G65">G$9*$L65</f>
        <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f t="array" ref="C66">H66+I66</f>
        <v/>
      </c>
      <c r="D66" s="120">
        <f t="array" ref="D66">D$9*$L66</f>
        <v/>
      </c>
      <c r="E66" s="120">
        <f t="array" ref="E66">E$9*$L66</f>
        <v/>
      </c>
      <c r="F66" s="120">
        <f t="array" ref="F66">F$9*$L66</f>
        <v/>
      </c>
      <c r="G66" s="120">
        <f t="array" ref="G66">G$9*$L66</f>
        <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f t="array" ref="C67">H67+I67</f>
        <v/>
      </c>
      <c r="D67" s="55">
        <f t="array" ref="D67">D$9*$L67</f>
        <v/>
      </c>
      <c r="E67" s="55">
        <f t="array" ref="E67">E$9*$L67</f>
        <v/>
      </c>
      <c r="F67" s="55">
        <f t="array" ref="F67">F$9*$L67</f>
        <v/>
      </c>
      <c r="G67" s="55">
        <f t="array" ref="G67">G$9*$L67</f>
        <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f t="array" ref="C68">H68+I68</f>
        <v/>
      </c>
      <c r="D68" s="55">
        <f t="array" ref="D68">D$9*$L68</f>
        <v/>
      </c>
      <c r="E68" s="55">
        <f t="array" ref="E68">E$9*$L68</f>
        <v/>
      </c>
      <c r="F68" s="55">
        <f t="array" ref="F68">F$9*$L68</f>
        <v/>
      </c>
      <c r="G68" s="55">
        <f t="array" ref="G68">G$9*$L68</f>
        <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f t="array" ref="C69">H69+I69</f>
        <v/>
      </c>
      <c r="D69" s="55">
        <f t="array" ref="D69">D$9*$L69</f>
        <v/>
      </c>
      <c r="E69" s="55">
        <f t="array" ref="E69">E$9*$L69</f>
        <v/>
      </c>
      <c r="F69" s="55">
        <f t="array" ref="F69">F$9*$L69</f>
        <v/>
      </c>
      <c r="G69" s="55">
        <f t="array" ref="G69">G$9*$L69</f>
        <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f t="array" ref="C70">H70+I70</f>
        <v/>
      </c>
      <c r="D70" s="55">
        <f t="array" ref="D70">D$9*$L70</f>
        <v/>
      </c>
      <c r="E70" s="55">
        <f t="array" ref="E70">E$9*$L70</f>
        <v/>
      </c>
      <c r="F70" s="55">
        <f t="array" ref="F70">F$9*$L70</f>
        <v/>
      </c>
      <c r="G70" s="55">
        <f t="array" ref="G70">G$9*$L70</f>
        <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f t="array" ref="C71">H71+I71</f>
        <v/>
      </c>
      <c r="D71" s="55">
        <f t="array" ref="D71">D$9*$L71</f>
        <v/>
      </c>
      <c r="E71" s="55">
        <f t="array" ref="E71">E$9*$L71</f>
        <v/>
      </c>
      <c r="F71" s="55">
        <f t="array" ref="F71">F$9*$L71</f>
        <v/>
      </c>
      <c r="G71" s="55">
        <f t="array" ref="G71">G$9*$L71</f>
        <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f t="array" ref="C72">H72+I72</f>
        <v/>
      </c>
      <c r="D72" s="55">
        <f t="array" ref="D72">D$9*$L72</f>
        <v/>
      </c>
      <c r="E72" s="55">
        <f t="array" ref="E72">E$9*$L72</f>
        <v/>
      </c>
      <c r="F72" s="55">
        <f t="array" ref="F72">F$9*$L72</f>
        <v/>
      </c>
      <c r="G72" s="55">
        <f t="array" ref="G72">G$9*$L72</f>
        <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f t="array" ref="C73">H73+I73</f>
        <v/>
      </c>
      <c r="D73" s="55">
        <f t="array" ref="D73">D$9*$L73</f>
        <v/>
      </c>
      <c r="E73" s="55">
        <f t="array" ref="E73">E$9*$L73</f>
        <v/>
      </c>
      <c r="F73" s="55">
        <f t="array" ref="F73">F$9*$L73</f>
        <v/>
      </c>
      <c r="G73" s="55">
        <f t="array" ref="G73">G$9*$L73</f>
        <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f t="array" ref="C74">H74+I74</f>
        <v/>
      </c>
      <c r="D74" s="55">
        <f t="array" ref="D74">D$9*$L74</f>
        <v/>
      </c>
      <c r="E74" s="55">
        <f t="array" ref="E74">E$9*$L74</f>
        <v/>
      </c>
      <c r="F74" s="55">
        <f t="array" ref="F74">F$9*$L74</f>
        <v/>
      </c>
      <c r="G74" s="55">
        <f t="array" ref="G74">G$9*$L74</f>
        <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f t="array" ref="C75">H75+I75</f>
        <v/>
      </c>
      <c r="D75" s="55">
        <f t="array" ref="D75">D$9*$L75</f>
        <v/>
      </c>
      <c r="E75" s="55">
        <f t="array" ref="E75">E$9*$L75</f>
        <v/>
      </c>
      <c r="F75" s="55">
        <f t="array" ref="F75">F$9*$L75</f>
        <v/>
      </c>
      <c r="G75" s="55">
        <f t="array" ref="G75">G$9*$L75</f>
        <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f t="array" ref="C76">H76+I76</f>
        <v/>
      </c>
      <c r="D76" s="55">
        <f t="array" ref="D76">D$9*$L76</f>
        <v/>
      </c>
      <c r="E76" s="55">
        <f t="array" ref="E76">E$9*$L76</f>
        <v/>
      </c>
      <c r="F76" s="55">
        <f t="array" ref="F76">F$9*$L76</f>
        <v/>
      </c>
      <c r="G76" s="55">
        <f t="array" ref="G76">G$9*$L76</f>
        <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f t="array" ref="C77">H77+I77</f>
        <v/>
      </c>
      <c r="D77" s="55">
        <f t="array" ref="D77">D$9*$L77</f>
        <v/>
      </c>
      <c r="E77" s="55">
        <f t="array" ref="E77">E$9*$L77</f>
        <v/>
      </c>
      <c r="F77" s="55">
        <f t="array" ref="F77">F$9*$L77</f>
        <v/>
      </c>
      <c r="G77" s="55">
        <f t="array" ref="G77">G$9*$L77</f>
        <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f t="array" ref="C78">H78+I78</f>
        <v/>
      </c>
      <c r="D78" s="55">
        <f t="array" ref="D78">D$9*$L78</f>
        <v/>
      </c>
      <c r="E78" s="55">
        <f t="array" ref="E78">E$9*$L78</f>
        <v/>
      </c>
      <c r="F78" s="55">
        <f t="array" ref="F78">F$9*$L78</f>
        <v/>
      </c>
      <c r="G78" s="55">
        <f t="array" ref="G78">G$9*$L78</f>
        <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f t="array" ref="C79">H79+I79</f>
        <v/>
      </c>
      <c r="D79" s="55">
        <f t="array" ref="D79">D$9*$L79</f>
        <v/>
      </c>
      <c r="E79" s="55">
        <f t="array" ref="E79">E$9*$L79</f>
        <v/>
      </c>
      <c r="F79" s="55">
        <f t="array" ref="F79">F$9*$L79</f>
        <v/>
      </c>
      <c r="G79" s="55">
        <f t="array" ref="G79">G$9*$L79</f>
        <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f t="array" ref="C80">H80+I80</f>
        <v/>
      </c>
      <c r="D80" s="55">
        <f t="array" ref="D80">D$9*$L80</f>
        <v/>
      </c>
      <c r="E80" s="55">
        <f t="array" ref="E80">E$9*$L80</f>
        <v/>
      </c>
      <c r="F80" s="55">
        <f t="array" ref="F80">F$9*$L80</f>
        <v/>
      </c>
      <c r="G80" s="55">
        <f t="array" ref="G80">G$9*$L80</f>
        <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f t="array" ref="C81">H81+I81</f>
        <v/>
      </c>
      <c r="D81" s="55">
        <f t="array" ref="D81">D$9*$L81</f>
        <v/>
      </c>
      <c r="E81" s="55">
        <f t="array" ref="E81">E$9*$L81</f>
        <v/>
      </c>
      <c r="F81" s="55">
        <f t="array" ref="F81">F$9*$L81</f>
        <v/>
      </c>
      <c r="G81" s="55">
        <f t="array" ref="G81">G$9*$L81</f>
        <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f t="array" ref="C82">H82+I82</f>
        <v/>
      </c>
      <c r="D82" s="55">
        <f t="array" ref="D82">D$9*$L82</f>
        <v/>
      </c>
      <c r="E82" s="55">
        <f t="array" ref="E82">E$9*$L82</f>
        <v/>
      </c>
      <c r="F82" s="55">
        <f t="array" ref="F82">F$9*$L82</f>
        <v/>
      </c>
      <c r="G82" s="55">
        <f t="array" ref="G82">G$9*$L82</f>
        <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f t="array" ref="C83">H83+I83</f>
        <v/>
      </c>
      <c r="D83" s="55">
        <f t="array" ref="D83">D$9*$L83</f>
        <v/>
      </c>
      <c r="E83" s="55">
        <f t="array" ref="E83">E$9*$L83</f>
        <v/>
      </c>
      <c r="F83" s="55">
        <f t="array" ref="F83">F$9*$L83</f>
        <v/>
      </c>
      <c r="G83" s="55">
        <f t="array" ref="G83">G$9*$L83</f>
        <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f t="array" ref="C84">H84+I84</f>
        <v/>
      </c>
      <c r="D84" s="55">
        <f t="array" ref="D84">D$9*$L84</f>
        <v/>
      </c>
      <c r="E84" s="55">
        <f t="array" ref="E84">E$9*$L84</f>
        <v/>
      </c>
      <c r="F84" s="55">
        <f t="array" ref="F84">F$9*$L84</f>
        <v/>
      </c>
      <c r="G84" s="55">
        <f t="array" ref="G84">G$9*$L84</f>
        <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f t="array" ref="C85">H85+I85</f>
        <v/>
      </c>
      <c r="D85" s="55">
        <f t="array" ref="D85">D$9*$L85</f>
        <v/>
      </c>
      <c r="E85" s="55">
        <f t="array" ref="E85">E$9*$L85</f>
        <v/>
      </c>
      <c r="F85" s="55">
        <f t="array" ref="F85">F$9*$L85</f>
        <v/>
      </c>
      <c r="G85" s="55">
        <f t="array" ref="G85">G$9*$L85</f>
        <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f t="array" ref="C86">H86+I86</f>
        <v/>
      </c>
      <c r="D86" s="55">
        <f t="array" ref="D86">D$9*$L86</f>
        <v/>
      </c>
      <c r="E86" s="55">
        <f t="array" ref="E86">E$9*$L86</f>
        <v/>
      </c>
      <c r="F86" s="55">
        <f t="array" ref="F86">F$9*$L86</f>
        <v/>
      </c>
      <c r="G86" s="55">
        <f t="array" ref="G86">G$9*$L86</f>
        <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f t="array" ref="C87">H87+I87</f>
        <v/>
      </c>
      <c r="D87" s="55">
        <f t="array" ref="D87">D$9*$L87</f>
        <v/>
      </c>
      <c r="E87" s="55">
        <f t="array" ref="E87">E$9*$L87</f>
        <v/>
      </c>
      <c r="F87" s="55">
        <f t="array" ref="F87">F$9*$L87</f>
        <v/>
      </c>
      <c r="G87" s="55">
        <f t="array" ref="G87">G$9*$L87</f>
        <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f t="array" ref="C88">H88+I88</f>
        <v/>
      </c>
      <c r="D88" s="55">
        <f t="array" ref="D88">D$9*$L88</f>
        <v/>
      </c>
      <c r="E88" s="55">
        <f t="array" ref="E88">E$9*$L88</f>
        <v/>
      </c>
      <c r="F88" s="55">
        <f t="array" ref="F88">F$9*$L88</f>
        <v/>
      </c>
      <c r="G88" s="55">
        <f t="array" ref="G88">G$9*$L88</f>
        <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f t="array" ref="C89">H89+I89</f>
        <v/>
      </c>
      <c r="D89" s="55">
        <f t="array" ref="D89">D$9*$L89</f>
        <v/>
      </c>
      <c r="E89" s="55">
        <f t="array" ref="E89">E$9*$L89</f>
        <v/>
      </c>
      <c r="F89" s="55">
        <f t="array" ref="F89">F$9*$L89</f>
        <v/>
      </c>
      <c r="G89" s="55">
        <f t="array" ref="G89">G$9*$L89</f>
        <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f t="array" ref="C90">H90+I90</f>
        <v/>
      </c>
      <c r="D90" s="55">
        <f t="array" ref="D90">D$9*$L90</f>
        <v/>
      </c>
      <c r="E90" s="55">
        <f t="array" ref="E90">E$9*$L90</f>
        <v/>
      </c>
      <c r="F90" s="55">
        <f t="array" ref="F90">F$9*$L90</f>
        <v/>
      </c>
      <c r="G90" s="55">
        <f t="array" ref="G90">G$9*$L90</f>
        <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f t="array" ref="C91">H91+I91</f>
        <v/>
      </c>
      <c r="D91" s="55">
        <f t="array" ref="D91">D$9*$L91</f>
        <v/>
      </c>
      <c r="E91" s="55">
        <f t="array" ref="E91">E$9*$L91</f>
        <v/>
      </c>
      <c r="F91" s="55">
        <f t="array" ref="F91">F$9*$L91</f>
        <v/>
      </c>
      <c r="G91" s="55">
        <f t="array" ref="G91">G$9*$L91</f>
        <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f t="array" ref="C92">H92+I92</f>
        <v/>
      </c>
      <c r="D92" s="55">
        <f t="array" ref="D92">D$9*$L92</f>
        <v/>
      </c>
      <c r="E92" s="55">
        <f t="array" ref="E92">E$9*$L92</f>
        <v/>
      </c>
      <c r="F92" s="55">
        <f t="array" ref="F92">F$9*$L92</f>
        <v/>
      </c>
      <c r="G92" s="55">
        <f t="array" ref="G92">G$9*$L92</f>
        <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f t="array" ref="C93">H93+I93</f>
        <v/>
      </c>
      <c r="D93" s="55">
        <f t="array" ref="D93">D$9*$L93</f>
        <v/>
      </c>
      <c r="E93" s="55">
        <f t="array" ref="E93">E$9*$L93</f>
        <v/>
      </c>
      <c r="F93" s="55">
        <f t="array" ref="F93">F$9*$L93</f>
        <v/>
      </c>
      <c r="G93" s="55">
        <f t="array" ref="G93">G$9*$L93</f>
        <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f t="array" ref="C94">H94+I94</f>
        <v/>
      </c>
      <c r="D94" s="55">
        <f t="array" ref="D94">D$9*$L94</f>
        <v/>
      </c>
      <c r="E94" s="55">
        <f t="array" ref="E94">E$9*$L94</f>
        <v/>
      </c>
      <c r="F94" s="55">
        <f t="array" ref="F94">F$9*$L94</f>
        <v/>
      </c>
      <c r="G94" s="55">
        <f t="array" ref="G94">G$9*$L94</f>
        <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f t="array" ref="C95">H95+I95</f>
        <v/>
      </c>
      <c r="D95" s="55">
        <f t="array" ref="D95">D$9*$L95</f>
        <v/>
      </c>
      <c r="E95" s="55">
        <f t="array" ref="E95">E$9*$L95</f>
        <v/>
      </c>
      <c r="F95" s="55">
        <f t="array" ref="F95">F$9*$L95</f>
        <v/>
      </c>
      <c r="G95" s="55">
        <f t="array" ref="G95">G$9*$L95</f>
        <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f t="array" ref="C96">H96+I96</f>
        <v/>
      </c>
      <c r="D96" s="55">
        <f t="array" ref="D96">D$9*$L96</f>
        <v/>
      </c>
      <c r="E96" s="55">
        <f t="array" ref="E96">E$9*$L96</f>
        <v/>
      </c>
      <c r="F96" s="55">
        <f t="array" ref="F96">F$9*$L96</f>
        <v/>
      </c>
      <c r="G96" s="55">
        <f t="array" ref="G96">G$9*$L96</f>
        <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f t="array" ref="C97">H97+I97</f>
        <v/>
      </c>
      <c r="D97" s="55">
        <f t="array" ref="D97">D$9*$L97</f>
        <v/>
      </c>
      <c r="E97" s="55">
        <f t="array" ref="E97">E$9*$L97</f>
        <v/>
      </c>
      <c r="F97" s="55">
        <f t="array" ref="F97">F$9*$L97</f>
        <v/>
      </c>
      <c r="G97" s="55">
        <f t="array" ref="G97">G$9*$L97</f>
        <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f t="array" ref="C98">H98+I98</f>
        <v/>
      </c>
      <c r="D98" s="55">
        <f t="array" ref="D98">D$9*$L98</f>
        <v/>
      </c>
      <c r="E98" s="55">
        <f t="array" ref="E98">E$9*$L98</f>
        <v/>
      </c>
      <c r="F98" s="55">
        <f t="array" ref="F98">F$9*$L98</f>
        <v/>
      </c>
      <c r="G98" s="55">
        <f t="array" ref="G98">G$9*$L98</f>
        <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f t="array" ref="C99">H99+I99</f>
        <v/>
      </c>
      <c r="D99" s="55">
        <f t="array" ref="D99">D$9*$L99</f>
        <v/>
      </c>
      <c r="E99" s="55">
        <f t="array" ref="E99">E$9*$L99</f>
        <v/>
      </c>
      <c r="F99" s="55">
        <f t="array" ref="F99">F$9*$L99</f>
        <v/>
      </c>
      <c r="G99" s="55">
        <f t="array" ref="G99">G$9*$L99</f>
        <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f t="array" ref="C100">H100+I100</f>
        <v/>
      </c>
      <c r="D100" s="55">
        <f t="array" ref="D100">D$9*$L100</f>
        <v/>
      </c>
      <c r="E100" s="55">
        <f t="array" ref="E100">E$9*$L100</f>
        <v/>
      </c>
      <c r="F100" s="55">
        <f t="array" ref="F100">F$9*$L100</f>
        <v/>
      </c>
      <c r="G100" s="55">
        <f t="array" ref="G100">G$9*$L100</f>
        <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f t="array" ref="C101">H101+I101</f>
        <v/>
      </c>
      <c r="D101" s="55">
        <f t="array" ref="D101">D$9*$L101</f>
        <v/>
      </c>
      <c r="E101" s="55">
        <f t="array" ref="E101">E$9*$L101</f>
        <v/>
      </c>
      <c r="F101" s="55">
        <f t="array" ref="F101">F$9*$L101</f>
        <v/>
      </c>
      <c r="G101" s="55">
        <f t="array" ref="G101">G$9*$L101</f>
        <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f t="array" ref="C102">H102+I102</f>
        <v/>
      </c>
      <c r="D102" s="55">
        <f t="array" ref="D102">D$9*$L102</f>
        <v/>
      </c>
      <c r="E102" s="55">
        <f t="array" ref="E102">E$9*$L102</f>
        <v/>
      </c>
      <c r="F102" s="55">
        <f t="array" ref="F102">F$9*$L102</f>
        <v/>
      </c>
      <c r="G102" s="55">
        <f t="array" ref="G102">G$9*$L102</f>
        <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f t="array" ref="C103">H103+I103</f>
        <v/>
      </c>
      <c r="D103" s="55">
        <f t="array" ref="D103">D$9*$L103</f>
        <v/>
      </c>
      <c r="E103" s="55">
        <f t="array" ref="E103">E$9*$L103</f>
        <v/>
      </c>
      <c r="F103" s="55">
        <f t="array" ref="F103">F$9*$L103</f>
        <v/>
      </c>
      <c r="G103" s="55">
        <f t="array" ref="G103">G$9*$L103</f>
        <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f t="array" ref="C104">H104+I104</f>
        <v/>
      </c>
      <c r="D104" s="55">
        <f t="array" ref="D104">D$9*$L104</f>
        <v/>
      </c>
      <c r="E104" s="55">
        <f t="array" ref="E104">E$9*$L104</f>
        <v/>
      </c>
      <c r="F104" s="55">
        <f t="array" ref="F104">F$9*$L104</f>
        <v/>
      </c>
      <c r="G104" s="55">
        <f t="array" ref="G104">G$9*$L104</f>
        <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f t="array" ref="C105">H105+I105</f>
        <v/>
      </c>
      <c r="D105" s="55">
        <f t="array" ref="D105">D$9*$L105</f>
        <v/>
      </c>
      <c r="E105" s="55">
        <f t="array" ref="E105">E$9*$L105</f>
        <v/>
      </c>
      <c r="F105" s="55">
        <f t="array" ref="F105">F$9*$L105</f>
        <v/>
      </c>
      <c r="G105" s="55">
        <f t="array" ref="G105">G$9*$L105</f>
        <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f t="array" ref="C106">H106+I106</f>
        <v/>
      </c>
      <c r="D106" s="55">
        <f t="array" ref="D106">D$9*$L106</f>
        <v/>
      </c>
      <c r="E106" s="55">
        <f t="array" ref="E106">E$9*$L106</f>
        <v/>
      </c>
      <c r="F106" s="55">
        <f t="array" ref="F106">F$9*$L106</f>
        <v/>
      </c>
      <c r="G106" s="55">
        <f t="array" ref="G106">G$9*$L106</f>
        <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f t="array" ref="C107">H107+I107</f>
        <v/>
      </c>
      <c r="D107" s="55">
        <f t="array" ref="D107">D$9*$L107</f>
        <v/>
      </c>
      <c r="E107" s="55">
        <f t="array" ref="E107">E$9*$L107</f>
        <v/>
      </c>
      <c r="F107" s="55">
        <f t="array" ref="F107">F$9*$L107</f>
        <v/>
      </c>
      <c r="G107" s="55">
        <f t="array" ref="G107">G$9*$L107</f>
        <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f t="array" ref="C108">H108+I108</f>
        <v/>
      </c>
      <c r="D108" s="55">
        <f t="array" ref="D108">D$9*$L108</f>
        <v/>
      </c>
      <c r="E108" s="55">
        <f t="array" ref="E108">E$9*$L108</f>
        <v/>
      </c>
      <c r="F108" s="55">
        <f t="array" ref="F108">F$9*$L108</f>
        <v/>
      </c>
      <c r="G108" s="55">
        <f t="array" ref="G108">G$9*$L108</f>
        <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f t="array" ref="C109">H109+I109</f>
        <v/>
      </c>
      <c r="D109" s="55">
        <f t="array" ref="D109">D$9*$L109</f>
        <v/>
      </c>
      <c r="E109" s="55">
        <f t="array" ref="E109">E$9*$L109</f>
        <v/>
      </c>
      <c r="F109" s="55">
        <f t="array" ref="F109">F$9*$L109</f>
        <v/>
      </c>
      <c r="G109" s="55">
        <f t="array" ref="G109">G$9*$L109</f>
        <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f t="array" ref="C110">H110+I110</f>
        <v/>
      </c>
      <c r="D110" s="55">
        <f t="array" ref="D110">D$9*$L110</f>
        <v/>
      </c>
      <c r="E110" s="55">
        <f t="array" ref="E110">E$9*$L110</f>
        <v/>
      </c>
      <c r="F110" s="55">
        <f t="array" ref="F110">F$9*$L110</f>
        <v/>
      </c>
      <c r="G110" s="55">
        <f t="array" ref="G110">G$9*$L110</f>
        <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https://www.ons.gov.uk/peoplepopulationandcommunity/populationandmigration/internationalmigration/bulletins/longterminternationalmigrationprovisional/yearendingjune2025; downloaded 46155; we used the 10-year average number of migrants (2015-2024); not for all countries age-related data is available so the number of migrants is binomially distributed between the age of 6 and 44 (μ=25, σ=10); the numbers are only available until 2019, so we used this numbers for all further years</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778000</v>
      </c>
      <c r="D189" s="112" t="n">
        <v>2973</v>
      </c>
      <c r="E189" s="112" t="n">
        <v>4720</v>
      </c>
      <c r="F189" s="129">
        <f t="array" ref="F189">J189-D189</f>
        <v/>
      </c>
      <c r="G189" s="118">
        <f t="array" ref="G189">K189-E189</f>
        <v/>
      </c>
      <c r="H189" s="83">
        <f t="array" ref="H189">E189+D189</f>
        <v/>
      </c>
      <c r="I189" s="128">
        <f t="array" ref="I189">G189+F189</f>
        <v/>
      </c>
      <c r="J189" s="112" t="n">
        <v>69345</v>
      </c>
      <c r="K189" s="112" t="n">
        <v>96978</v>
      </c>
      <c r="L189" s="131" t="n"/>
    </row>
    <row r="190" ht="20.65" customHeight="1" s="206">
      <c r="A190" s="10" t="n"/>
      <c r="B190" s="127">
        <f t="array" ref="B190">$B191-1</f>
        <v/>
      </c>
      <c r="C190" s="128" t="n">
        <v>832000</v>
      </c>
      <c r="D190" s="112" t="n">
        <v>3133</v>
      </c>
      <c r="E190" s="112" t="n">
        <v>4692</v>
      </c>
      <c r="F190" s="129">
        <f t="array" ref="F190">J190-D190</f>
        <v/>
      </c>
      <c r="G190" s="118">
        <f t="array" ref="G190">K190-E190</f>
        <v/>
      </c>
      <c r="H190" s="83">
        <f t="array" ref="H190">E190+D190</f>
        <v/>
      </c>
      <c r="I190" s="128">
        <f t="array" ref="I190">G190+F190</f>
        <v/>
      </c>
      <c r="J190" s="112" t="n">
        <v>59191</v>
      </c>
      <c r="K190" s="112" t="n">
        <v>70318</v>
      </c>
      <c r="L190" s="131" t="n"/>
    </row>
    <row r="191" ht="20.65" customHeight="1" s="206">
      <c r="A191" s="10" t="n"/>
      <c r="B191" s="127">
        <f t="array" ref="B191">$B192-1</f>
        <v/>
      </c>
      <c r="C191" s="128" t="n">
        <v>718000</v>
      </c>
      <c r="D191" s="112" t="n">
        <v>3183</v>
      </c>
      <c r="E191" s="112" t="n">
        <v>4675</v>
      </c>
      <c r="F191" s="129">
        <f t="array" ref="F191">J191-D191</f>
        <v/>
      </c>
      <c r="G191" s="118">
        <f t="array" ref="G191">K191-E191</f>
        <v/>
      </c>
      <c r="H191" s="83">
        <f t="array" ref="H191">E191+D191</f>
        <v/>
      </c>
      <c r="I191" s="128">
        <f t="array" ref="I191">G191+F191</f>
        <v/>
      </c>
      <c r="J191" s="112" t="n">
        <v>52863</v>
      </c>
      <c r="K191" s="112" t="n">
        <v>58938</v>
      </c>
      <c r="L191" s="131" t="n"/>
    </row>
    <row r="192" ht="20.65" customHeight="1" s="206">
      <c r="A192" s="10" t="n"/>
      <c r="B192" s="127">
        <f t="array" ref="B192">$B193-1</f>
        <v/>
      </c>
      <c r="C192" s="128" t="n">
        <v>757000</v>
      </c>
      <c r="D192" s="112" t="n">
        <v>3083</v>
      </c>
      <c r="E192" s="112" t="n">
        <v>4455</v>
      </c>
      <c r="F192" s="129">
        <f t="array" ref="F192">J192-D192</f>
        <v/>
      </c>
      <c r="G192" s="118">
        <f t="array" ref="G192">K192-E192</f>
        <v/>
      </c>
      <c r="H192" s="83">
        <f t="array" ref="H192">E192+D192</f>
        <v/>
      </c>
      <c r="I192" s="128">
        <f t="array" ref="I192">G192+F192</f>
        <v/>
      </c>
      <c r="J192" s="112" t="n">
        <v>49456</v>
      </c>
      <c r="K192" s="112" t="n">
        <v>56177</v>
      </c>
      <c r="L192" s="131" t="n"/>
    </row>
    <row r="193" ht="20.65" customHeight="1" s="206">
      <c r="A193" s="10" t="n"/>
      <c r="B193" s="127">
        <f t="array" ref="B193">$B194-1</f>
        <v/>
      </c>
      <c r="C193" s="128" t="n">
        <v>821000</v>
      </c>
      <c r="D193" s="112" t="n">
        <v>3270</v>
      </c>
      <c r="E193" s="112" t="n">
        <v>4619</v>
      </c>
      <c r="F193" s="129">
        <f t="array" ref="F193">J193-D193</f>
        <v/>
      </c>
      <c r="G193" s="118">
        <f t="array" ref="G193">K193-E193</f>
        <v/>
      </c>
      <c r="H193" s="83">
        <f t="array" ref="H193">E193+D193</f>
        <v/>
      </c>
      <c r="I193" s="128">
        <f t="array" ref="I193">G193+F193</f>
        <v/>
      </c>
      <c r="J193" s="112" t="n">
        <v>50613</v>
      </c>
      <c r="K193" s="112" t="n">
        <v>58554</v>
      </c>
      <c r="L193" s="131" t="n"/>
    </row>
    <row r="194" ht="20.65" customHeight="1" s="206">
      <c r="A194" s="10" t="n"/>
      <c r="B194" s="127">
        <f t="array" ref="B194">$B195-1</f>
        <v/>
      </c>
      <c r="C194" s="128" t="n">
        <v>736000</v>
      </c>
      <c r="D194" s="112" t="n">
        <v>3372</v>
      </c>
      <c r="E194" s="112" t="n">
        <v>4596</v>
      </c>
      <c r="F194" s="129">
        <f t="array" ref="F194">J194-D194</f>
        <v/>
      </c>
      <c r="G194" s="118">
        <f t="array" ref="G194">K194-E194</f>
        <v/>
      </c>
      <c r="H194" s="83">
        <f t="array" ref="H194">E194+D194</f>
        <v/>
      </c>
      <c r="I194" s="128">
        <f t="array" ref="I194">G194+F194</f>
        <v/>
      </c>
      <c r="J194" s="112" t="n">
        <v>47156</v>
      </c>
      <c r="K194" s="112" t="n">
        <v>56409</v>
      </c>
      <c r="L194" s="131" t="n"/>
    </row>
    <row r="195" ht="20.65" customHeight="1" s="206">
      <c r="A195" s="10" t="n"/>
      <c r="B195" s="127">
        <f t="array" ref="B195">$B196-1</f>
        <v/>
      </c>
      <c r="C195" s="128" t="n">
        <v>818000</v>
      </c>
      <c r="D195" s="112" t="n">
        <v>3178</v>
      </c>
      <c r="E195" s="112" t="n">
        <v>4358</v>
      </c>
      <c r="F195" s="129">
        <f t="array" ref="F195">J195-D195</f>
        <v/>
      </c>
      <c r="G195" s="118">
        <f t="array" ref="G195">K195-E195</f>
        <v/>
      </c>
      <c r="H195" s="83">
        <f t="array" ref="H195">E195+D195</f>
        <v/>
      </c>
      <c r="I195" s="128">
        <f t="array" ref="I195">G195+F195</f>
        <v/>
      </c>
      <c r="J195" s="112" t="n">
        <v>50392</v>
      </c>
      <c r="K195" s="112" t="n">
        <v>68119</v>
      </c>
      <c r="L195" s="131" t="n"/>
    </row>
    <row r="196" ht="20.65" customHeight="1" s="206">
      <c r="A196" s="10" t="n"/>
      <c r="B196" s="127">
        <f t="array" ref="B196">$B197-1</f>
        <v/>
      </c>
      <c r="C196" s="128" t="n">
        <v>1167000</v>
      </c>
      <c r="D196" s="112" t="n">
        <v>3604</v>
      </c>
      <c r="E196" s="112" t="n">
        <v>4491</v>
      </c>
      <c r="F196" s="129">
        <f t="array" ref="F196">J196-D196</f>
        <v/>
      </c>
      <c r="G196" s="118">
        <f t="array" ref="G196">K196-E196</f>
        <v/>
      </c>
      <c r="H196" s="83">
        <f t="array" ref="H196">E196+D196</f>
        <v/>
      </c>
      <c r="I196" s="128">
        <f t="array" ref="I196">G196+F196</f>
        <v/>
      </c>
      <c r="J196" s="112" t="n">
        <v>102165</v>
      </c>
      <c r="K196" s="112" t="n">
        <v>99457</v>
      </c>
      <c r="L196" s="131" t="n"/>
    </row>
    <row r="197" ht="20.65" customHeight="1" s="206">
      <c r="A197" s="10" t="n"/>
      <c r="B197" s="127">
        <f t="array" ref="B197">$B198-1</f>
        <v/>
      </c>
      <c r="C197" s="128" t="n">
        <v>1466000</v>
      </c>
      <c r="D197" s="112" t="n">
        <v>2805</v>
      </c>
      <c r="E197" s="112" t="n">
        <v>3714</v>
      </c>
      <c r="F197" s="129">
        <f t="array" ref="F197">J197-D197</f>
        <v/>
      </c>
      <c r="G197" s="118">
        <f t="array" ref="G197">K197-E197</f>
        <v/>
      </c>
      <c r="H197" s="83">
        <f t="array" ref="H197">E197+D197</f>
        <v/>
      </c>
      <c r="I197" s="128">
        <f t="array" ref="I197">G197+F197</f>
        <v/>
      </c>
      <c r="J197" s="112" t="n">
        <v>68403</v>
      </c>
      <c r="K197" s="112" t="n">
        <v>79188</v>
      </c>
      <c r="L197" s="131" t="n"/>
    </row>
    <row r="198" ht="20.45" customHeight="1" s="206">
      <c r="A198" s="10" t="n"/>
      <c r="B198" s="127">
        <f t="array" ref="B198">$C$7</f>
        <v/>
      </c>
      <c r="C198" s="128" t="n">
        <v>1299000</v>
      </c>
      <c r="D198" s="132" t="n">
        <v>3005</v>
      </c>
      <c r="E198" s="133" t="n">
        <v>3851</v>
      </c>
      <c r="F198" s="118">
        <f t="array" ref="F198">J198-D198</f>
        <v/>
      </c>
      <c r="G198" s="118">
        <f t="array" ref="G198">K198-E198</f>
        <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482000</v>
      </c>
      <c r="D276" s="112" t="n">
        <v>6293</v>
      </c>
      <c r="E276" s="112" t="n">
        <v>7863</v>
      </c>
      <c r="F276" s="129">
        <f t="array" ref="F276">J276-D276</f>
        <v/>
      </c>
      <c r="G276" s="118">
        <f t="array" ref="G276">K276-E276</f>
        <v/>
      </c>
      <c r="H276" s="83">
        <f t="array" ref="H276">E276+D276</f>
        <v/>
      </c>
      <c r="I276" s="128">
        <f t="array" ref="I276">G276+F276</f>
        <v/>
      </c>
      <c r="J276" s="112" t="n">
        <v>24746</v>
      </c>
      <c r="K276" s="112" t="n">
        <v>31943</v>
      </c>
      <c r="L276" s="131" t="n"/>
    </row>
    <row r="277" ht="20.65" customHeight="1" s="206">
      <c r="A277" s="10" t="n"/>
      <c r="B277" s="127">
        <f t="array" ref="B277">$B278-1</f>
        <v/>
      </c>
      <c r="C277" s="128" t="n">
        <v>511000</v>
      </c>
      <c r="D277" s="112" t="n">
        <v>6574</v>
      </c>
      <c r="E277" s="112" t="n">
        <v>7882</v>
      </c>
      <c r="F277" s="129">
        <f t="array" ref="F277">J277-D277</f>
        <v/>
      </c>
      <c r="G277" s="118">
        <f t="array" ref="G277">K277-E277</f>
        <v/>
      </c>
      <c r="H277" s="83">
        <f t="array" ref="H277">E277+D277</f>
        <v/>
      </c>
      <c r="I277" s="128">
        <f t="array" ref="I277">G277+F277</f>
        <v/>
      </c>
      <c r="J277" s="112" t="n">
        <v>28284</v>
      </c>
      <c r="K277" s="112" t="n">
        <v>36144</v>
      </c>
      <c r="L277" s="131" t="n"/>
    </row>
    <row r="278" ht="20.65" customHeight="1" s="206">
      <c r="A278" s="10" t="n"/>
      <c r="B278" s="127">
        <f t="array" ref="B278">$B279-1</f>
        <v/>
      </c>
      <c r="C278" s="128" t="n">
        <v>518000</v>
      </c>
      <c r="D278" s="112" t="n">
        <v>6677</v>
      </c>
      <c r="E278" s="112" t="n">
        <v>7953</v>
      </c>
      <c r="F278" s="129">
        <f t="array" ref="F278">J278-D278</f>
        <v/>
      </c>
      <c r="G278" s="118">
        <f t="array" ref="G278">K278-E278</f>
        <v/>
      </c>
      <c r="H278" s="83">
        <f t="array" ref="H278">E278+D278</f>
        <v/>
      </c>
      <c r="I278" s="128">
        <f t="array" ref="I278">G278+F278</f>
        <v/>
      </c>
      <c r="J278" s="112" t="n">
        <v>28364</v>
      </c>
      <c r="K278" s="112" t="n">
        <v>37780</v>
      </c>
      <c r="L278" s="131" t="n"/>
    </row>
    <row r="279" ht="20.65" customHeight="1" s="206">
      <c r="A279" s="10" t="n"/>
      <c r="B279" s="127">
        <f t="array" ref="B279">$B280-1</f>
        <v/>
      </c>
      <c r="C279" s="128" t="n">
        <v>541000</v>
      </c>
      <c r="D279" s="112" t="n">
        <v>6463</v>
      </c>
      <c r="E279" s="112" t="n">
        <v>7614</v>
      </c>
      <c r="F279" s="129">
        <f t="array" ref="F279">J279-D279</f>
        <v/>
      </c>
      <c r="G279" s="118">
        <f t="array" ref="G279">K279-E279</f>
        <v/>
      </c>
      <c r="H279" s="83">
        <f t="array" ref="H279">E279+D279</f>
        <v/>
      </c>
      <c r="I279" s="128">
        <f t="array" ref="I279">G279+F279</f>
        <v/>
      </c>
      <c r="J279" s="112" t="n">
        <v>28381</v>
      </c>
      <c r="K279" s="112" t="n">
        <v>38831</v>
      </c>
      <c r="L279" s="131" t="n"/>
    </row>
    <row r="280" ht="20.65" customHeight="1" s="206">
      <c r="A280" s="10" t="n"/>
      <c r="B280" s="127">
        <f t="array" ref="B280">$B281-1</f>
        <v/>
      </c>
      <c r="C280" s="128" t="n">
        <v>597000</v>
      </c>
      <c r="D280" s="112" t="n">
        <v>6647</v>
      </c>
      <c r="E280" s="112" t="n">
        <v>7657</v>
      </c>
      <c r="F280" s="129">
        <f t="array" ref="F280">J280-D280</f>
        <v/>
      </c>
      <c r="G280" s="118">
        <f t="array" ref="G280">K280-E280</f>
        <v/>
      </c>
      <c r="H280" s="83">
        <f t="array" ref="H280">E280+D280</f>
        <v/>
      </c>
      <c r="I280" s="128">
        <f t="array" ref="I280">G280+F280</f>
        <v/>
      </c>
      <c r="J280" s="112" t="n">
        <v>28842</v>
      </c>
      <c r="K280" s="112" t="n">
        <v>39438</v>
      </c>
      <c r="L280" s="131" t="n"/>
    </row>
    <row r="281" ht="20.65" customHeight="1" s="206">
      <c r="A281" s="10" t="n"/>
      <c r="B281" s="127">
        <f t="array" ref="B281">$B282-1</f>
        <v/>
      </c>
      <c r="C281" s="128" t="n">
        <v>625000</v>
      </c>
      <c r="D281" s="112" t="n">
        <v>5754</v>
      </c>
      <c r="E281" s="112" t="n">
        <v>6908</v>
      </c>
      <c r="F281" s="129">
        <f t="array" ref="F281">J281-D281</f>
        <v/>
      </c>
      <c r="G281" s="118">
        <f t="array" ref="G281">K281-E281</f>
        <v/>
      </c>
      <c r="H281" s="83">
        <f t="array" ref="H281">E281+D281</f>
        <v/>
      </c>
      <c r="I281" s="128">
        <f t="array" ref="I281">G281+F281</f>
        <v/>
      </c>
      <c r="J281" s="112" t="n">
        <v>26795</v>
      </c>
      <c r="K281" s="112" t="n">
        <v>35786</v>
      </c>
      <c r="L281" s="131" t="n"/>
    </row>
    <row r="282" ht="20.65" customHeight="1" s="206">
      <c r="A282" s="10" t="n"/>
      <c r="B282" s="127">
        <f t="array" ref="B282">$B283-1</f>
        <v/>
      </c>
      <c r="C282" s="128" t="n">
        <v>567000</v>
      </c>
      <c r="D282" s="112" t="n">
        <v>6086</v>
      </c>
      <c r="E282" s="112" t="n">
        <v>7127</v>
      </c>
      <c r="F282" s="129">
        <f t="array" ref="F282">J282-D282</f>
        <v/>
      </c>
      <c r="G282" s="118">
        <f t="array" ref="G282">K282-E282</f>
        <v/>
      </c>
      <c r="H282" s="83">
        <f t="array" ref="H282">E282+D282</f>
        <v/>
      </c>
      <c r="I282" s="128">
        <f t="array" ref="I282">G282+F282</f>
        <v/>
      </c>
      <c r="J282" s="112" t="n">
        <v>28792</v>
      </c>
      <c r="K282" s="112" t="n">
        <v>38507</v>
      </c>
      <c r="L282" s="131" t="n"/>
    </row>
    <row r="283" ht="20.65" customHeight="1" s="206">
      <c r="A283" s="10" t="n"/>
      <c r="B283" s="127">
        <f t="array" ref="B283">$B284-1</f>
        <v/>
      </c>
      <c r="C283" s="128" t="n">
        <v>486000</v>
      </c>
      <c r="D283" s="112" t="n">
        <v>7943</v>
      </c>
      <c r="E283" s="112" t="n">
        <v>8790</v>
      </c>
      <c r="F283" s="129">
        <f t="array" ref="F283">J283-D283</f>
        <v/>
      </c>
      <c r="G283" s="118">
        <f t="array" ref="G283">K283-E283</f>
        <v/>
      </c>
      <c r="H283" s="83">
        <f t="array" ref="H283">E283+D283</f>
        <v/>
      </c>
      <c r="I283" s="128">
        <f t="array" ref="I283">G283+F283</f>
        <v/>
      </c>
      <c r="J283" s="112" t="n">
        <v>33347</v>
      </c>
      <c r="K283" s="112" t="n">
        <v>40924</v>
      </c>
      <c r="L283" s="131" t="n"/>
    </row>
    <row r="284" ht="20.65" customHeight="1" s="206">
      <c r="A284" s="10" t="n"/>
      <c r="B284" s="127">
        <f t="array" ref="B284">$B285-1</f>
        <v/>
      </c>
      <c r="C284" s="128" t="n">
        <v>543000</v>
      </c>
      <c r="D284" s="112" t="n">
        <v>6551</v>
      </c>
      <c r="E284" s="112" t="n">
        <v>7742</v>
      </c>
      <c r="F284" s="129">
        <f t="array" ref="F284">J284-D284</f>
        <v/>
      </c>
      <c r="G284" s="118">
        <f t="array" ref="G284">K284-E284</f>
        <v/>
      </c>
      <c r="H284" s="83">
        <f t="array" ref="H284">E284+D284</f>
        <v/>
      </c>
      <c r="I284" s="128">
        <f t="array" ref="I284">G284+F284</f>
        <v/>
      </c>
      <c r="J284" s="112" t="n">
        <v>33164</v>
      </c>
      <c r="K284" s="112" t="n">
        <v>40872</v>
      </c>
      <c r="L284" s="131" t="n"/>
    </row>
    <row r="285" ht="20.65" customHeight="1" s="206">
      <c r="A285" s="10" t="n"/>
      <c r="B285" s="127">
        <f t="array" ref="B285">$C$7</f>
        <v/>
      </c>
      <c r="C285" s="128" t="n">
        <v>650000</v>
      </c>
      <c r="D285" s="112" t="n">
        <v>6974</v>
      </c>
      <c r="E285" s="134" t="n">
        <v>7884</v>
      </c>
      <c r="F285" s="118">
        <f t="array" ref="F285">J285-D285</f>
        <v/>
      </c>
      <c r="G285" s="118">
        <f t="array" ref="G285">K285-E285</f>
        <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1</v>
      </c>
      <c r="G10" s="89" t="n">
        <v>6</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3235</v>
      </c>
      <c r="G11" s="89" t="n">
        <v>3112</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c r="G12" s="89" t="n"/>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c r="G13" s="89" t="n"/>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91054</v>
      </c>
      <c r="G14" s="89" t="n">
        <v>88707</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1694</v>
      </c>
      <c r="G15" s="89" t="n">
        <v>1767</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19104</v>
      </c>
      <c r="G16" s="89" t="n">
        <v>15914</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2231</v>
      </c>
      <c r="G17" s="89" t="n">
        <v>890</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8874</v>
      </c>
      <c r="G18" s="89" t="n">
        <v>7782</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20464</v>
      </c>
      <c r="G19" s="89" t="n">
        <v>11916</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140846</v>
      </c>
      <c r="G20" s="89" t="n">
        <v>129683</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815</v>
      </c>
      <c r="G21" s="89" t="n">
        <v>724</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482</v>
      </c>
      <c r="G22" s="89" t="n">
        <v>214</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4896</v>
      </c>
      <c r="G23" s="89" t="n">
        <v>4905</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1291</v>
      </c>
      <c r="G24" s="89" t="n">
        <v>610</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0</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5411</v>
      </c>
      <c r="G26" s="89" t="n">
        <v>5034</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5852</v>
      </c>
      <c r="G27" s="89" t="n">
        <v>7454</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6</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3592</v>
      </c>
      <c r="G30" s="89" t="n">
        <v>4750</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30093</v>
      </c>
      <c r="G31" s="89" t="n">
        <v>29152</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53021</v>
      </c>
      <c r="G32" s="89" t="n">
        <v>45314</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748</v>
      </c>
      <c r="G33" s="89" t="n">
        <v>1024</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97</v>
      </c>
      <c r="G35" s="89" t="n">
        <v>115</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17547</v>
      </c>
      <c r="G36" s="89" t="n">
        <v>21330</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186</v>
      </c>
      <c r="G38" s="89" t="n">
        <v>142</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1189</v>
      </c>
      <c r="G39" s="89" t="n">
        <v>567</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671</v>
      </c>
      <c r="G40" s="89" t="n">
        <v>828</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1404</v>
      </c>
      <c r="G41" s="89" t="n">
        <v>796</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12</v>
      </c>
      <c r="G42" s="89" t="n">
        <v>17</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3125</v>
      </c>
      <c r="G43" s="89" t="n">
        <v>2177</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1092</v>
      </c>
      <c r="G44" s="89" t="n">
        <v>1027</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15419</v>
      </c>
      <c r="G45" s="89" t="n">
        <v>16520</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98</v>
      </c>
      <c r="G46" s="89" t="n">
        <v>105</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5300</v>
      </c>
      <c r="G47" s="89" t="n">
        <v>5528</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557</v>
      </c>
      <c r="G48" s="89" t="n">
        <v>467</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39670</v>
      </c>
      <c r="G49" s="89" t="n">
        <v>36875</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1608</v>
      </c>
      <c r="G50" s="89" t="n">
        <v>2127</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77063</v>
      </c>
      <c r="G51" s="89" t="n">
        <v>71539</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75750</v>
      </c>
      <c r="G52" s="89" t="n">
        <v>68762</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26679</v>
      </c>
      <c r="G53" s="89" t="n">
        <v>17205</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1926</v>
      </c>
      <c r="G54" s="89" t="n">
        <v>1543</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13072</v>
      </c>
      <c r="G55" s="89" t="n">
        <v>11267</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29939</v>
      </c>
      <c r="G57" s="89" t="n">
        <v>18304</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1</v>
      </c>
      <c r="G58" s="89" t="n">
        <v>2</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55985</v>
      </c>
      <c r="G59" s="89" t="n">
        <v>32697</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c r="G60" s="89" t="n"/>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17211</v>
      </c>
      <c r="G61" s="89" t="n">
        <v>19042</v>
      </c>
      <c r="H61" s="57" t="n"/>
      <c r="I61" s="55">
        <f t="array" ref="I61">G61+F61</f>
        <v/>
      </c>
      <c r="J61" s="57" t="n"/>
      <c r="K61" s="57" t="n"/>
      <c r="L61" s="57" t="n"/>
    </row>
    <row r="62" ht="20.1" customHeight="1" s="206">
      <c r="A62" s="2" t="inlineStr">
        <is>
          <t>c1</t>
        </is>
      </c>
      <c r="B62" s="138" t="inlineStr">
        <is>
          <t>Europe</t>
        </is>
      </c>
      <c r="C62" s="52" t="n"/>
      <c r="D62" s="57" t="n"/>
      <c r="E62" s="57" t="n"/>
      <c r="F62" s="55" t="n">
        <v>2640000</v>
      </c>
      <c r="G62" s="55" t="n">
        <v>2640000</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8</v>
      </c>
      <c r="G65" s="89" t="n">
        <v>1</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4</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13</v>
      </c>
      <c r="G68" s="89" t="n">
        <v>20</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5</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8</v>
      </c>
      <c r="G72" s="89" t="n">
        <v>16</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9</v>
      </c>
      <c r="G73" s="89" t="n">
        <v>4</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1483</v>
      </c>
      <c r="G74" s="89" t="n">
        <v>1496</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189</v>
      </c>
      <c r="G75" s="89" t="n">
        <v>143</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761</v>
      </c>
      <c r="G76" s="89" t="n">
        <v>488</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26</v>
      </c>
      <c r="G78" s="89" t="n">
        <v>20</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2228</v>
      </c>
      <c r="G79" s="89" t="n">
        <v>1105</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14</v>
      </c>
      <c r="G80" s="89" t="n">
        <v>7</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3</v>
      </c>
      <c r="G81" s="89" t="n">
        <v>2</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c r="G82" s="89" t="n"/>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266</v>
      </c>
      <c r="G83" s="89" t="n">
        <v>270</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104</v>
      </c>
      <c r="G84" s="89" t="n">
        <v>66</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75</v>
      </c>
      <c r="G85" s="89" t="n">
        <v>55</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129</v>
      </c>
      <c r="G86" s="89" t="n">
        <v>98</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0</v>
      </c>
      <c r="G87" s="89" t="n">
        <v>1</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5</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9</v>
      </c>
      <c r="G89" s="89" t="n">
        <v>11</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c r="G91" s="89" t="n"/>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1905</v>
      </c>
      <c r="G93" s="89" t="n">
        <v>1342</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190</v>
      </c>
      <c r="G94" s="89" t="n">
        <v>122</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56</v>
      </c>
      <c r="G95" s="89" t="n">
        <v>39</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c r="G97" s="89" t="n"/>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88</v>
      </c>
      <c r="G98" s="89" t="n">
        <v>63</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63</v>
      </c>
      <c r="G101" s="89" t="n">
        <v>46</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6977</v>
      </c>
      <c r="G102" s="89" t="n">
        <v>7106</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6</v>
      </c>
      <c r="G103" s="89" t="n">
        <v>7</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c r="G105" s="89" t="n"/>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1300</v>
      </c>
      <c r="G106" s="89" t="n">
        <v>1343</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t="n">
        <v>140000</v>
      </c>
      <c r="G107" s="55" t="n">
        <v>140000</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368</v>
      </c>
      <c r="G110" s="89" t="n">
        <v>286</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5110</v>
      </c>
      <c r="G111" s="89" t="n">
        <v>3221</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1015</v>
      </c>
      <c r="G112" s="89" t="n">
        <v>931</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2244</v>
      </c>
      <c r="G113" s="89" t="n">
        <v>1395</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592</v>
      </c>
      <c r="G114" s="89" t="n">
        <v>476</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c r="G116" s="89" t="n"/>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18</v>
      </c>
      <c r="G117" s="89" t="n">
        <v>9</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1435</v>
      </c>
      <c r="G118" s="89" t="n">
        <v>827</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149</v>
      </c>
      <c r="G119" s="89" t="n">
        <v>112</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13</v>
      </c>
      <c r="G120" s="89" t="n">
        <v>12</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167</v>
      </c>
      <c r="G121" s="89" t="n">
        <v>148</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1058</v>
      </c>
      <c r="G122" s="89" t="n">
        <v>814</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t="n">
        <v>80000</v>
      </c>
      <c r="G123" s="55" t="n">
        <v>80000</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213</v>
      </c>
      <c r="G126" s="89" t="n">
        <v>245</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81</v>
      </c>
      <c r="G127" s="89" t="n">
        <v>93</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59</v>
      </c>
      <c r="G128" s="89" t="n">
        <v>68</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37</v>
      </c>
      <c r="G129" s="89" t="n">
        <v>84</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25</v>
      </c>
      <c r="G130" s="89" t="n">
        <v>15</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498</v>
      </c>
      <c r="G131" s="89" t="n">
        <v>531</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16</v>
      </c>
      <c r="G132" s="89" t="n">
        <v>20</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199</v>
      </c>
      <c r="G133" s="89" t="n">
        <v>215</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118</v>
      </c>
      <c r="G134" s="89" t="n">
        <v>208</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413</v>
      </c>
      <c r="G135" s="89" t="n">
        <v>529</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40</v>
      </c>
      <c r="G136" s="89" t="n">
        <v>29</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9</v>
      </c>
      <c r="G137" s="89" t="n">
        <v>9</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556</v>
      </c>
      <c r="G138" s="89" t="n">
        <v>1331</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6401</v>
      </c>
      <c r="G139" s="89" t="n">
        <v>10525</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0</v>
      </c>
      <c r="G140" s="89" t="n">
        <v>3</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213</v>
      </c>
      <c r="G141" s="89" t="n">
        <v>305</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897</v>
      </c>
      <c r="G142" s="89" t="n">
        <v>729</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29</v>
      </c>
      <c r="G143" s="89" t="n">
        <v>24</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1132</v>
      </c>
      <c r="G144" s="89" t="n">
        <v>1488</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190</v>
      </c>
      <c r="G145" s="89" t="n">
        <v>640</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162</v>
      </c>
      <c r="G146" s="89" t="n">
        <v>307</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7</v>
      </c>
      <c r="G147" s="89" t="n">
        <v>4</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33</v>
      </c>
      <c r="G148" s="89" t="n">
        <v>72</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c r="G149" s="89" t="n"/>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1193</v>
      </c>
      <c r="G150" s="89" t="n">
        <v>483</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0</v>
      </c>
      <c r="G151" s="89" t="n">
        <v>1</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49</v>
      </c>
      <c r="G152" s="89" t="n">
        <v>165</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14</v>
      </c>
      <c r="G153" s="89" t="n">
        <v>4</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428</v>
      </c>
      <c r="G154" s="89" t="n">
        <v>577</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1550</v>
      </c>
      <c r="G155" s="89" t="n">
        <v>1771</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198</v>
      </c>
      <c r="G156" s="89" t="n">
        <v>58</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46</v>
      </c>
      <c r="G157" s="89" t="n">
        <v>101</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6</v>
      </c>
      <c r="G158" s="89" t="n">
        <v>25</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87</v>
      </c>
      <c r="G159" s="89" t="n">
        <v>66</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36</v>
      </c>
      <c r="G160" s="89" t="n">
        <v>46</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68</v>
      </c>
      <c r="G161" s="89" t="n">
        <v>52</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187</v>
      </c>
      <c r="G162" s="89" t="n">
        <v>136</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23</v>
      </c>
      <c r="G163" s="89" t="n">
        <v>26</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3602</v>
      </c>
      <c r="G164" s="89" t="n">
        <v>5400</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c r="G165" s="89" t="n"/>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145</v>
      </c>
      <c r="G166" s="89" t="n">
        <v>147</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351</v>
      </c>
      <c r="G167" s="89" t="n">
        <v>611</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73</v>
      </c>
      <c r="G169" s="89" t="n">
        <v>132</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149</v>
      </c>
      <c r="G170" s="89" t="n">
        <v>287</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3427</v>
      </c>
      <c r="G171" s="89" t="n">
        <v>5512</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c r="G172" s="89" t="n"/>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0</v>
      </c>
      <c r="G173" s="89" t="n">
        <v>1</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20</v>
      </c>
      <c r="G174" s="89" t="n">
        <v>22</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10</v>
      </c>
      <c r="G175" s="89" t="n">
        <v>13</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94</v>
      </c>
      <c r="G176" s="89" t="n">
        <v>133</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1943</v>
      </c>
      <c r="G177" s="89" t="n">
        <v>3244</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166</v>
      </c>
      <c r="G178" s="89" t="n">
        <v>183</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313</v>
      </c>
      <c r="G179" s="89" t="n">
        <v>253</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c r="G180" s="89" t="n"/>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1958</v>
      </c>
      <c r="G181" s="89" t="n">
        <v>1737</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90</v>
      </c>
      <c r="G182" s="89" t="n">
        <v>59</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236</v>
      </c>
      <c r="G183" s="89" t="n">
        <v>204</v>
      </c>
      <c r="H183" s="57" t="n"/>
      <c r="I183" s="55">
        <f t="array" ref="I183">G183+F183</f>
        <v/>
      </c>
      <c r="J183" s="57" t="n"/>
      <c r="K183" s="57" t="n"/>
      <c r="L183" s="57" t="n"/>
    </row>
    <row r="184" ht="20.1" customHeight="1" s="206">
      <c r="A184" s="2" t="inlineStr">
        <is>
          <t>c4</t>
        </is>
      </c>
      <c r="B184" s="138" t="inlineStr">
        <is>
          <t>Africa</t>
        </is>
      </c>
      <c r="C184" s="52" t="n"/>
      <c r="D184" s="57" t="n"/>
      <c r="E184" s="57" t="n"/>
      <c r="F184" s="55" t="n">
        <v>720000</v>
      </c>
      <c r="G184" s="55" t="n">
        <v>730000</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431</v>
      </c>
      <c r="G187" s="89" t="n">
        <v>482</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17458</v>
      </c>
      <c r="G188" s="89" t="n">
        <v>30713</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1973</v>
      </c>
      <c r="G189" s="89" t="n">
        <v>1686</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23</v>
      </c>
      <c r="G190" s="89" t="n">
        <v>18</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224</v>
      </c>
      <c r="G191" s="89" t="n">
        <v>280</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2410</v>
      </c>
      <c r="G192" s="89" t="n">
        <v>1756</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1187</v>
      </c>
      <c r="G193" s="89" t="n">
        <v>1625</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5810</v>
      </c>
      <c r="G194" s="89" t="n">
        <v>9078</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14309</v>
      </c>
      <c r="G195" s="89" t="n">
        <v>16826</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545</v>
      </c>
      <c r="G196" s="89" t="n">
        <v>818</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217</v>
      </c>
      <c r="G197" s="89" t="n">
        <v>393</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1131</v>
      </c>
      <c r="G198" s="89" t="n">
        <v>1492</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24</v>
      </c>
      <c r="G199" s="89" t="n">
        <v>49</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2813</v>
      </c>
      <c r="G200" s="89" t="n">
        <v>5007</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257</v>
      </c>
      <c r="G201" s="89" t="n">
        <v>488</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33</v>
      </c>
      <c r="G202" s="89" t="n">
        <v>48</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505</v>
      </c>
      <c r="G203" s="89" t="n">
        <v>645</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35465</v>
      </c>
      <c r="G204" s="89" t="n">
        <v>59338</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27</v>
      </c>
      <c r="G205" s="89" t="n">
        <v>13</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79064</v>
      </c>
      <c r="G206" s="89" t="n">
        <v>87714</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292</v>
      </c>
      <c r="G207" s="89" t="n">
        <v>556</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t="n">
        <v>460000</v>
      </c>
      <c r="G208" s="55" t="n">
        <v>490000</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907</v>
      </c>
      <c r="G211" s="89" t="n">
        <v>851</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1573</v>
      </c>
      <c r="G212" s="89" t="n">
        <v>2297</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6</v>
      </c>
      <c r="G213" s="89" t="n">
        <v>11</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17</v>
      </c>
      <c r="G214" s="89" t="n">
        <v>16</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12111</v>
      </c>
      <c r="G215" s="89" t="n">
        <v>9925</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c r="G217" s="89" t="n"/>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1243</v>
      </c>
      <c r="G218" s="89" t="n">
        <v>584</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8868</v>
      </c>
      <c r="G219" s="89" t="n">
        <v>10984</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2139</v>
      </c>
      <c r="G220" s="89" t="n">
        <v>917</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848</v>
      </c>
      <c r="G221" s="89" t="n">
        <v>442</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537</v>
      </c>
      <c r="G222" s="89" t="n">
        <v>380</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68</v>
      </c>
      <c r="G223" s="89" t="n">
        <v>50</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1711</v>
      </c>
      <c r="G224" s="89" t="n">
        <v>947</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2384</v>
      </c>
      <c r="G225" s="89" t="n">
        <v>1337</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84</v>
      </c>
      <c r="G226" s="89" t="n">
        <v>50</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654</v>
      </c>
      <c r="G227" s="89" t="n">
        <v>777</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98</v>
      </c>
      <c r="G228" s="89" t="n">
        <v>96</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1583</v>
      </c>
      <c r="G229" s="89" t="n">
        <v>780</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c r="G230" s="89" t="n"/>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2</v>
      </c>
      <c r="G231" s="89" t="n">
        <v>17</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427</v>
      </c>
      <c r="G232" s="89" t="n">
        <v>342</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575</v>
      </c>
      <c r="G233" s="89" t="n">
        <v>617</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10139</v>
      </c>
      <c r="G234" s="89" t="n">
        <v>4765</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22</v>
      </c>
      <c r="G235" s="89" t="n">
        <v>16</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293</v>
      </c>
      <c r="G236" s="89" t="n">
        <v>208</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6079</v>
      </c>
      <c r="G237" s="89" t="n">
        <v>1069</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450</v>
      </c>
      <c r="G238" s="89" t="n">
        <v>397</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225</v>
      </c>
      <c r="G239" s="89" t="n">
        <v>130</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1081</v>
      </c>
      <c r="G240" s="89" t="n">
        <v>584</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895</v>
      </c>
      <c r="G241" s="89" t="n">
        <v>689</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2275</v>
      </c>
      <c r="G242" s="89" t="n">
        <v>1648</v>
      </c>
      <c r="H242" s="57" t="n"/>
      <c r="I242" s="55">
        <f t="array" ref="I242">G242+F242</f>
        <v/>
      </c>
      <c r="J242" s="57" t="n"/>
      <c r="K242" s="57" t="n"/>
      <c r="L242" s="57" t="n"/>
    </row>
    <row r="243" ht="20.1" customHeight="1" s="206">
      <c r="A243" s="2" t="inlineStr">
        <is>
          <t>c6</t>
        </is>
      </c>
      <c r="B243" s="138" t="inlineStr">
        <is>
          <t>Far East</t>
        </is>
      </c>
      <c r="C243" s="52" t="n"/>
      <c r="D243" s="57" t="n"/>
      <c r="E243" s="57" t="n"/>
      <c r="F243" s="55" t="n">
        <v>2020000</v>
      </c>
      <c r="G243" s="55" t="n">
        <v>2100000</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c r="G246" s="89" t="n"/>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1356</v>
      </c>
      <c r="G247" s="89" t="n">
        <v>1540</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c r="G248" s="89" t="n"/>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c r="G249" s="89" t="n"/>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16</v>
      </c>
      <c r="G250" s="89" t="n">
        <v>7</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1</v>
      </c>
      <c r="G251" s="89" t="n">
        <v>1</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c r="G253" s="89" t="n"/>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c r="G254" s="89" t="n"/>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c r="G255" s="89" t="n"/>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2</v>
      </c>
      <c r="G256" s="89" t="n">
        <v>0</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c r="G258" s="89" t="n"/>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c r="G259" s="89" t="n"/>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252</v>
      </c>
      <c r="G260" s="89" t="n">
        <v>364</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5</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39</v>
      </c>
      <c r="G262" s="89" t="n">
        <v>36</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5</v>
      </c>
      <c r="G263" s="89" t="n">
        <v>6</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8</v>
      </c>
      <c r="G265" s="89" t="n">
        <v>11</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8</v>
      </c>
      <c r="G267" s="89" t="n">
        <v>1</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3</v>
      </c>
      <c r="G270" s="89" t="n">
        <v>4</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4</v>
      </c>
      <c r="G272" s="89" t="n">
        <v>3</v>
      </c>
      <c r="H272" s="57" t="n"/>
      <c r="I272" s="55">
        <f t="array" ref="I272">G272+F272</f>
        <v/>
      </c>
      <c r="J272" s="57" t="n"/>
      <c r="K272" s="57" t="n"/>
      <c r="L272" s="57" t="n"/>
    </row>
    <row r="273" ht="20.1" customHeight="1" s="206">
      <c r="A273" s="2" t="inlineStr">
        <is>
          <t>c7</t>
        </is>
      </c>
      <c r="B273" s="138" t="inlineStr">
        <is>
          <t>Oceania</t>
        </is>
      </c>
      <c r="C273" s="52" t="n"/>
      <c r="D273" s="57" t="n"/>
      <c r="E273" s="57" t="n"/>
      <c r="F273" s="55" t="n">
        <v>130000</v>
      </c>
      <c r="G273" s="55" t="n">
        <v>130000</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t="n">
        <v>0</v>
      </c>
      <c r="G281" s="55" t="n">
        <v>0</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c r="G283" s="89" t="n"/>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6190000</v>
      </c>
      <c r="G285" s="79" t="n">
        <v>6310000</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2026-05-25T15:03:04Z</dcterms:modified>
  <cp:lastModifiedBy>King Dom</cp:lastModifiedBy>
</cp:coreProperties>
</file>