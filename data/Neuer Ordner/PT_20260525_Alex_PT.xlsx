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PT</t>
        </is>
      </c>
      <c r="D11" s="177" t="n"/>
      <c r="E11" s="177" t="n"/>
      <c r="F11" s="177" t="n"/>
      <c r="G11" s="177" t="n"/>
      <c r="H11" s="177" t="n"/>
      <c r="I11" s="177" t="n"/>
      <c r="J11" s="177" t="n"/>
      <c r="K11" s="177" t="n"/>
      <c r="L11" s="13" t="n"/>
    </row>
    <row r="12" ht="20.1" customHeight="1" s="206">
      <c r="A12" s="2" t="inlineStr">
        <is>
          <t>nn</t>
        </is>
      </c>
      <c r="B12" s="23" t="inlineStr">
        <is>
          <t>Name</t>
        </is>
      </c>
      <c r="C12" s="176" t="inlineStr">
        <is>
          <t>Portugal</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The resident foreign population includes foreign citizens holding valid residence permits, individuals with regularization procedures in progress, and authorizations issued under specific legal instruments.</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https://aima.gov.pt/media/pages/documents/fec4d6a712-1760603125/relatorio-migracoes-e-asilo-2024.pdf; downloaded 46122</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94.11207168</v>
      </c>
      <c r="D60" s="40" t="n">
        <v>85.40000000000001</v>
      </c>
      <c r="E60" s="40" t="n">
        <v>79.7</v>
      </c>
      <c r="F60" s="40" t="n">
        <v>85.40000000000001</v>
      </c>
      <c r="G60" s="40" t="n">
        <v>79.7</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https://ec.europa.eu/eurostat/databrowser/view/demo_mlexpec__custom_21041253/default/table; downloaded 46122;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2024</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84832</v>
      </c>
      <c r="D9" s="56" t="n">
        <v>38857.9</v>
      </c>
      <c r="E9" s="56" t="n">
        <v>41191.2</v>
      </c>
      <c r="F9" s="56" t="n">
        <v>2340.1</v>
      </c>
      <c r="G9" s="56" t="n">
        <v>2442.8</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86699</v>
      </c>
      <c r="D10" s="56" t="n">
        <v>39901.9</v>
      </c>
      <c r="E10" s="56" t="n">
        <v>42014.2</v>
      </c>
      <c r="F10" s="56" t="n">
        <v>2340.1</v>
      </c>
      <c r="G10" s="56" t="n">
        <v>2442.8</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85374</v>
      </c>
      <c r="D11" s="56" t="n">
        <v>39037.9</v>
      </c>
      <c r="E11" s="56" t="n">
        <v>41553.2</v>
      </c>
      <c r="F11" s="56" t="n">
        <v>2340.1</v>
      </c>
      <c r="G11" s="56" t="n">
        <v>2442.8</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82400</v>
      </c>
      <c r="D12" s="56" t="n">
        <v>37572.9</v>
      </c>
      <c r="E12" s="56" t="n">
        <v>40044.2</v>
      </c>
      <c r="F12" s="56" t="n">
        <v>2340.1</v>
      </c>
      <c r="G12" s="56" t="n">
        <v>2442.8</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88158</v>
      </c>
      <c r="D13" s="56" t="n">
        <v>40305.9</v>
      </c>
      <c r="E13" s="56" t="n">
        <v>43069.2</v>
      </c>
      <c r="F13" s="56" t="n">
        <v>2340.1</v>
      </c>
      <c r="G13" s="56" t="n">
        <v>2442.8</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90811</v>
      </c>
      <c r="D14" s="56" t="n">
        <v>41602.9</v>
      </c>
      <c r="E14" s="56" t="n">
        <v>44425.2</v>
      </c>
      <c r="F14" s="56" t="n">
        <v>2340.1</v>
      </c>
      <c r="G14" s="56" t="n">
        <v>2442.8</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91315</v>
      </c>
      <c r="D15" s="56" t="n">
        <v>42412.9</v>
      </c>
      <c r="E15" s="56" t="n">
        <v>44119.2</v>
      </c>
      <c r="F15" s="56" t="n">
        <v>2340.1</v>
      </c>
      <c r="G15" s="56" t="n">
        <v>2442.8</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90935</v>
      </c>
      <c r="D16" s="56" t="n">
        <v>42024.9</v>
      </c>
      <c r="E16" s="56" t="n">
        <v>44127.2</v>
      </c>
      <c r="F16" s="56" t="n">
        <v>2340.1</v>
      </c>
      <c r="G16" s="56" t="n">
        <v>2442.8</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92093</v>
      </c>
      <c r="D17" s="56" t="n">
        <v>42361.9</v>
      </c>
      <c r="E17" s="56" t="n">
        <v>44948.2</v>
      </c>
      <c r="F17" s="56" t="n">
        <v>2340.1</v>
      </c>
      <c r="G17" s="56" t="n">
        <v>2442.8</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90353</v>
      </c>
      <c r="D18" s="56" t="n">
        <v>41779.9</v>
      </c>
      <c r="E18" s="56" t="n">
        <v>43790.2</v>
      </c>
      <c r="F18" s="56" t="n">
        <v>2340.1</v>
      </c>
      <c r="G18" s="56" t="n">
        <v>2442.8</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87397</v>
      </c>
      <c r="D19" s="56" t="n">
        <v>37538.375</v>
      </c>
      <c r="E19" s="56" t="n">
        <v>39931.75</v>
      </c>
      <c r="F19" s="56" t="n">
        <v>4805.625</v>
      </c>
      <c r="G19" s="56" t="n">
        <v>5121.25</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87707</v>
      </c>
      <c r="D20" s="56" t="n">
        <v>38133.375</v>
      </c>
      <c r="E20" s="56" t="n">
        <v>39646.75</v>
      </c>
      <c r="F20" s="56" t="n">
        <v>4805.625</v>
      </c>
      <c r="G20" s="56" t="n">
        <v>5121.25</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94500</v>
      </c>
      <c r="D21" s="56" t="n">
        <v>41044.375</v>
      </c>
      <c r="E21" s="56" t="n">
        <v>43528.75</v>
      </c>
      <c r="F21" s="56" t="n">
        <v>4805.625</v>
      </c>
      <c r="G21" s="56" t="n">
        <v>5121.25</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101513</v>
      </c>
      <c r="D22" s="56" t="n">
        <v>44747.375</v>
      </c>
      <c r="E22" s="56" t="n">
        <v>46838.75</v>
      </c>
      <c r="F22" s="56" t="n">
        <v>4805.625</v>
      </c>
      <c r="G22" s="56" t="n">
        <v>5121.25</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105402</v>
      </c>
      <c r="D23" s="56" t="n">
        <v>47428.375</v>
      </c>
      <c r="E23" s="56" t="n">
        <v>48046.75</v>
      </c>
      <c r="F23" s="56" t="n">
        <v>4805.625</v>
      </c>
      <c r="G23" s="56" t="n">
        <v>5121.25</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101862</v>
      </c>
      <c r="D24" s="56" t="n">
        <v>45442.375</v>
      </c>
      <c r="E24" s="56" t="n">
        <v>46492.75</v>
      </c>
      <c r="F24" s="56" t="n">
        <v>4805.625</v>
      </c>
      <c r="G24" s="56" t="n">
        <v>5121.25</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105812</v>
      </c>
      <c r="D25" s="56" t="n">
        <v>46961.375</v>
      </c>
      <c r="E25" s="56" t="n">
        <v>48923.75</v>
      </c>
      <c r="F25" s="56" t="n">
        <v>4805.625</v>
      </c>
      <c r="G25" s="56" t="n">
        <v>5121.25</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103337</v>
      </c>
      <c r="D26" s="56" t="n">
        <v>46069.375</v>
      </c>
      <c r="E26" s="56" t="n">
        <v>47340.75</v>
      </c>
      <c r="F26" s="56" t="n">
        <v>4805.625</v>
      </c>
      <c r="G26" s="56" t="n">
        <v>5121.25</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105874</v>
      </c>
      <c r="D27" s="56" t="n">
        <v>36901.58824</v>
      </c>
      <c r="E27" s="56" t="n">
        <v>31271.58824</v>
      </c>
      <c r="F27" s="56" t="n">
        <v>15312.41176</v>
      </c>
      <c r="G27" s="56" t="n">
        <v>22388.41176</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110275</v>
      </c>
      <c r="D28" s="56" t="n">
        <v>38581.58824</v>
      </c>
      <c r="E28" s="56" t="n">
        <v>33992.58824</v>
      </c>
      <c r="F28" s="56" t="n">
        <v>15312.41176</v>
      </c>
      <c r="G28" s="56" t="n">
        <v>22388.41176</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109474</v>
      </c>
      <c r="D29" s="56" t="n">
        <v>38704.58824</v>
      </c>
      <c r="E29" s="56" t="n">
        <v>33068.58824</v>
      </c>
      <c r="F29" s="56" t="n">
        <v>15312.41176</v>
      </c>
      <c r="G29" s="56" t="n">
        <v>22388.41176</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112140</v>
      </c>
      <c r="D30" s="56" t="n">
        <v>40171.58824</v>
      </c>
      <c r="E30" s="56" t="n">
        <v>34267.58824</v>
      </c>
      <c r="F30" s="56" t="n">
        <v>15312.41176</v>
      </c>
      <c r="G30" s="56" t="n">
        <v>22388.41176</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113304</v>
      </c>
      <c r="D31" s="56" t="n">
        <v>40515.58824</v>
      </c>
      <c r="E31" s="56" t="n">
        <v>35087.58824</v>
      </c>
      <c r="F31" s="56" t="n">
        <v>15312.41176</v>
      </c>
      <c r="G31" s="56" t="n">
        <v>22388.41176</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113176</v>
      </c>
      <c r="D32" s="56" t="n">
        <v>40293.58824</v>
      </c>
      <c r="E32" s="56" t="n">
        <v>35181.58824</v>
      </c>
      <c r="F32" s="56" t="n">
        <v>15312.41176</v>
      </c>
      <c r="G32" s="56" t="n">
        <v>22388.41176</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122797</v>
      </c>
      <c r="D33" s="56" t="n">
        <v>45020.58824</v>
      </c>
      <c r="E33" s="56" t="n">
        <v>40075.58824</v>
      </c>
      <c r="F33" s="56" t="n">
        <v>15312.41176</v>
      </c>
      <c r="G33" s="56" t="n">
        <v>22388.41176</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120728</v>
      </c>
      <c r="D34" s="56" t="n">
        <v>44058.58824</v>
      </c>
      <c r="E34" s="56" t="n">
        <v>38968.58824</v>
      </c>
      <c r="F34" s="56" t="n">
        <v>15312.41176</v>
      </c>
      <c r="G34" s="56" t="n">
        <v>22388.41176</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118193</v>
      </c>
      <c r="D35" s="56" t="n">
        <v>42673.58824</v>
      </c>
      <c r="E35" s="56" t="n">
        <v>37818.58824</v>
      </c>
      <c r="F35" s="56" t="n">
        <v>15312.41176</v>
      </c>
      <c r="G35" s="56" t="n">
        <v>22388.41176</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118384</v>
      </c>
      <c r="D36" s="56" t="n">
        <v>43047.58824</v>
      </c>
      <c r="E36" s="56" t="n">
        <v>37635.58824</v>
      </c>
      <c r="F36" s="56" t="n">
        <v>15312.41176</v>
      </c>
      <c r="G36" s="56" t="n">
        <v>22388.41176</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118222</v>
      </c>
      <c r="D37" s="56" t="n">
        <v>42214.58824</v>
      </c>
      <c r="E37" s="56" t="n">
        <v>38306.58824</v>
      </c>
      <c r="F37" s="56" t="n">
        <v>15312.41176</v>
      </c>
      <c r="G37" s="56" t="n">
        <v>22388.41176</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117437</v>
      </c>
      <c r="D38" s="56" t="n">
        <v>41909.58824</v>
      </c>
      <c r="E38" s="56" t="n">
        <v>37826.58824</v>
      </c>
      <c r="F38" s="56" t="n">
        <v>15312.41176</v>
      </c>
      <c r="G38" s="56" t="n">
        <v>22388.41176</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117297</v>
      </c>
      <c r="D39" s="56" t="n">
        <v>42033.58824</v>
      </c>
      <c r="E39" s="56" t="n">
        <v>37562.58824</v>
      </c>
      <c r="F39" s="56" t="n">
        <v>15312.41176</v>
      </c>
      <c r="G39" s="56" t="n">
        <v>22388.41176</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121895</v>
      </c>
      <c r="D40" s="56" t="n">
        <v>44779.58824</v>
      </c>
      <c r="E40" s="56" t="n">
        <v>39414.58824</v>
      </c>
      <c r="F40" s="56" t="n">
        <v>15312.41176</v>
      </c>
      <c r="G40" s="56" t="n">
        <v>22388.41176</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122862</v>
      </c>
      <c r="D41" s="56" t="n">
        <v>45762.58824</v>
      </c>
      <c r="E41" s="56" t="n">
        <v>39398.58824</v>
      </c>
      <c r="F41" s="56" t="n">
        <v>15312.41176</v>
      </c>
      <c r="G41" s="56" t="n">
        <v>22388.41176</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124083</v>
      </c>
      <c r="D42" s="56" t="n">
        <v>46142.58824</v>
      </c>
      <c r="E42" s="56" t="n">
        <v>40239.58824</v>
      </c>
      <c r="F42" s="56" t="n">
        <v>15312.41176</v>
      </c>
      <c r="G42" s="56" t="n">
        <v>22388.41176</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124277</v>
      </c>
      <c r="D43" s="56" t="n">
        <v>46406.58824</v>
      </c>
      <c r="E43" s="56" t="n">
        <v>40169.58824</v>
      </c>
      <c r="F43" s="56" t="n">
        <v>15312.41176</v>
      </c>
      <c r="G43" s="56" t="n">
        <v>22388.41176</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123091</v>
      </c>
      <c r="D44" s="56" t="n">
        <v>45547.6</v>
      </c>
      <c r="E44" s="56" t="n">
        <v>39422.8</v>
      </c>
      <c r="F44" s="56" t="n">
        <v>15899.4</v>
      </c>
      <c r="G44" s="56" t="n">
        <v>22221.2</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124609</v>
      </c>
      <c r="D45" s="56" t="n">
        <v>46553.6</v>
      </c>
      <c r="E45" s="56" t="n">
        <v>39934.8</v>
      </c>
      <c r="F45" s="56" t="n">
        <v>15899.4</v>
      </c>
      <c r="G45" s="56" t="n">
        <v>22221.2</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124362</v>
      </c>
      <c r="D46" s="56" t="n">
        <v>46813.6</v>
      </c>
      <c r="E46" s="56" t="n">
        <v>39427.8</v>
      </c>
      <c r="F46" s="56" t="n">
        <v>15899.4</v>
      </c>
      <c r="G46" s="56" t="n">
        <v>22221.2</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126254</v>
      </c>
      <c r="D47" s="56" t="n">
        <v>48047.6</v>
      </c>
      <c r="E47" s="56" t="n">
        <v>40085.8</v>
      </c>
      <c r="F47" s="56" t="n">
        <v>15899.4</v>
      </c>
      <c r="G47" s="56" t="n">
        <v>22221.2</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129632</v>
      </c>
      <c r="D48" s="56" t="n">
        <v>49861.6</v>
      </c>
      <c r="E48" s="56" t="n">
        <v>41649.8</v>
      </c>
      <c r="F48" s="56" t="n">
        <v>15899.4</v>
      </c>
      <c r="G48" s="56" t="n">
        <v>22221.2</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137862</v>
      </c>
      <c r="D49" s="56" t="n">
        <v>54208.6</v>
      </c>
      <c r="E49" s="56" t="n">
        <v>45532.8</v>
      </c>
      <c r="F49" s="56" t="n">
        <v>15899.4</v>
      </c>
      <c r="G49" s="56" t="n">
        <v>22221.2</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140350</v>
      </c>
      <c r="D50" s="56" t="n">
        <v>55700.6</v>
      </c>
      <c r="E50" s="56" t="n">
        <v>46528.8</v>
      </c>
      <c r="F50" s="56" t="n">
        <v>15899.4</v>
      </c>
      <c r="G50" s="56" t="n">
        <v>22221.2</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146099</v>
      </c>
      <c r="D51" s="56" t="n">
        <v>59122.6</v>
      </c>
      <c r="E51" s="56" t="n">
        <v>48855.8</v>
      </c>
      <c r="F51" s="56" t="n">
        <v>15899.4</v>
      </c>
      <c r="G51" s="56" t="n">
        <v>22221.2</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147217</v>
      </c>
      <c r="D52" s="56" t="n">
        <v>59981.6</v>
      </c>
      <c r="E52" s="56" t="n">
        <v>49114.8</v>
      </c>
      <c r="F52" s="56" t="n">
        <v>15899.4</v>
      </c>
      <c r="G52" s="56" t="n">
        <v>22221.2</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152682</v>
      </c>
      <c r="D53" s="56" t="n">
        <v>63132.6</v>
      </c>
      <c r="E53" s="56" t="n">
        <v>51428.8</v>
      </c>
      <c r="F53" s="56" t="n">
        <v>15899.4</v>
      </c>
      <c r="G53" s="56" t="n">
        <v>22221.2</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151920</v>
      </c>
      <c r="D54" s="56" t="n">
        <v>69412.3</v>
      </c>
      <c r="E54" s="56" t="n">
        <v>63185.3</v>
      </c>
      <c r="F54" s="56" t="n">
        <v>9199.700000000001</v>
      </c>
      <c r="G54" s="56" t="n">
        <v>10122.7</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155654</v>
      </c>
      <c r="D55" s="56" t="n">
        <v>71688.3</v>
      </c>
      <c r="E55" s="56" t="n">
        <v>64643.3</v>
      </c>
      <c r="F55" s="56" t="n">
        <v>9199.700000000001</v>
      </c>
      <c r="G55" s="56" t="n">
        <v>10122.7</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167395</v>
      </c>
      <c r="D56" s="56" t="n">
        <v>77354.3</v>
      </c>
      <c r="E56" s="56" t="n">
        <v>70718.3</v>
      </c>
      <c r="F56" s="56" t="n">
        <v>9199.700000000001</v>
      </c>
      <c r="G56" s="56" t="n">
        <v>10122.7</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170148</v>
      </c>
      <c r="D57" s="56" t="n">
        <v>79126.3</v>
      </c>
      <c r="E57" s="56" t="n">
        <v>71699.3</v>
      </c>
      <c r="F57" s="56" t="n">
        <v>9199.700000000001</v>
      </c>
      <c r="G57" s="56" t="n">
        <v>10122.7</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169387</v>
      </c>
      <c r="D58" s="56" t="n">
        <v>78477.3</v>
      </c>
      <c r="E58" s="56" t="n">
        <v>71587.3</v>
      </c>
      <c r="F58" s="56" t="n">
        <v>9199.700000000001</v>
      </c>
      <c r="G58" s="56" t="n">
        <v>10122.7</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166025</v>
      </c>
      <c r="D59" s="56" t="n">
        <v>77611.3</v>
      </c>
      <c r="E59" s="56" t="n">
        <v>69091.3</v>
      </c>
      <c r="F59" s="56" t="n">
        <v>9199.700000000001</v>
      </c>
      <c r="G59" s="56" t="n">
        <v>10122.7</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160984</v>
      </c>
      <c r="D60" s="56" t="n">
        <v>74871.3</v>
      </c>
      <c r="E60" s="56" t="n">
        <v>66790.3</v>
      </c>
      <c r="F60" s="56" t="n">
        <v>9199.700000000001</v>
      </c>
      <c r="G60" s="56" t="n">
        <v>10122.7</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161284</v>
      </c>
      <c r="D61" s="56" t="n">
        <v>75228.3</v>
      </c>
      <c r="E61" s="56" t="n">
        <v>66733.3</v>
      </c>
      <c r="F61" s="56" t="n">
        <v>9199.700000000001</v>
      </c>
      <c r="G61" s="56" t="n">
        <v>10122.7</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159407</v>
      </c>
      <c r="D62" s="56" t="n">
        <v>74342.3</v>
      </c>
      <c r="E62" s="56" t="n">
        <v>65742.3</v>
      </c>
      <c r="F62" s="56" t="n">
        <v>9199.700000000001</v>
      </c>
      <c r="G62" s="56" t="n">
        <v>10122.7</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154404</v>
      </c>
      <c r="D63" s="56" t="n">
        <v>71642.3</v>
      </c>
      <c r="E63" s="56" t="n">
        <v>63439.3</v>
      </c>
      <c r="F63" s="56" t="n">
        <v>9199.700000000001</v>
      </c>
      <c r="G63" s="56" t="n">
        <v>10122.7</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151041</v>
      </c>
      <c r="D64" s="56" t="n">
        <v>73717.89999999999</v>
      </c>
      <c r="E64" s="56" t="n">
        <v>66872.3</v>
      </c>
      <c r="F64" s="56" t="n">
        <v>5578.1</v>
      </c>
      <c r="G64" s="56" t="n">
        <v>4872.7</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150244</v>
      </c>
      <c r="D65" s="56" t="n">
        <v>73495.89999999999</v>
      </c>
      <c r="E65" s="56" t="n">
        <v>66297.3</v>
      </c>
      <c r="F65" s="56" t="n">
        <v>5578.1</v>
      </c>
      <c r="G65" s="56" t="n">
        <v>4872.7</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150073</v>
      </c>
      <c r="D66" s="56" t="n">
        <v>74213.89999999999</v>
      </c>
      <c r="E66" s="56" t="n">
        <v>65408.3</v>
      </c>
      <c r="F66" s="56" t="n">
        <v>5578.1</v>
      </c>
      <c r="G66" s="56" t="n">
        <v>4872.7</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151589</v>
      </c>
      <c r="D67" s="56" t="n">
        <v>75087.89999999999</v>
      </c>
      <c r="E67" s="56" t="n">
        <v>66050.3</v>
      </c>
      <c r="F67" s="56" t="n">
        <v>5578.1</v>
      </c>
      <c r="G67" s="56" t="n">
        <v>4872.7</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152343</v>
      </c>
      <c r="D68" s="56" t="n">
        <v>75457.89999999999</v>
      </c>
      <c r="E68" s="56" t="n">
        <v>66434.3</v>
      </c>
      <c r="F68" s="56" t="n">
        <v>5578.1</v>
      </c>
      <c r="G68" s="56" t="n">
        <v>4872.7</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153401</v>
      </c>
      <c r="D69" s="56" t="n">
        <v>76424.89999999999</v>
      </c>
      <c r="E69" s="56" t="n">
        <v>66525.3</v>
      </c>
      <c r="F69" s="56" t="n">
        <v>5578.1</v>
      </c>
      <c r="G69" s="56" t="n">
        <v>4872.7</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149155</v>
      </c>
      <c r="D70" s="56" t="n">
        <v>74195.89999999999</v>
      </c>
      <c r="E70" s="56" t="n">
        <v>64508.3</v>
      </c>
      <c r="F70" s="56" t="n">
        <v>5578.1</v>
      </c>
      <c r="G70" s="56" t="n">
        <v>4872.7</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148665</v>
      </c>
      <c r="D71" s="56" t="n">
        <v>73909.89999999999</v>
      </c>
      <c r="E71" s="56" t="n">
        <v>64304.3</v>
      </c>
      <c r="F71" s="56" t="n">
        <v>5578.1</v>
      </c>
      <c r="G71" s="56" t="n">
        <v>4872.7</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149075</v>
      </c>
      <c r="D72" s="56" t="n">
        <v>74079.89999999999</v>
      </c>
      <c r="E72" s="56" t="n">
        <v>64544.3</v>
      </c>
      <c r="F72" s="56" t="n">
        <v>5578.1</v>
      </c>
      <c r="G72" s="56" t="n">
        <v>4872.7</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149021</v>
      </c>
      <c r="D73" s="56" t="n">
        <v>73545.89999999999</v>
      </c>
      <c r="E73" s="56" t="n">
        <v>65024.3</v>
      </c>
      <c r="F73" s="56" t="n">
        <v>5578.1</v>
      </c>
      <c r="G73" s="56" t="n">
        <v>4872.7</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142444</v>
      </c>
      <c r="D74" s="56" t="n">
        <v>72760.5</v>
      </c>
      <c r="E74" s="56" t="n">
        <v>63082.6</v>
      </c>
      <c r="F74" s="56" t="n">
        <v>3377.5</v>
      </c>
      <c r="G74" s="56" t="n">
        <v>3223.4</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142575</v>
      </c>
      <c r="D75" s="56" t="n">
        <v>73036.5</v>
      </c>
      <c r="E75" s="56" t="n">
        <v>62937.6</v>
      </c>
      <c r="F75" s="56" t="n">
        <v>3377.5</v>
      </c>
      <c r="G75" s="56" t="n">
        <v>3223.4</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140574</v>
      </c>
      <c r="D76" s="56" t="n">
        <v>72014.5</v>
      </c>
      <c r="E76" s="56" t="n">
        <v>61958.6</v>
      </c>
      <c r="F76" s="56" t="n">
        <v>3377.5</v>
      </c>
      <c r="G76" s="56" t="n">
        <v>3223.4</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135356</v>
      </c>
      <c r="D77" s="56" t="n">
        <v>69404.5</v>
      </c>
      <c r="E77" s="56" t="n">
        <v>59350.6</v>
      </c>
      <c r="F77" s="56" t="n">
        <v>3377.5</v>
      </c>
      <c r="G77" s="56" t="n">
        <v>3223.4</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134823</v>
      </c>
      <c r="D78" s="56" t="n">
        <v>69843.5</v>
      </c>
      <c r="E78" s="56" t="n">
        <v>58378.6</v>
      </c>
      <c r="F78" s="56" t="n">
        <v>3377.5</v>
      </c>
      <c r="G78" s="56" t="n">
        <v>3223.4</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129411</v>
      </c>
      <c r="D79" s="56" t="n">
        <v>66700.5</v>
      </c>
      <c r="E79" s="56" t="n">
        <v>56109.6</v>
      </c>
      <c r="F79" s="56" t="n">
        <v>3377.5</v>
      </c>
      <c r="G79" s="56" t="n">
        <v>3223.4</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124613</v>
      </c>
      <c r="D80" s="56" t="n">
        <v>64690.5</v>
      </c>
      <c r="E80" s="56" t="n">
        <v>53321.6</v>
      </c>
      <c r="F80" s="56" t="n">
        <v>3377.5</v>
      </c>
      <c r="G80" s="56" t="n">
        <v>3223.4</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125498</v>
      </c>
      <c r="D81" s="56" t="n">
        <v>65760.5</v>
      </c>
      <c r="E81" s="56" t="n">
        <v>53136.6</v>
      </c>
      <c r="F81" s="56" t="n">
        <v>3377.5</v>
      </c>
      <c r="G81" s="56" t="n">
        <v>3223.4</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124559</v>
      </c>
      <c r="D82" s="56" t="n">
        <v>64353.5</v>
      </c>
      <c r="E82" s="56" t="n">
        <v>53604.6</v>
      </c>
      <c r="F82" s="56" t="n">
        <v>3377.5</v>
      </c>
      <c r="G82" s="56" t="n">
        <v>3223.4</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121255</v>
      </c>
      <c r="D83" s="56" t="n">
        <v>62661.5</v>
      </c>
      <c r="E83" s="56" t="n">
        <v>51992.6</v>
      </c>
      <c r="F83" s="56" t="n">
        <v>3377.5</v>
      </c>
      <c r="G83" s="56" t="n">
        <v>3223.4</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115844</v>
      </c>
      <c r="D84" s="56" t="n">
        <v>62003.8</v>
      </c>
      <c r="E84" s="56" t="n">
        <v>50780.6</v>
      </c>
      <c r="F84" s="56" t="n">
        <v>1511.2</v>
      </c>
      <c r="G84" s="56" t="n">
        <v>1548.4</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116022</v>
      </c>
      <c r="D85" s="56" t="n">
        <v>63262.8</v>
      </c>
      <c r="E85" s="56" t="n">
        <v>49699.6</v>
      </c>
      <c r="F85" s="56" t="n">
        <v>1511.2</v>
      </c>
      <c r="G85" s="56" t="n">
        <v>1548.4</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102735</v>
      </c>
      <c r="D86" s="56" t="n">
        <v>56005.8</v>
      </c>
      <c r="E86" s="56" t="n">
        <v>43669.6</v>
      </c>
      <c r="F86" s="56" t="n">
        <v>1511.2</v>
      </c>
      <c r="G86" s="56" t="n">
        <v>1548.4</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98897</v>
      </c>
      <c r="D87" s="56" t="n">
        <v>54512.8</v>
      </c>
      <c r="E87" s="56" t="n">
        <v>41324.6</v>
      </c>
      <c r="F87" s="56" t="n">
        <v>1511.2</v>
      </c>
      <c r="G87" s="56" t="n">
        <v>1548.4</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98447</v>
      </c>
      <c r="D88" s="56" t="n">
        <v>55042.8</v>
      </c>
      <c r="E88" s="56" t="n">
        <v>40344.6</v>
      </c>
      <c r="F88" s="56" t="n">
        <v>1511.2</v>
      </c>
      <c r="G88" s="56" t="n">
        <v>1548.4</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88399</v>
      </c>
      <c r="D89" s="56" t="n">
        <v>49541.8</v>
      </c>
      <c r="E89" s="56" t="n">
        <v>35797.6</v>
      </c>
      <c r="F89" s="56" t="n">
        <v>1511.2</v>
      </c>
      <c r="G89" s="56" t="n">
        <v>1548.4</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80454</v>
      </c>
      <c r="D90" s="56" t="n">
        <v>45321.8</v>
      </c>
      <c r="E90" s="56" t="n">
        <v>32072.6</v>
      </c>
      <c r="F90" s="56" t="n">
        <v>1511.2</v>
      </c>
      <c r="G90" s="56" t="n">
        <v>1548.4</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72407</v>
      </c>
      <c r="D91" s="56" t="n">
        <v>41051.8</v>
      </c>
      <c r="E91" s="56" t="n">
        <v>28295.6</v>
      </c>
      <c r="F91" s="56" t="n">
        <v>1511.2</v>
      </c>
      <c r="G91" s="56" t="n">
        <v>1548.4</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67909</v>
      </c>
      <c r="D92" s="56" t="n">
        <v>38101.8</v>
      </c>
      <c r="E92" s="56" t="n">
        <v>26747.6</v>
      </c>
      <c r="F92" s="56" t="n">
        <v>1511.2</v>
      </c>
      <c r="G92" s="56" t="n">
        <v>1548.4</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64566</v>
      </c>
      <c r="D93" s="56" t="n">
        <v>36788.8</v>
      </c>
      <c r="E93" s="56" t="n">
        <v>24717.6</v>
      </c>
      <c r="F93" s="56" t="n">
        <v>1511.2</v>
      </c>
      <c r="G93" s="56" t="n">
        <v>1548.4</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48569.5</v>
      </c>
      <c r="D94" s="56" t="n">
        <v>31673.375</v>
      </c>
      <c r="E94" s="56" t="n">
        <v>16896.125</v>
      </c>
      <c r="F94" s="56" t="n">
        <v>0</v>
      </c>
      <c r="G94" s="56" t="n">
        <v>0</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45331.53333</v>
      </c>
      <c r="D95" s="56" t="n">
        <v>29561.81667</v>
      </c>
      <c r="E95" s="56" t="n">
        <v>15769.71667</v>
      </c>
      <c r="F95" s="56" t="n">
        <v>0</v>
      </c>
      <c r="G95" s="56" t="n">
        <v>0</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42093.56667</v>
      </c>
      <c r="D96" s="56" t="n">
        <v>27450.25833</v>
      </c>
      <c r="E96" s="56" t="n">
        <v>14643.30833</v>
      </c>
      <c r="F96" s="56" t="n">
        <v>0</v>
      </c>
      <c r="G96" s="56" t="n">
        <v>0</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38855.6</v>
      </c>
      <c r="D97" s="56" t="n">
        <v>25338.7</v>
      </c>
      <c r="E97" s="56" t="n">
        <v>13516.9</v>
      </c>
      <c r="F97" s="56" t="n">
        <v>0</v>
      </c>
      <c r="G97" s="56" t="n">
        <v>0</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35617.63333</v>
      </c>
      <c r="D98" s="56" t="n">
        <v>23227.14167</v>
      </c>
      <c r="E98" s="56" t="n">
        <v>12390.49167</v>
      </c>
      <c r="F98" s="56" t="n">
        <v>0</v>
      </c>
      <c r="G98" s="56" t="n">
        <v>0</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32379.66667</v>
      </c>
      <c r="D99" s="56" t="n">
        <v>21115.58333</v>
      </c>
      <c r="E99" s="56" t="n">
        <v>11264.08333</v>
      </c>
      <c r="F99" s="56" t="n">
        <v>0</v>
      </c>
      <c r="G99" s="56" t="n">
        <v>0</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29141.7</v>
      </c>
      <c r="D100" s="56" t="n">
        <v>19004.025</v>
      </c>
      <c r="E100" s="56" t="n">
        <v>10137.675</v>
      </c>
      <c r="F100" s="56" t="n">
        <v>0</v>
      </c>
      <c r="G100" s="56" t="n">
        <v>0</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25903.73333</v>
      </c>
      <c r="D101" s="56" t="n">
        <v>16892.46667</v>
      </c>
      <c r="E101" s="56" t="n">
        <v>9011.266667</v>
      </c>
      <c r="F101" s="56" t="n">
        <v>0</v>
      </c>
      <c r="G101" s="56" t="n">
        <v>0</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22665.76667</v>
      </c>
      <c r="D102" s="56" t="n">
        <v>14780.90833</v>
      </c>
      <c r="E102" s="56" t="n">
        <v>7884.858333</v>
      </c>
      <c r="F102" s="56" t="n">
        <v>0</v>
      </c>
      <c r="G102" s="56" t="n">
        <v>0</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19427.8</v>
      </c>
      <c r="D103" s="56" t="n">
        <v>12669.35</v>
      </c>
      <c r="E103" s="56" t="n">
        <v>6758.45</v>
      </c>
      <c r="F103" s="56" t="n">
        <v>0</v>
      </c>
      <c r="G103" s="56" t="n">
        <v>0</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16189.83333</v>
      </c>
      <c r="D104" s="56" t="n">
        <v>10557.79167</v>
      </c>
      <c r="E104" s="56" t="n">
        <v>5632.041667</v>
      </c>
      <c r="F104" s="56" t="n">
        <v>0</v>
      </c>
      <c r="G104" s="56" t="n">
        <v>0</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12951.86667</v>
      </c>
      <c r="D105" s="56" t="n">
        <v>8446.233333</v>
      </c>
      <c r="E105" s="56" t="n">
        <v>4505.633333</v>
      </c>
      <c r="F105" s="56" t="n">
        <v>0</v>
      </c>
      <c r="G105" s="56" t="n">
        <v>0</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9713.9</v>
      </c>
      <c r="D106" s="56" t="n">
        <v>6334.675</v>
      </c>
      <c r="E106" s="56" t="n">
        <v>3379.225</v>
      </c>
      <c r="F106" s="56" t="n">
        <v>0</v>
      </c>
      <c r="G106" s="56" t="n">
        <v>0</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6475.933333</v>
      </c>
      <c r="D107" s="56" t="n">
        <v>4223.116667</v>
      </c>
      <c r="E107" s="56" t="n">
        <v>2252.816667</v>
      </c>
      <c r="F107" s="56" t="n">
        <v>0</v>
      </c>
      <c r="G107" s="56" t="n">
        <v>0</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3237.966667</v>
      </c>
      <c r="D108" s="56" t="n">
        <v>2111.558333</v>
      </c>
      <c r="E108" s="56" t="n">
        <v>1126.408333</v>
      </c>
      <c r="F108" s="56" t="n">
        <v>0</v>
      </c>
      <c r="G108" s="56" t="n">
        <v>0</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10749635</v>
      </c>
      <c r="D109" s="55" t="n">
        <v>4931543</v>
      </c>
      <c r="E109" s="55" t="n">
        <v>4274391</v>
      </c>
      <c r="F109" s="55" t="n">
        <v>1332231</v>
      </c>
      <c r="G109" s="55" t="n">
        <v>1707342</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https://aima.gov.pt/media/pages/documents/fec4d6a712-1760603125/relatorio-migracoes-e-asilo-2024.pdf; downloaded 46122; numbers of migrants only available in batches that were distributed evenly; numbers for ages over 85 geometrically distributed</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v>
      </c>
      <c r="E7" s="68" t="n">
        <v>0</v>
      </c>
      <c r="F7" s="69" t="n">
        <v>0</v>
      </c>
      <c r="G7" s="68" t="n">
        <v>0</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f t="array" ref="C22">D22+E22+F22+G22</f>
        <v/>
      </c>
      <c r="D22" s="55">
        <f t="array" ref="D22">D$11*$H22/$H$57</f>
        <v/>
      </c>
      <c r="E22" s="55">
        <f t="array" ref="E22">E$11*$H22/$H$57</f>
        <v/>
      </c>
      <c r="F22" s="55">
        <f t="array" ref="F22">F$11*$I22/$I$57</f>
        <v/>
      </c>
      <c r="G22" s="55">
        <f t="array" ref="G22">G$11*$I22/$I$57</f>
        <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586.5893416</v>
      </c>
      <c r="D23" s="55" t="n">
        <v>268.6914133</v>
      </c>
      <c r="E23" s="55" t="n">
        <v>284.8255244</v>
      </c>
      <c r="F23" s="55" t="n">
        <v>16.18113116</v>
      </c>
      <c r="G23" s="55" t="n">
        <v>16.89127268</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705.7959855</v>
      </c>
      <c r="D24" s="55" t="n">
        <v>323.2948631</v>
      </c>
      <c r="E24" s="55" t="n">
        <v>342.707747</v>
      </c>
      <c r="F24" s="55" t="n">
        <v>19.46945947</v>
      </c>
      <c r="G24" s="55" t="n">
        <v>20.3239159</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840.777781</v>
      </c>
      <c r="D25" s="55" t="n">
        <v>385.124233</v>
      </c>
      <c r="E25" s="55" t="n">
        <v>408.2497846</v>
      </c>
      <c r="F25" s="55" t="n">
        <v>23.19294706</v>
      </c>
      <c r="G25" s="55" t="n">
        <v>24.21081624</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991.608623</v>
      </c>
      <c r="D26" s="55" t="n">
        <v>454.2133713</v>
      </c>
      <c r="E26" s="55" t="n">
        <v>481.4875178</v>
      </c>
      <c r="F26" s="55" t="n">
        <v>27.35363234</v>
      </c>
      <c r="G26" s="55" t="n">
        <v>28.55410157</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1157.860903</v>
      </c>
      <c r="D27" s="55" t="n">
        <v>530.3664085</v>
      </c>
      <c r="E27" s="55" t="n">
        <v>562.2133159</v>
      </c>
      <c r="F27" s="55" t="n">
        <v>31.93971966</v>
      </c>
      <c r="G27" s="55" t="n">
        <v>33.34145857</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1338.534318</v>
      </c>
      <c r="D28" s="55" t="n">
        <v>613.1251493</v>
      </c>
      <c r="E28" s="55" t="n">
        <v>649.9414700999999</v>
      </c>
      <c r="F28" s="55" t="n">
        <v>36.92361558</v>
      </c>
      <c r="G28" s="55" t="n">
        <v>38.54408279</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1532.003146</v>
      </c>
      <c r="D29" s="55" t="n">
        <v>701.7449200999999</v>
      </c>
      <c r="E29" s="55" t="n">
        <v>743.8825915</v>
      </c>
      <c r="F29" s="55" t="n">
        <v>42.26047438</v>
      </c>
      <c r="G29" s="55" t="n">
        <v>44.11516039</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1735.988446</v>
      </c>
      <c r="D30" s="55" t="n">
        <v>795.1818350999999</v>
      </c>
      <c r="E30" s="55" t="n">
        <v>842.9301122000001</v>
      </c>
      <c r="F30" s="55" t="n">
        <v>47.88743119</v>
      </c>
      <c r="G30" s="55" t="n">
        <v>49.98906752</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1947.560823</v>
      </c>
      <c r="D31" s="55" t="n">
        <v>892.0940647</v>
      </c>
      <c r="E31" s="55" t="n">
        <v>945.6616296</v>
      </c>
      <c r="F31" s="55" t="n">
        <v>53.72367835</v>
      </c>
      <c r="G31" s="55" t="n">
        <v>56.08145014</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2163.177989</v>
      </c>
      <c r="D32" s="55" t="n">
        <v>990.8590386</v>
      </c>
      <c r="E32" s="55" t="n">
        <v>1050.357143</v>
      </c>
      <c r="F32" s="55" t="n">
        <v>59.67150145</v>
      </c>
      <c r="G32" s="55" t="n">
        <v>62.29030543</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2378.759341</v>
      </c>
      <c r="D33" s="55" t="n">
        <v>1089.607608</v>
      </c>
      <c r="E33" s="55" t="n">
        <v>1155.035267</v>
      </c>
      <c r="F33" s="55" t="n">
        <v>65.61833664</v>
      </c>
      <c r="G33" s="55" t="n">
        <v>68.49812946</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2589.797364</v>
      </c>
      <c r="D34" s="55" t="n">
        <v>1186.275073</v>
      </c>
      <c r="E34" s="55" t="n">
        <v>1257.507322</v>
      </c>
      <c r="F34" s="55" t="n">
        <v>71.43984358</v>
      </c>
      <c r="G34" s="55" t="n">
        <v>74.57512495</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2791.502932</v>
      </c>
      <c r="D35" s="55" t="n">
        <v>1278.667741</v>
      </c>
      <c r="E35" s="55" t="n">
        <v>1355.447892</v>
      </c>
      <c r="F35" s="55" t="n">
        <v>77.00391375</v>
      </c>
      <c r="G35" s="55" t="n">
        <v>80.38338554000001</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2978.97884</v>
      </c>
      <c r="D36" s="55" t="n">
        <v>1364.542412</v>
      </c>
      <c r="E36" s="55" t="n">
        <v>1446.479078</v>
      </c>
      <c r="F36" s="55" t="n">
        <v>82.17545717</v>
      </c>
      <c r="G36" s="55" t="n">
        <v>85.78189256</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3147.413292</v>
      </c>
      <c r="D37" s="55" t="n">
        <v>1441.695008</v>
      </c>
      <c r="E37" s="55" t="n">
        <v>1528.264457</v>
      </c>
      <c r="F37" s="55" t="n">
        <v>86.82173996</v>
      </c>
      <c r="G37" s="55" t="n">
        <v>90.63208682</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3292.28298</v>
      </c>
      <c r="D38" s="55" t="n">
        <v>1508.053598</v>
      </c>
      <c r="E38" s="55" t="n">
        <v>1598.60768</v>
      </c>
      <c r="F38" s="55" t="n">
        <v>90.81798616</v>
      </c>
      <c r="G38" s="55" t="n">
        <v>94.80371633</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3409.553939</v>
      </c>
      <c r="D39" s="55" t="n">
        <v>1561.770393</v>
      </c>
      <c r="E39" s="55" t="n">
        <v>1655.550007</v>
      </c>
      <c r="F39" s="55" t="n">
        <v>94.05291839</v>
      </c>
      <c r="G39" s="55" t="n">
        <v>98.18062007</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3495.867792</v>
      </c>
      <c r="D40" s="55" t="n">
        <v>1601.307067</v>
      </c>
      <c r="E40" s="55" t="n">
        <v>1697.460739</v>
      </c>
      <c r="F40" s="55" t="n">
        <v>96.43389547</v>
      </c>
      <c r="G40" s="55" t="n">
        <v>100.6660911</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3548.701424</v>
      </c>
      <c r="D41" s="55" t="n">
        <v>1625.507887</v>
      </c>
      <c r="E41" s="55" t="n">
        <v>1723.114745</v>
      </c>
      <c r="F41" s="55" t="n">
        <v>97.89131698</v>
      </c>
      <c r="G41" s="55" t="n">
        <v>102.1874745</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3566.489483</v>
      </c>
      <c r="D42" s="55" t="n">
        <v>1633.655834</v>
      </c>
      <c r="E42" s="55" t="n">
        <v>1731.751952</v>
      </c>
      <c r="F42" s="55" t="n">
        <v>98.38200252999999</v>
      </c>
      <c r="G42" s="55" t="n">
        <v>102.6996948</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3548.701424</v>
      </c>
      <c r="D43" s="55" t="n">
        <v>1625.507887</v>
      </c>
      <c r="E43" s="55" t="n">
        <v>1723.114745</v>
      </c>
      <c r="F43" s="55" t="n">
        <v>97.89131698</v>
      </c>
      <c r="G43" s="55" t="n">
        <v>102.1874745</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3495.867792</v>
      </c>
      <c r="D44" s="55" t="n">
        <v>1601.307067</v>
      </c>
      <c r="E44" s="55" t="n">
        <v>1697.460739</v>
      </c>
      <c r="F44" s="55" t="n">
        <v>96.43389547</v>
      </c>
      <c r="G44" s="55" t="n">
        <v>100.6660911</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3409.553939</v>
      </c>
      <c r="D45" s="55" t="n">
        <v>1561.770393</v>
      </c>
      <c r="E45" s="55" t="n">
        <v>1655.550007</v>
      </c>
      <c r="F45" s="55" t="n">
        <v>94.05291839</v>
      </c>
      <c r="G45" s="55" t="n">
        <v>98.18062007</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3292.28298</v>
      </c>
      <c r="D46" s="55" t="n">
        <v>1508.053598</v>
      </c>
      <c r="E46" s="55" t="n">
        <v>1598.60768</v>
      </c>
      <c r="F46" s="55" t="n">
        <v>90.81798616</v>
      </c>
      <c r="G46" s="55" t="n">
        <v>94.80371633</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3147.413292</v>
      </c>
      <c r="D47" s="55" t="n">
        <v>1441.695008</v>
      </c>
      <c r="E47" s="55" t="n">
        <v>1528.264457</v>
      </c>
      <c r="F47" s="55" t="n">
        <v>86.82173996</v>
      </c>
      <c r="G47" s="55" t="n">
        <v>90.63208682</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2978.97884</v>
      </c>
      <c r="D48" s="55" t="n">
        <v>1364.542412</v>
      </c>
      <c r="E48" s="55" t="n">
        <v>1446.479078</v>
      </c>
      <c r="F48" s="55" t="n">
        <v>82.17545717</v>
      </c>
      <c r="G48" s="55" t="n">
        <v>85.78189256</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2791.502932</v>
      </c>
      <c r="D49" s="55" t="n">
        <v>1278.667741</v>
      </c>
      <c r="E49" s="55" t="n">
        <v>1355.447892</v>
      </c>
      <c r="F49" s="55" t="n">
        <v>77.00391375</v>
      </c>
      <c r="G49" s="55" t="n">
        <v>80.38338554000001</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2589.797364</v>
      </c>
      <c r="D50" s="55" t="n">
        <v>1186.275073</v>
      </c>
      <c r="E50" s="55" t="n">
        <v>1257.507322</v>
      </c>
      <c r="F50" s="55" t="n">
        <v>71.43984358</v>
      </c>
      <c r="G50" s="55" t="n">
        <v>74.57512495</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2378.759341</v>
      </c>
      <c r="D51" s="55" t="n">
        <v>1089.607608</v>
      </c>
      <c r="E51" s="55" t="n">
        <v>1155.035267</v>
      </c>
      <c r="F51" s="55" t="n">
        <v>65.61833664</v>
      </c>
      <c r="G51" s="55" t="n">
        <v>68.49812946</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2163.177989</v>
      </c>
      <c r="D52" s="55" t="n">
        <v>990.8590386</v>
      </c>
      <c r="E52" s="55" t="n">
        <v>1050.357143</v>
      </c>
      <c r="F52" s="55" t="n">
        <v>59.67150145</v>
      </c>
      <c r="G52" s="55" t="n">
        <v>62.29030543</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1947.560823</v>
      </c>
      <c r="D53" s="55" t="n">
        <v>892.0940647</v>
      </c>
      <c r="E53" s="55" t="n">
        <v>945.6616296</v>
      </c>
      <c r="F53" s="55" t="n">
        <v>53.72367835</v>
      </c>
      <c r="G53" s="55" t="n">
        <v>56.08145014</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1735.988446</v>
      </c>
      <c r="D54" s="55" t="n">
        <v>795.1818350999999</v>
      </c>
      <c r="E54" s="55" t="n">
        <v>842.9301122000001</v>
      </c>
      <c r="F54" s="55" t="n">
        <v>47.88743119</v>
      </c>
      <c r="G54" s="55" t="n">
        <v>49.98906752</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1532.003146</v>
      </c>
      <c r="D55" s="55" t="n">
        <v>701.7449200999999</v>
      </c>
      <c r="E55" s="55" t="n">
        <v>743.8825915</v>
      </c>
      <c r="F55" s="55" t="n">
        <v>42.26047438</v>
      </c>
      <c r="G55" s="55" t="n">
        <v>44.11516039</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1338.534318</v>
      </c>
      <c r="D56" s="55" t="n">
        <v>613.1251493</v>
      </c>
      <c r="E56" s="55" t="n">
        <v>649.9414700999999</v>
      </c>
      <c r="F56" s="55" t="n">
        <v>36.92361558</v>
      </c>
      <c r="G56" s="55" t="n">
        <v>38.54408279</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0</v>
      </c>
      <c r="D7" s="56" t="n">
        <v>0</v>
      </c>
      <c r="E7" s="56" t="n">
        <v>0</v>
      </c>
      <c r="F7" s="56" t="n">
        <v>0</v>
      </c>
      <c r="G7" s="56" t="n">
        <v>0</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11</v>
      </c>
      <c r="D8" s="56" t="n">
        <v>3.772794796</v>
      </c>
      <c r="E8" s="56" t="n">
        <v>6.608112939</v>
      </c>
      <c r="F8" s="56" t="n">
        <v>0.2272052041</v>
      </c>
      <c r="G8" s="56" t="n">
        <v>0.3918870605</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7</v>
      </c>
      <c r="D9" s="56" t="n">
        <v>2.833807585</v>
      </c>
      <c r="E9" s="56" t="n">
        <v>3.780210091</v>
      </c>
      <c r="F9" s="56" t="n">
        <v>0.1661924151</v>
      </c>
      <c r="G9" s="56" t="n">
        <v>0.2197899094</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11</v>
      </c>
      <c r="D10" s="56" t="n">
        <v>2.830337377</v>
      </c>
      <c r="E10" s="56" t="n">
        <v>7.555814165</v>
      </c>
      <c r="F10" s="56" t="n">
        <v>0.1696626226</v>
      </c>
      <c r="G10" s="56" t="n">
        <v>0.4441858351</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3</v>
      </c>
      <c r="D11" s="56" t="n">
        <v>0.9413699797</v>
      </c>
      <c r="E11" s="56" t="n">
        <v>1.885009532</v>
      </c>
      <c r="F11" s="56" t="n">
        <v>0.05863002029</v>
      </c>
      <c r="G11" s="56" t="n">
        <v>0.1149904677</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6</v>
      </c>
      <c r="D12" s="56" t="n">
        <v>2.835381982</v>
      </c>
      <c r="E12" s="56" t="n">
        <v>2.838978731</v>
      </c>
      <c r="F12" s="56" t="n">
        <v>0.1646180181</v>
      </c>
      <c r="G12" s="56" t="n">
        <v>0.1610212691</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7</v>
      </c>
      <c r="D13" s="56" t="n">
        <v>3.786987689</v>
      </c>
      <c r="E13" s="56" t="n">
        <v>2.84363745</v>
      </c>
      <c r="F13" s="56" t="n">
        <v>0.2130123114</v>
      </c>
      <c r="G13" s="56" t="n">
        <v>0.1563625501</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9</v>
      </c>
      <c r="D14" s="56" t="n">
        <v>4.73855384</v>
      </c>
      <c r="E14" s="56" t="n">
        <v>3.790146471</v>
      </c>
      <c r="F14" s="56" t="n">
        <v>0.26144616</v>
      </c>
      <c r="G14" s="56" t="n">
        <v>0.2098535286</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5</v>
      </c>
      <c r="D15" s="56" t="n">
        <v>1.894506931</v>
      </c>
      <c r="E15" s="56" t="n">
        <v>2.842636891</v>
      </c>
      <c r="F15" s="56" t="n">
        <v>0.1054930689</v>
      </c>
      <c r="G15" s="56" t="n">
        <v>0.1573631093</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5</v>
      </c>
      <c r="D16" s="56" t="n">
        <v>3.790604447</v>
      </c>
      <c r="E16" s="56" t="n">
        <v>0.9484543479</v>
      </c>
      <c r="F16" s="56" t="n">
        <v>0.2093955528</v>
      </c>
      <c r="G16" s="56" t="n">
        <v>0.05154565213</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9</v>
      </c>
      <c r="D17" s="56" t="n">
        <v>5.681763373</v>
      </c>
      <c r="E17" s="56" t="n">
        <v>2.841489845</v>
      </c>
      <c r="F17" s="56" t="n">
        <v>0.3182366274</v>
      </c>
      <c r="G17" s="56" t="n">
        <v>0.1585101551</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0</v>
      </c>
      <c r="D18" s="56" t="n">
        <v>0</v>
      </c>
      <c r="E18" s="56" t="n">
        <v>0</v>
      </c>
      <c r="F18" s="56" t="n">
        <v>0</v>
      </c>
      <c r="G18" s="56" t="n">
        <v>0</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4</v>
      </c>
      <c r="D19" s="56" t="n">
        <v>1.77301979</v>
      </c>
      <c r="E19" s="56" t="n">
        <v>1.772656649</v>
      </c>
      <c r="F19" s="56" t="n">
        <v>0.2269802097</v>
      </c>
      <c r="G19" s="56" t="n">
        <v>0.2273433512</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3</v>
      </c>
      <c r="D20" s="56" t="n">
        <v>0.8880825124</v>
      </c>
      <c r="E20" s="56" t="n">
        <v>1.771209346</v>
      </c>
      <c r="F20" s="56" t="n">
        <v>0.1119174876</v>
      </c>
      <c r="G20" s="56" t="n">
        <v>0.228790654</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9</v>
      </c>
      <c r="D21" s="56" t="n">
        <v>6.266316794</v>
      </c>
      <c r="E21" s="56" t="n">
        <v>1.78946557</v>
      </c>
      <c r="F21" s="56" t="n">
        <v>0.7336832061</v>
      </c>
      <c r="G21" s="56" t="n">
        <v>0.2105344296</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12</v>
      </c>
      <c r="D22" s="56" t="n">
        <v>5.41812302</v>
      </c>
      <c r="E22" s="56" t="n">
        <v>5.40863164</v>
      </c>
      <c r="F22" s="56" t="n">
        <v>0.5818769802</v>
      </c>
      <c r="G22" s="56" t="n">
        <v>0.5913683603</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11</v>
      </c>
      <c r="D23" s="56" t="n">
        <v>3.631992572</v>
      </c>
      <c r="E23" s="56" t="n">
        <v>6.325745749</v>
      </c>
      <c r="F23" s="56" t="n">
        <v>0.3680074281</v>
      </c>
      <c r="G23" s="56" t="n">
        <v>0.6742542507</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22</v>
      </c>
      <c r="D24" s="56" t="n">
        <v>7.234894921</v>
      </c>
      <c r="E24" s="56" t="n">
        <v>12.61089046</v>
      </c>
      <c r="F24" s="56" t="n">
        <v>0.7651050788</v>
      </c>
      <c r="G24" s="56" t="n">
        <v>1.389109544</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31</v>
      </c>
      <c r="D25" s="56" t="n">
        <v>10.88601812</v>
      </c>
      <c r="E25" s="56" t="n">
        <v>17.19957905</v>
      </c>
      <c r="F25" s="56" t="n">
        <v>1.11398188</v>
      </c>
      <c r="G25" s="56" t="n">
        <v>1.800420946</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41</v>
      </c>
      <c r="D26" s="56" t="n">
        <v>13.58310811</v>
      </c>
      <c r="E26" s="56" t="n">
        <v>23.46192482</v>
      </c>
      <c r="F26" s="56" t="n">
        <v>1.416891892</v>
      </c>
      <c r="G26" s="56" t="n">
        <v>2.538075178</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0</v>
      </c>
      <c r="D27" s="56" t="n">
        <v>0</v>
      </c>
      <c r="E27" s="56" t="n">
        <v>0</v>
      </c>
      <c r="F27" s="56" t="n">
        <v>0</v>
      </c>
      <c r="G27" s="56" t="n">
        <v>0</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34</v>
      </c>
      <c r="D28" s="56" t="n">
        <v>4.240424588</v>
      </c>
      <c r="E28" s="56" t="n">
        <v>16.31763829</v>
      </c>
      <c r="F28" s="56" t="n">
        <v>1.759575412</v>
      </c>
      <c r="G28" s="56" t="n">
        <v>11.68236171</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38</v>
      </c>
      <c r="D29" s="56" t="n">
        <v>6.442911903</v>
      </c>
      <c r="E29" s="56" t="n">
        <v>17.48434861</v>
      </c>
      <c r="F29" s="56" t="n">
        <v>2.557088097</v>
      </c>
      <c r="G29" s="56" t="n">
        <v>11.51565139</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43</v>
      </c>
      <c r="D30" s="56" t="n">
        <v>10.03136485</v>
      </c>
      <c r="E30" s="56" t="n">
        <v>17.29247992</v>
      </c>
      <c r="F30" s="56" t="n">
        <v>3.968635146</v>
      </c>
      <c r="G30" s="56" t="n">
        <v>11.70752008</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50</v>
      </c>
      <c r="D31" s="56" t="n">
        <v>7.240211274</v>
      </c>
      <c r="E31" s="56" t="n">
        <v>24.19343987</v>
      </c>
      <c r="F31" s="56" t="n">
        <v>2.759788726</v>
      </c>
      <c r="G31" s="56" t="n">
        <v>15.80656013</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46</v>
      </c>
      <c r="D32" s="56" t="n">
        <v>6.531494843</v>
      </c>
      <c r="E32" s="56" t="n">
        <v>22.58752809</v>
      </c>
      <c r="F32" s="56" t="n">
        <v>2.468505157</v>
      </c>
      <c r="G32" s="56" t="n">
        <v>14.41247191</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50</v>
      </c>
      <c r="D33" s="56" t="n">
        <v>8.695519527</v>
      </c>
      <c r="E33" s="56" t="n">
        <v>23.22217045</v>
      </c>
      <c r="F33" s="56" t="n">
        <v>3.304480473</v>
      </c>
      <c r="G33" s="56" t="n">
        <v>14.77782955</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66</v>
      </c>
      <c r="D34" s="56" t="n">
        <v>11.93922748</v>
      </c>
      <c r="E34" s="56" t="n">
        <v>32.07894806</v>
      </c>
      <c r="F34" s="56" t="n">
        <v>4.060772516</v>
      </c>
      <c r="G34" s="56" t="n">
        <v>17.92105194</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46</v>
      </c>
      <c r="D35" s="56" t="n">
        <v>11.87342999</v>
      </c>
      <c r="E35" s="56" t="n">
        <v>19.05337039</v>
      </c>
      <c r="F35" s="56" t="n">
        <v>4.126570013</v>
      </c>
      <c r="G35" s="56" t="n">
        <v>10.94662961</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48</v>
      </c>
      <c r="D36" s="56" t="n">
        <v>6.623362434</v>
      </c>
      <c r="E36" s="56" t="n">
        <v>24.49756575</v>
      </c>
      <c r="F36" s="56" t="n">
        <v>2.376637566</v>
      </c>
      <c r="G36" s="56" t="n">
        <v>14.50243425</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56</v>
      </c>
      <c r="D37" s="56" t="n">
        <v>11.80194331</v>
      </c>
      <c r="E37" s="56" t="n">
        <v>25.08036001</v>
      </c>
      <c r="F37" s="56" t="n">
        <v>4.198056687</v>
      </c>
      <c r="G37" s="56" t="n">
        <v>14.91963999</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56</v>
      </c>
      <c r="D38" s="56" t="n">
        <v>12.47497697</v>
      </c>
      <c r="E38" s="56" t="n">
        <v>24.61416824</v>
      </c>
      <c r="F38" s="56" t="n">
        <v>4.525023033</v>
      </c>
      <c r="G38" s="56" t="n">
        <v>14.38583176</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67</v>
      </c>
      <c r="D39" s="56" t="n">
        <v>16.84527855</v>
      </c>
      <c r="E39" s="56" t="n">
        <v>27.64045308</v>
      </c>
      <c r="F39" s="56" t="n">
        <v>6.154721446</v>
      </c>
      <c r="G39" s="56" t="n">
        <v>16.35954692</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71</v>
      </c>
      <c r="D40" s="56" t="n">
        <v>14.65964086</v>
      </c>
      <c r="E40" s="56" t="n">
        <v>31.95429601</v>
      </c>
      <c r="F40" s="56" t="n">
        <v>5.340359141</v>
      </c>
      <c r="G40" s="56" t="n">
        <v>19.04570399</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91</v>
      </c>
      <c r="D41" s="56" t="n">
        <v>23.10069952</v>
      </c>
      <c r="E41" s="56" t="n">
        <v>38.26473301</v>
      </c>
      <c r="F41" s="56" t="n">
        <v>7.899300484</v>
      </c>
      <c r="G41" s="56" t="n">
        <v>21.73526699</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66</v>
      </c>
      <c r="D42" s="56" t="n">
        <v>14.98570225</v>
      </c>
      <c r="E42" s="56" t="n">
        <v>29.33198017</v>
      </c>
      <c r="F42" s="56" t="n">
        <v>5.014297753</v>
      </c>
      <c r="G42" s="56" t="n">
        <v>16.66801983</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88</v>
      </c>
      <c r="D43" s="56" t="n">
        <v>27.78090903</v>
      </c>
      <c r="E43" s="56" t="n">
        <v>32.76839433</v>
      </c>
      <c r="F43" s="56" t="n">
        <v>9.219090966</v>
      </c>
      <c r="G43" s="56" t="n">
        <v>18.23160567</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111</v>
      </c>
      <c r="D44" s="56" t="n">
        <v>32.33175026</v>
      </c>
      <c r="E44" s="56" t="n">
        <v>43.66399182</v>
      </c>
      <c r="F44" s="56" t="n">
        <v>10.66824974</v>
      </c>
      <c r="G44" s="56" t="n">
        <v>24.33600818</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0</v>
      </c>
      <c r="D45" s="56" t="n">
        <v>0</v>
      </c>
      <c r="E45" s="56" t="n">
        <v>0</v>
      </c>
      <c r="F45" s="56" t="n">
        <v>0</v>
      </c>
      <c r="G45" s="56" t="n">
        <v>0</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103</v>
      </c>
      <c r="D46" s="56" t="n">
        <v>33.35625824</v>
      </c>
      <c r="E46" s="56" t="n">
        <v>37.09237558</v>
      </c>
      <c r="F46" s="56" t="n">
        <v>11.64374176</v>
      </c>
      <c r="G46" s="56" t="n">
        <v>20.90762442</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121</v>
      </c>
      <c r="D47" s="56" t="n">
        <v>31.30756249</v>
      </c>
      <c r="E47" s="56" t="n">
        <v>50.75695347</v>
      </c>
      <c r="F47" s="56" t="n">
        <v>10.69243751</v>
      </c>
      <c r="G47" s="56" t="n">
        <v>28.24304653</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136</v>
      </c>
      <c r="D48" s="56" t="n">
        <v>34.33778642</v>
      </c>
      <c r="E48" s="56" t="n">
        <v>57.55976577</v>
      </c>
      <c r="F48" s="56" t="n">
        <v>11.66221358</v>
      </c>
      <c r="G48" s="56" t="n">
        <v>32.44023423</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139</v>
      </c>
      <c r="D49" s="56" t="n">
        <v>39.0710307</v>
      </c>
      <c r="E49" s="56" t="n">
        <v>55.97227599</v>
      </c>
      <c r="F49" s="56" t="n">
        <v>12.9289693</v>
      </c>
      <c r="G49" s="56" t="n">
        <v>31.02772401</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174</v>
      </c>
      <c r="D50" s="56" t="n">
        <v>53.07571357</v>
      </c>
      <c r="E50" s="56" t="n">
        <v>67.81761989</v>
      </c>
      <c r="F50" s="56" t="n">
        <v>16.92428643</v>
      </c>
      <c r="G50" s="56" t="n">
        <v>36.18238011</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218</v>
      </c>
      <c r="D51" s="56" t="n">
        <v>56.44473954</v>
      </c>
      <c r="E51" s="56" t="n">
        <v>97.44451988</v>
      </c>
      <c r="F51" s="56" t="n">
        <v>16.55526046</v>
      </c>
      <c r="G51" s="56" t="n">
        <v>47.55548012</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217</v>
      </c>
      <c r="D52" s="56" t="n">
        <v>63.79118994</v>
      </c>
      <c r="E52" s="56" t="n">
        <v>91.36564364</v>
      </c>
      <c r="F52" s="56" t="n">
        <v>18.20881006</v>
      </c>
      <c r="G52" s="56" t="n">
        <v>43.63435636</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259</v>
      </c>
      <c r="D53" s="56" t="n">
        <v>73.29052545</v>
      </c>
      <c r="E53" s="56" t="n">
        <v>114.1024917</v>
      </c>
      <c r="F53" s="56" t="n">
        <v>19.70947455</v>
      </c>
      <c r="G53" s="56" t="n">
        <v>51.89750834</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343</v>
      </c>
      <c r="D54" s="56" t="n">
        <v>102.7610074</v>
      </c>
      <c r="E54" s="56" t="n">
        <v>146.6503925</v>
      </c>
      <c r="F54" s="56" t="n">
        <v>27.23899263</v>
      </c>
      <c r="G54" s="56" t="n">
        <v>66.34960749</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355</v>
      </c>
      <c r="D55" s="56" t="n">
        <v>109.4387868</v>
      </c>
      <c r="E55" s="56" t="n">
        <v>152.2264549</v>
      </c>
      <c r="F55" s="56" t="n">
        <v>27.56121318</v>
      </c>
      <c r="G55" s="56" t="n">
        <v>65.77354515</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0</v>
      </c>
      <c r="D56" s="56" t="n">
        <v>0</v>
      </c>
      <c r="E56" s="56" t="n">
        <v>0</v>
      </c>
      <c r="F56" s="56" t="n">
        <v>0</v>
      </c>
      <c r="G56" s="56" t="n">
        <v>0</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387</v>
      </c>
      <c r="D57" s="56" t="n">
        <v>119.2014005</v>
      </c>
      <c r="E57" s="56" t="n">
        <v>217.2027009</v>
      </c>
      <c r="F57" s="56" t="n">
        <v>15.79859945</v>
      </c>
      <c r="G57" s="56" t="n">
        <v>34.79729907</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452</v>
      </c>
      <c r="D58" s="56" t="n">
        <v>140.0300588</v>
      </c>
      <c r="E58" s="56" t="n">
        <v>254.1948239</v>
      </c>
      <c r="F58" s="56" t="n">
        <v>17.96994115</v>
      </c>
      <c r="G58" s="56" t="n">
        <v>39.80517615</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497</v>
      </c>
      <c r="D59" s="56" t="n">
        <v>138.5252732</v>
      </c>
      <c r="E59" s="56" t="n">
        <v>299.1756485</v>
      </c>
      <c r="F59" s="56" t="n">
        <v>16.47472676</v>
      </c>
      <c r="G59" s="56" t="n">
        <v>42.8243515</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515</v>
      </c>
      <c r="D60" s="56" t="n">
        <v>156.772666</v>
      </c>
      <c r="E60" s="56" t="n">
        <v>297.9365207</v>
      </c>
      <c r="F60" s="56" t="n">
        <v>18.22733397</v>
      </c>
      <c r="G60" s="56" t="n">
        <v>42.06347926</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583</v>
      </c>
      <c r="D61" s="56" t="n">
        <v>161.1131083</v>
      </c>
      <c r="E61" s="56" t="n">
        <v>353.0740656</v>
      </c>
      <c r="F61" s="56" t="n">
        <v>18.88689166</v>
      </c>
      <c r="G61" s="56" t="n">
        <v>49.9259344</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658</v>
      </c>
      <c r="D62" s="56" t="n">
        <v>183.275351</v>
      </c>
      <c r="E62" s="56" t="n">
        <v>395.1114563</v>
      </c>
      <c r="F62" s="56" t="n">
        <v>21.72464895</v>
      </c>
      <c r="G62" s="56" t="n">
        <v>57.88854369</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657</v>
      </c>
      <c r="D63" s="56" t="n">
        <v>185.2390289</v>
      </c>
      <c r="E63" s="56" t="n">
        <v>389.9060588</v>
      </c>
      <c r="F63" s="56" t="n">
        <v>22.76097108</v>
      </c>
      <c r="G63" s="56" t="n">
        <v>59.09394121</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739</v>
      </c>
      <c r="D64" s="56" t="n">
        <v>196.9187272</v>
      </c>
      <c r="E64" s="56" t="n">
        <v>449.7742453</v>
      </c>
      <c r="F64" s="56" t="n">
        <v>24.0812728</v>
      </c>
      <c r="G64" s="56" t="n">
        <v>68.22575466000001</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827</v>
      </c>
      <c r="D65" s="56" t="n">
        <v>232.2585083</v>
      </c>
      <c r="E65" s="56" t="n">
        <v>490.4783734</v>
      </c>
      <c r="F65" s="56" t="n">
        <v>28.7414917</v>
      </c>
      <c r="G65" s="56" t="n">
        <v>75.52162657</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861</v>
      </c>
      <c r="D66" s="56" t="n">
        <v>249.9088172</v>
      </c>
      <c r="E66" s="56" t="n">
        <v>499.325123</v>
      </c>
      <c r="F66" s="56" t="n">
        <v>32.0911828</v>
      </c>
      <c r="G66" s="56" t="n">
        <v>79.67487697</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0</v>
      </c>
      <c r="D67" s="56" t="n">
        <v>0</v>
      </c>
      <c r="E67" s="56" t="n">
        <v>0</v>
      </c>
      <c r="F67" s="56" t="n">
        <v>0</v>
      </c>
      <c r="G67" s="56" t="n">
        <v>0</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1045</v>
      </c>
      <c r="D68" s="56" t="n">
        <v>287.2633058</v>
      </c>
      <c r="E68" s="56" t="n">
        <v>686.013141</v>
      </c>
      <c r="F68" s="56" t="n">
        <v>21.73669416</v>
      </c>
      <c r="G68" s="56" t="n">
        <v>49.98685901</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1086</v>
      </c>
      <c r="D69" s="56" t="n">
        <v>283.4844513</v>
      </c>
      <c r="E69" s="56" t="n">
        <v>727.5283308</v>
      </c>
      <c r="F69" s="56" t="n">
        <v>21.51554873</v>
      </c>
      <c r="G69" s="56" t="n">
        <v>53.47166924</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1202</v>
      </c>
      <c r="D70" s="56" t="n">
        <v>327.3923802</v>
      </c>
      <c r="E70" s="56" t="n">
        <v>791.0680695999999</v>
      </c>
      <c r="F70" s="56" t="n">
        <v>24.60761981</v>
      </c>
      <c r="G70" s="56" t="n">
        <v>58.93193039</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1210</v>
      </c>
      <c r="D71" s="56" t="n">
        <v>372.3397714</v>
      </c>
      <c r="E71" s="56" t="n">
        <v>754.3496891</v>
      </c>
      <c r="F71" s="56" t="n">
        <v>27.6602286</v>
      </c>
      <c r="G71" s="56" t="n">
        <v>55.6503109</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1296</v>
      </c>
      <c r="D72" s="56" t="n">
        <v>393.8828632</v>
      </c>
      <c r="E72" s="56" t="n">
        <v>813.3443266</v>
      </c>
      <c r="F72" s="56" t="n">
        <v>29.11713683</v>
      </c>
      <c r="G72" s="56" t="n">
        <v>59.65567336</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1391</v>
      </c>
      <c r="D73" s="56" t="n">
        <v>416.5936649</v>
      </c>
      <c r="E73" s="56" t="n">
        <v>879.5748228</v>
      </c>
      <c r="F73" s="56" t="n">
        <v>30.40633513</v>
      </c>
      <c r="G73" s="56" t="n">
        <v>64.42517718000001</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1422</v>
      </c>
      <c r="D74" s="56" t="n">
        <v>453.8771931</v>
      </c>
      <c r="E74" s="56" t="n">
        <v>868.4042058</v>
      </c>
      <c r="F74" s="56" t="n">
        <v>34.12280693</v>
      </c>
      <c r="G74" s="56" t="n">
        <v>65.59579424</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1571</v>
      </c>
      <c r="D75" s="56" t="n">
        <v>470.4912616</v>
      </c>
      <c r="E75" s="56" t="n">
        <v>989.9833687</v>
      </c>
      <c r="F75" s="56" t="n">
        <v>35.50873843</v>
      </c>
      <c r="G75" s="56" t="n">
        <v>75.01663125</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1563</v>
      </c>
      <c r="D76" s="56" t="n">
        <v>479.8667855</v>
      </c>
      <c r="E76" s="56" t="n">
        <v>973.5062319</v>
      </c>
      <c r="F76" s="56" t="n">
        <v>36.13321449</v>
      </c>
      <c r="G76" s="56" t="n">
        <v>73.4937681</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1757</v>
      </c>
      <c r="D77" s="56" t="n">
        <v>544.6880517</v>
      </c>
      <c r="E77" s="56" t="n">
        <v>1089.366572</v>
      </c>
      <c r="F77" s="56" t="n">
        <v>41.31194833</v>
      </c>
      <c r="G77" s="56" t="n">
        <v>81.63342776</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0</v>
      </c>
      <c r="D78" s="56" t="n">
        <v>0</v>
      </c>
      <c r="E78" s="56" t="n">
        <v>0</v>
      </c>
      <c r="F78" s="56" t="n">
        <v>0</v>
      </c>
      <c r="G78" s="56" t="n">
        <v>0</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1912</v>
      </c>
      <c r="D79" s="56" t="n">
        <v>675.6373099</v>
      </c>
      <c r="E79" s="56" t="n">
        <v>1146.420128</v>
      </c>
      <c r="F79" s="56" t="n">
        <v>31.36269012</v>
      </c>
      <c r="G79" s="56" t="n">
        <v>58.57987211</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2127</v>
      </c>
      <c r="D80" s="56" t="n">
        <v>774.1979873</v>
      </c>
      <c r="E80" s="56" t="n">
        <v>1252.835042</v>
      </c>
      <c r="F80" s="56" t="n">
        <v>35.80201272</v>
      </c>
      <c r="G80" s="56" t="n">
        <v>64.16495820999999</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2223</v>
      </c>
      <c r="D81" s="56" t="n">
        <v>842.4871206</v>
      </c>
      <c r="E81" s="56" t="n">
        <v>1274.684462</v>
      </c>
      <c r="F81" s="56" t="n">
        <v>39.51287935</v>
      </c>
      <c r="G81" s="56" t="n">
        <v>66.31553803</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2365</v>
      </c>
      <c r="D82" s="56" t="n">
        <v>872.5387802</v>
      </c>
      <c r="E82" s="56" t="n">
        <v>1375.305558</v>
      </c>
      <c r="F82" s="56" t="n">
        <v>42.46121981</v>
      </c>
      <c r="G82" s="56" t="n">
        <v>74.69444178000001</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2488</v>
      </c>
      <c r="D83" s="56" t="n">
        <v>967.2267382</v>
      </c>
      <c r="E83" s="56" t="n">
        <v>1396.871147</v>
      </c>
      <c r="F83" s="56" t="n">
        <v>46.77326177</v>
      </c>
      <c r="G83" s="56" t="n">
        <v>77.12885296</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2567</v>
      </c>
      <c r="D84" s="56" t="n">
        <v>1068.87556</v>
      </c>
      <c r="E84" s="56" t="n">
        <v>1365.55142</v>
      </c>
      <c r="F84" s="56" t="n">
        <v>54.12443991</v>
      </c>
      <c r="G84" s="56" t="n">
        <v>78.44858005</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2952</v>
      </c>
      <c r="D85" s="56" t="n">
        <v>1246.899218</v>
      </c>
      <c r="E85" s="56" t="n">
        <v>1546.510284</v>
      </c>
      <c r="F85" s="56" t="n">
        <v>65.10078157</v>
      </c>
      <c r="G85" s="56" t="n">
        <v>93.48971616</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3187</v>
      </c>
      <c r="D86" s="56" t="n">
        <v>1362.044549</v>
      </c>
      <c r="E86" s="56" t="n">
        <v>1654.626207</v>
      </c>
      <c r="F86" s="56" t="n">
        <v>69.95545142</v>
      </c>
      <c r="G86" s="56" t="n">
        <v>100.3737935</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3203</v>
      </c>
      <c r="D87" s="56" t="n">
        <v>1456.554835</v>
      </c>
      <c r="E87" s="56" t="n">
        <v>1575.274196</v>
      </c>
      <c r="F87" s="56" t="n">
        <v>76.44516543</v>
      </c>
      <c r="G87" s="56" t="n">
        <v>94.72580418</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3425</v>
      </c>
      <c r="D88" s="56" t="n">
        <v>1527.658126</v>
      </c>
      <c r="E88" s="56" t="n">
        <v>1709.043918</v>
      </c>
      <c r="F88" s="56" t="n">
        <v>82.34187374</v>
      </c>
      <c r="G88" s="56" t="n">
        <v>105.9560816</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0</v>
      </c>
      <c r="D89" s="56" t="n">
        <v>0</v>
      </c>
      <c r="E89" s="56" t="n">
        <v>0</v>
      </c>
      <c r="F89" s="56" t="n">
        <v>0</v>
      </c>
      <c r="G89" s="56" t="n">
        <v>0</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3709</v>
      </c>
      <c r="D90" s="56" t="n">
        <v>1846.007806</v>
      </c>
      <c r="E90" s="56" t="n">
        <v>1764.205905</v>
      </c>
      <c r="F90" s="56" t="n">
        <v>44.99219397</v>
      </c>
      <c r="G90" s="56" t="n">
        <v>53.79409505</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4236</v>
      </c>
      <c r="D91" s="56" t="n">
        <v>2102.769759</v>
      </c>
      <c r="E91" s="56" t="n">
        <v>2020.064525</v>
      </c>
      <c r="F91" s="56" t="n">
        <v>50.23024053</v>
      </c>
      <c r="G91" s="56" t="n">
        <v>62.93547456</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4726</v>
      </c>
      <c r="D92" s="56" t="n">
        <v>2433.341346</v>
      </c>
      <c r="E92" s="56" t="n">
        <v>2150.740838</v>
      </c>
      <c r="F92" s="56" t="n">
        <v>65.65865396</v>
      </c>
      <c r="G92" s="56" t="n">
        <v>76.25916228</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4667</v>
      </c>
      <c r="D93" s="56" t="n">
        <v>2441.321848</v>
      </c>
      <c r="E93" s="56" t="n">
        <v>2080.061736</v>
      </c>
      <c r="F93" s="56" t="n">
        <v>67.67815222</v>
      </c>
      <c r="G93" s="56" t="n">
        <v>77.93826418</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4828</v>
      </c>
      <c r="D94" s="56" t="n">
        <v>2631.745433</v>
      </c>
      <c r="E94" s="56" t="n">
        <v>2045.4952</v>
      </c>
      <c r="F94" s="56" t="n">
        <v>72.25456732000001</v>
      </c>
      <c r="G94" s="56" t="n">
        <v>78.50480032</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5033</v>
      </c>
      <c r="D95" s="56" t="n">
        <v>2771.460655</v>
      </c>
      <c r="E95" s="56" t="n">
        <v>2086.739549</v>
      </c>
      <c r="F95" s="56" t="n">
        <v>84.53934538999999</v>
      </c>
      <c r="G95" s="56" t="n">
        <v>90.26045092</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4889</v>
      </c>
      <c r="D96" s="56" t="n">
        <v>2792.874998</v>
      </c>
      <c r="E96" s="56" t="n">
        <v>1910.752738</v>
      </c>
      <c r="F96" s="56" t="n">
        <v>93.1250016</v>
      </c>
      <c r="G96" s="56" t="n">
        <v>92.24726213</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4707</v>
      </c>
      <c r="D97" s="56" t="n">
        <v>2741.094744</v>
      </c>
      <c r="E97" s="56" t="n">
        <v>1768.237971</v>
      </c>
      <c r="F97" s="56" t="n">
        <v>100.9052557</v>
      </c>
      <c r="G97" s="56" t="n">
        <v>96.76202922</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4559</v>
      </c>
      <c r="D98" s="56" t="n">
        <v>2717.228814</v>
      </c>
      <c r="E98" s="56" t="n">
        <v>1639.112892</v>
      </c>
      <c r="F98" s="56" t="n">
        <v>107.7711862</v>
      </c>
      <c r="G98" s="56" t="n">
        <v>94.88710772</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4171</v>
      </c>
      <c r="D99" s="56" t="n">
        <v>2588.663603</v>
      </c>
      <c r="E99" s="56" t="n">
        <v>1388.988715</v>
      </c>
      <c r="F99" s="56" t="n">
        <v>106.3363969</v>
      </c>
      <c r="G99" s="56" t="n">
        <v>87.01128455</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0</v>
      </c>
      <c r="D100" s="56" t="n">
        <v>0</v>
      </c>
      <c r="E100" s="56" t="n">
        <v>0</v>
      </c>
      <c r="F100" s="56" t="n">
        <v>0</v>
      </c>
      <c r="G100" s="56" t="n">
        <v>0</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3102</v>
      </c>
      <c r="D101" s="56" t="n">
        <v>2135</v>
      </c>
      <c r="E101" s="56" t="n">
        <v>967</v>
      </c>
      <c r="F101" s="56" t="n">
        <v>0</v>
      </c>
      <c r="G101" s="56" t="n">
        <v>0</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2555</v>
      </c>
      <c r="D102" s="56" t="n">
        <v>1786</v>
      </c>
      <c r="E102" s="56" t="n">
        <v>769</v>
      </c>
      <c r="F102" s="56" t="n">
        <v>0</v>
      </c>
      <c r="G102" s="56" t="n">
        <v>0</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2029</v>
      </c>
      <c r="D103" s="56" t="n">
        <v>1435</v>
      </c>
      <c r="E103" s="56" t="n">
        <v>594</v>
      </c>
      <c r="F103" s="56" t="n">
        <v>0</v>
      </c>
      <c r="G103" s="56" t="n">
        <v>0</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1613</v>
      </c>
      <c r="D104" s="56" t="n">
        <v>1198</v>
      </c>
      <c r="E104" s="56" t="n">
        <v>415</v>
      </c>
      <c r="F104" s="56" t="n">
        <v>0</v>
      </c>
      <c r="G104" s="56" t="n">
        <v>0</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1175</v>
      </c>
      <c r="D105" s="56" t="n">
        <v>900</v>
      </c>
      <c r="E105" s="56" t="n">
        <v>275</v>
      </c>
      <c r="F105" s="56" t="n">
        <v>0</v>
      </c>
      <c r="G105" s="56" t="n">
        <v>0</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2434</v>
      </c>
      <c r="D106" s="56" t="n">
        <v>1928</v>
      </c>
      <c r="E106" s="56" t="n">
        <v>506</v>
      </c>
      <c r="F106" s="56" t="n">
        <v>0</v>
      </c>
      <c r="G106" s="56" t="n">
        <v>0</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https://ec.europa.eu/eurostat/databrowser/view/demo_magec__custom_21041710/default/table; downloaded 46129; The deaths were only available for female/male so we distributed the numbers according to their share in the population</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67876.3</v>
      </c>
      <c r="D9" s="118" t="n">
        <v>5120.858840000001</v>
      </c>
      <c r="E9" s="118" t="n">
        <v>10803.64803</v>
      </c>
      <c r="F9" s="118" t="n">
        <v>27007.04116</v>
      </c>
      <c r="G9" s="118" t="n">
        <v>24944.751968</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469.3454607</v>
      </c>
      <c r="D17" s="83" t="n">
        <v>35.40929384</v>
      </c>
      <c r="E17" s="83" t="n">
        <v>74.7041775</v>
      </c>
      <c r="F17" s="83" t="n">
        <v>186.7460686</v>
      </c>
      <c r="G17" s="83" t="n">
        <v>172.48592077</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564.7258116</v>
      </c>
      <c r="D18" s="83" t="n">
        <v>42.60516797999999</v>
      </c>
      <c r="E18" s="83" t="n">
        <v>89.88555510000002</v>
      </c>
      <c r="F18" s="83" t="n">
        <v>224.69659127</v>
      </c>
      <c r="G18" s="83" t="n">
        <v>207.53849726</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672.7282734</v>
      </c>
      <c r="D19" s="83" t="n">
        <v>50.75330459999999</v>
      </c>
      <c r="E19" s="83" t="n">
        <v>107.0759527</v>
      </c>
      <c r="F19" s="83" t="n">
        <v>267.66927738</v>
      </c>
      <c r="G19" s="83" t="n">
        <v>247.2297388</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793.4119717</v>
      </c>
      <c r="D20" s="83" t="n">
        <v>59.8581642</v>
      </c>
      <c r="E20" s="83" t="n">
        <v>126.2847811</v>
      </c>
      <c r="F20" s="83" t="n">
        <v>315.687652</v>
      </c>
      <c r="G20" s="83" t="n">
        <v>291.58137434</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926.4347647000002</v>
      </c>
      <c r="D21" s="83" t="n">
        <v>69.89393430000001</v>
      </c>
      <c r="E21" s="83" t="n">
        <v>147.4575828</v>
      </c>
      <c r="F21" s="83" t="n">
        <v>368.61558206</v>
      </c>
      <c r="G21" s="83" t="n">
        <v>340.46766587</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1070.9962855</v>
      </c>
      <c r="D22" s="83" t="n">
        <v>80.80023209999999</v>
      </c>
      <c r="E22" s="83" t="n">
        <v>170.4669659</v>
      </c>
      <c r="F22" s="83" t="n">
        <v>426.13461217</v>
      </c>
      <c r="G22" s="83" t="n">
        <v>393.5944756</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1225.7957517</v>
      </c>
      <c r="D23" s="83" t="n">
        <v>92.4789213</v>
      </c>
      <c r="E23" s="83" t="n">
        <v>195.1058891</v>
      </c>
      <c r="F23" s="83" t="n">
        <v>487.72717877</v>
      </c>
      <c r="G23" s="83" t="n">
        <v>450.4837621</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1389.0097202</v>
      </c>
      <c r="D24" s="83" t="n">
        <v>104.7924342</v>
      </c>
      <c r="E24" s="83" t="n">
        <v>221.0841211000001</v>
      </c>
      <c r="F24" s="83" t="n">
        <v>552.6677599899999</v>
      </c>
      <c r="G24" s="83" t="n">
        <v>510.4654045999999</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1558.2943072</v>
      </c>
      <c r="D25" s="83" t="n">
        <v>117.5639388</v>
      </c>
      <c r="E25" s="83" t="n">
        <v>248.0285936</v>
      </c>
      <c r="F25" s="83" t="n">
        <v>620.02375643</v>
      </c>
      <c r="G25" s="83" t="n">
        <v>572.6780185</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1730.8152361</v>
      </c>
      <c r="D26" s="83" t="n">
        <v>130.5796058</v>
      </c>
      <c r="E26" s="83" t="n">
        <v>275.488184</v>
      </c>
      <c r="F26" s="83" t="n">
        <v>688.66744836</v>
      </c>
      <c r="G26" s="83" t="n">
        <v>636.079998</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1903.3075097</v>
      </c>
      <c r="D27" s="83" t="n">
        <v>143.5931111</v>
      </c>
      <c r="E27" s="83" t="n">
        <v>302.9432133</v>
      </c>
      <c r="F27" s="83" t="n">
        <v>757.2997387</v>
      </c>
      <c r="G27" s="83" t="n">
        <v>699.4714465</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2072.1645462</v>
      </c>
      <c r="D28" s="83" t="n">
        <v>156.3323595</v>
      </c>
      <c r="E28" s="83" t="n">
        <v>329.819634</v>
      </c>
      <c r="F28" s="83" t="n">
        <v>824.4856185899999</v>
      </c>
      <c r="G28" s="83" t="n">
        <v>761.5269342</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2233.554443</v>
      </c>
      <c r="D29" s="83" t="n">
        <v>168.5082571</v>
      </c>
      <c r="E29" s="83" t="n">
        <v>355.5075344000001</v>
      </c>
      <c r="F29" s="83" t="n">
        <v>888.7004265500001</v>
      </c>
      <c r="G29" s="83" t="n">
        <v>820.8382243000001</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2383.558816</v>
      </c>
      <c r="D30" s="83" t="n">
        <v>179.8251853</v>
      </c>
      <c r="E30" s="83" t="n">
        <v>379.3832384</v>
      </c>
      <c r="F30" s="83" t="n">
        <v>948.3850920900001</v>
      </c>
      <c r="G30" s="83" t="n">
        <v>875.9652991999999</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2518.327622</v>
      </c>
      <c r="D31" s="83" t="n">
        <v>189.9926817</v>
      </c>
      <c r="E31" s="83" t="n">
        <v>400.8339473</v>
      </c>
      <c r="F31" s="83" t="n">
        <v>1002.00773717</v>
      </c>
      <c r="G31" s="83" t="n">
        <v>925.4932565000001</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2634.241645</v>
      </c>
      <c r="D32" s="83" t="n">
        <v>198.7376981</v>
      </c>
      <c r="E32" s="83" t="n">
        <v>419.2836026</v>
      </c>
      <c r="F32" s="83" t="n">
        <v>1048.1283239</v>
      </c>
      <c r="G32" s="83" t="n">
        <v>968.0920208999999</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2728.073203</v>
      </c>
      <c r="D33" s="83" t="n">
        <v>205.8167251</v>
      </c>
      <c r="E33" s="83" t="n">
        <v>434.2184635</v>
      </c>
      <c r="F33" s="83" t="n">
        <v>1085.46260367</v>
      </c>
      <c r="G33" s="83" t="n">
        <v>1002.5754116</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2797.135173</v>
      </c>
      <c r="D34" s="83" t="n">
        <v>211.0270356</v>
      </c>
      <c r="E34" s="83" t="n">
        <v>445.2108306</v>
      </c>
      <c r="F34" s="83" t="n">
        <v>1112.94140624</v>
      </c>
      <c r="G34" s="83" t="n">
        <v>1027.9559014</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2839.408742</v>
      </c>
      <c r="D35" s="83" t="n">
        <v>214.2163223000001</v>
      </c>
      <c r="E35" s="83" t="n">
        <v>451.939376</v>
      </c>
      <c r="F35" s="83" t="n">
        <v>1129.76147469</v>
      </c>
      <c r="G35" s="83" t="n">
        <v>1043.4915692</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2853.641433</v>
      </c>
      <c r="D36" s="83" t="n">
        <v>215.2900933</v>
      </c>
      <c r="E36" s="83" t="n">
        <v>454.2047473</v>
      </c>
      <c r="F36" s="83" t="n">
        <v>1135.42446602</v>
      </c>
      <c r="G36" s="83" t="n">
        <v>1048.7221276</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2839.408742</v>
      </c>
      <c r="D37" s="83" t="n">
        <v>214.2163223000001</v>
      </c>
      <c r="E37" s="83" t="n">
        <v>451.939376</v>
      </c>
      <c r="F37" s="83" t="n">
        <v>1129.76147469</v>
      </c>
      <c r="G37" s="83" t="n">
        <v>1043.4915692</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2797.135173</v>
      </c>
      <c r="D38" s="83" t="n">
        <v>211.0270356</v>
      </c>
      <c r="E38" s="83" t="n">
        <v>445.2108306</v>
      </c>
      <c r="F38" s="83" t="n">
        <v>1112.94140624</v>
      </c>
      <c r="G38" s="83" t="n">
        <v>1027.9559014</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2728.073203</v>
      </c>
      <c r="D39" s="83" t="n">
        <v>205.8167251</v>
      </c>
      <c r="E39" s="83" t="n">
        <v>434.2184635</v>
      </c>
      <c r="F39" s="83" t="n">
        <v>1085.46260367</v>
      </c>
      <c r="G39" s="83" t="n">
        <v>1002.5754116</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2634.241645</v>
      </c>
      <c r="D40" s="83" t="n">
        <v>198.7376981</v>
      </c>
      <c r="E40" s="83" t="n">
        <v>419.2836026</v>
      </c>
      <c r="F40" s="83" t="n">
        <v>1048.1283239</v>
      </c>
      <c r="G40" s="83" t="n">
        <v>968.0920208999999</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2518.327622</v>
      </c>
      <c r="D41" s="83" t="n">
        <v>189.9926817</v>
      </c>
      <c r="E41" s="83" t="n">
        <v>400.8339473</v>
      </c>
      <c r="F41" s="83" t="n">
        <v>1002.00773717</v>
      </c>
      <c r="G41" s="83" t="n">
        <v>925.4932565000001</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2383.558816</v>
      </c>
      <c r="D42" s="83" t="n">
        <v>179.8251853</v>
      </c>
      <c r="E42" s="83" t="n">
        <v>379.3832384</v>
      </c>
      <c r="F42" s="83" t="n">
        <v>948.3850920900001</v>
      </c>
      <c r="G42" s="83" t="n">
        <v>875.9652991999999</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2233.554443</v>
      </c>
      <c r="D43" s="83" t="n">
        <v>168.5082571</v>
      </c>
      <c r="E43" s="83" t="n">
        <v>355.5075344000001</v>
      </c>
      <c r="F43" s="83" t="n">
        <v>888.7004265500001</v>
      </c>
      <c r="G43" s="83" t="n">
        <v>820.8382243000001</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2072.1645462</v>
      </c>
      <c r="D44" s="83" t="n">
        <v>156.3323595</v>
      </c>
      <c r="E44" s="83" t="n">
        <v>329.819634</v>
      </c>
      <c r="F44" s="83" t="n">
        <v>824.4856185899999</v>
      </c>
      <c r="G44" s="83" t="n">
        <v>761.5269342</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1903.3075097</v>
      </c>
      <c r="D45" s="83" t="n">
        <v>143.5931111</v>
      </c>
      <c r="E45" s="83" t="n">
        <v>302.9432133</v>
      </c>
      <c r="F45" s="83" t="n">
        <v>757.2997387</v>
      </c>
      <c r="G45" s="83" t="n">
        <v>699.4714465</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1730.8152361</v>
      </c>
      <c r="D46" s="83" t="n">
        <v>130.5796058</v>
      </c>
      <c r="E46" s="83" t="n">
        <v>275.488184</v>
      </c>
      <c r="F46" s="83" t="n">
        <v>688.66744836</v>
      </c>
      <c r="G46" s="83" t="n">
        <v>636.079998</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1558.2943072</v>
      </c>
      <c r="D47" s="83" t="n">
        <v>117.5639388</v>
      </c>
      <c r="E47" s="83" t="n">
        <v>248.0285936</v>
      </c>
      <c r="F47" s="83" t="n">
        <v>620.02375643</v>
      </c>
      <c r="G47" s="83" t="n">
        <v>572.6780185</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1389.0097202</v>
      </c>
      <c r="D48" s="83" t="n">
        <v>104.7924342</v>
      </c>
      <c r="E48" s="83" t="n">
        <v>221.0841211000001</v>
      </c>
      <c r="F48" s="83" t="n">
        <v>552.6677599899999</v>
      </c>
      <c r="G48" s="83" t="n">
        <v>510.4654045999999</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1225.7957517</v>
      </c>
      <c r="D49" s="83" t="n">
        <v>92.4789213</v>
      </c>
      <c r="E49" s="83" t="n">
        <v>195.1058891</v>
      </c>
      <c r="F49" s="83" t="n">
        <v>487.72717877</v>
      </c>
      <c r="G49" s="83" t="n">
        <v>450.4837621</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1070.9962855</v>
      </c>
      <c r="D50" s="83" t="n">
        <v>80.80023209999999</v>
      </c>
      <c r="E50" s="83" t="n">
        <v>170.4669659</v>
      </c>
      <c r="F50" s="83" t="n">
        <v>426.13461217</v>
      </c>
      <c r="G50" s="83" t="n">
        <v>393.5944756</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926.4347647000002</v>
      </c>
      <c r="D51" s="83" t="n">
        <v>69.89393430000001</v>
      </c>
      <c r="E51" s="83" t="n">
        <v>147.4575828</v>
      </c>
      <c r="F51" s="83" t="n">
        <v>368.61558206</v>
      </c>
      <c r="G51" s="83" t="n">
        <v>340.46766587</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793.4119717</v>
      </c>
      <c r="D52" s="83" t="n">
        <v>59.8581642</v>
      </c>
      <c r="E52" s="83" t="n">
        <v>126.2847811</v>
      </c>
      <c r="F52" s="83" t="n">
        <v>315.687652</v>
      </c>
      <c r="G52" s="83" t="n">
        <v>291.58137434</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672.7282734</v>
      </c>
      <c r="D53" s="83" t="n">
        <v>50.75330459999999</v>
      </c>
      <c r="E53" s="83" t="n">
        <v>107.0759527</v>
      </c>
      <c r="F53" s="83" t="n">
        <v>267.66927738</v>
      </c>
      <c r="G53" s="83" t="n">
        <v>247.2297388</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564.7258116</v>
      </c>
      <c r="D54" s="83" t="n">
        <v>42.60516797999999</v>
      </c>
      <c r="E54" s="83" t="n">
        <v>89.88555510000002</v>
      </c>
      <c r="F54" s="83" t="n">
        <v>224.69659127</v>
      </c>
      <c r="G54" s="83" t="n">
        <v>207.53849726</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469.3454607</v>
      </c>
      <c r="D55" s="83" t="n">
        <v>35.40929384</v>
      </c>
      <c r="E55" s="83" t="n">
        <v>74.7041775</v>
      </c>
      <c r="F55" s="83" t="n">
        <v>186.7460686</v>
      </c>
      <c r="G55" s="83" t="n">
        <v>172.48592077</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 numbers for 2024 not available, so we took the numbers from 2023 instead</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36849</v>
      </c>
      <c r="D189" s="112" t="n">
        <v>6220</v>
      </c>
      <c r="E189" s="112" t="n">
        <v>13892</v>
      </c>
      <c r="F189" s="129" t="n">
        <v>8536</v>
      </c>
      <c r="G189" s="118" t="n">
        <v>8201</v>
      </c>
      <c r="H189" s="83">
        <f t="array" ref="H189">E189+D189</f>
        <v/>
      </c>
      <c r="I189" s="128">
        <f t="array" ref="I189">G189+F189</f>
        <v/>
      </c>
      <c r="J189" s="112" t="n">
        <v>69345</v>
      </c>
      <c r="K189" s="112" t="n">
        <v>96978</v>
      </c>
      <c r="L189" s="131" t="n"/>
    </row>
    <row r="190" ht="20.65" customHeight="1" s="206">
      <c r="A190" s="10" t="n"/>
      <c r="B190" s="127">
        <f t="array" ref="B190">$B191-1</f>
        <v/>
      </c>
      <c r="C190" s="128" t="n">
        <v>37644</v>
      </c>
      <c r="D190" s="112" t="n">
        <v>6610</v>
      </c>
      <c r="E190" s="112" t="n">
        <v>13776</v>
      </c>
      <c r="F190" s="129" t="n">
        <v>8217</v>
      </c>
      <c r="G190" s="118" t="n">
        <v>9041</v>
      </c>
      <c r="H190" s="83">
        <f t="array" ref="H190">E190+D190</f>
        <v/>
      </c>
      <c r="I190" s="128">
        <f t="array" ref="I190">G190+F190</f>
        <v/>
      </c>
      <c r="J190" s="112" t="n">
        <v>59191</v>
      </c>
      <c r="K190" s="112" t="n">
        <v>70318</v>
      </c>
      <c r="L190" s="131" t="n"/>
    </row>
    <row r="191" ht="20.65" customHeight="1" s="206">
      <c r="A191" s="10" t="n"/>
      <c r="B191" s="127">
        <f t="array" ref="B191">$B192-1</f>
        <v/>
      </c>
      <c r="C191" s="128" t="n">
        <v>46649</v>
      </c>
      <c r="D191" s="112" t="n">
        <v>11188</v>
      </c>
      <c r="E191" s="112" t="n">
        <v>15700</v>
      </c>
      <c r="F191" s="129" t="n">
        <v>7780</v>
      </c>
      <c r="G191" s="118" t="n">
        <v>11981</v>
      </c>
      <c r="H191" s="83">
        <f t="array" ref="H191">E191+D191</f>
        <v/>
      </c>
      <c r="I191" s="128">
        <f t="array" ref="I191">G191+F191</f>
        <v/>
      </c>
      <c r="J191" s="112" t="n">
        <v>52863</v>
      </c>
      <c r="K191" s="112" t="n">
        <v>58938</v>
      </c>
      <c r="L191" s="131" t="n"/>
    </row>
    <row r="192" ht="20.65" customHeight="1" s="206">
      <c r="A192" s="10" t="n"/>
      <c r="B192" s="127">
        <f t="array" ref="B192">$B193-1</f>
        <v/>
      </c>
      <c r="C192" s="128" t="n">
        <v>55357</v>
      </c>
      <c r="D192" s="112" t="n">
        <v>11145</v>
      </c>
      <c r="E192" s="112" t="n">
        <v>17837</v>
      </c>
      <c r="F192" s="129" t="n">
        <v>12628</v>
      </c>
      <c r="G192" s="118" t="n">
        <v>13747</v>
      </c>
      <c r="H192" s="83">
        <f t="array" ref="H192">E192+D192</f>
        <v/>
      </c>
      <c r="I192" s="128">
        <f t="array" ref="I192">G192+F192</f>
        <v/>
      </c>
      <c r="J192" s="112" t="n">
        <v>49456</v>
      </c>
      <c r="K192" s="112" t="n">
        <v>56177</v>
      </c>
      <c r="L192" s="131" t="n"/>
    </row>
    <row r="193" ht="20.65" customHeight="1" s="206">
      <c r="A193" s="10" t="n"/>
      <c r="B193" s="127">
        <f t="array" ref="B193">$B194-1</f>
        <v/>
      </c>
      <c r="C193" s="128" t="n">
        <v>95382</v>
      </c>
      <c r="D193" s="112" t="n">
        <v>16453</v>
      </c>
      <c r="E193" s="112" t="n">
        <v>27287</v>
      </c>
      <c r="F193" s="129" t="n">
        <v>23033</v>
      </c>
      <c r="G193" s="118" t="n">
        <v>28609</v>
      </c>
      <c r="H193" s="83">
        <f t="array" ref="H193">E193+D193</f>
        <v/>
      </c>
      <c r="I193" s="128">
        <f t="array" ref="I193">G193+F193</f>
        <v/>
      </c>
      <c r="J193" s="112" t="n">
        <v>50613</v>
      </c>
      <c r="K193" s="112" t="n">
        <v>58554</v>
      </c>
      <c r="L193" s="131" t="n"/>
    </row>
    <row r="194" ht="20.65" customHeight="1" s="206">
      <c r="A194" s="10" t="n"/>
      <c r="B194" s="127">
        <f t="array" ref="B194">$B195-1</f>
        <v/>
      </c>
      <c r="C194" s="128" t="n">
        <v>83654</v>
      </c>
      <c r="D194" s="112" t="n">
        <v>14023</v>
      </c>
      <c r="E194" s="112" t="n">
        <v>23747</v>
      </c>
      <c r="F194" s="129" t="n">
        <v>17852</v>
      </c>
      <c r="G194" s="118" t="n">
        <v>28032</v>
      </c>
      <c r="H194" s="83">
        <f t="array" ref="H194">E194+D194</f>
        <v/>
      </c>
      <c r="I194" s="128">
        <f t="array" ref="I194">G194+F194</f>
        <v/>
      </c>
      <c r="J194" s="112" t="n">
        <v>47156</v>
      </c>
      <c r="K194" s="112" t="n">
        <v>56409</v>
      </c>
      <c r="L194" s="131" t="n"/>
    </row>
    <row r="195" ht="20.65" customHeight="1" s="206">
      <c r="A195" s="10" t="n"/>
      <c r="B195" s="127">
        <f t="array" ref="B195">$B196-1</f>
        <v/>
      </c>
      <c r="C195" s="128" t="n">
        <v>97119</v>
      </c>
      <c r="D195" s="112" t="n">
        <v>17081</v>
      </c>
      <c r="E195" s="112" t="n">
        <v>31027</v>
      </c>
      <c r="F195" s="129" t="n">
        <v>18450</v>
      </c>
      <c r="G195" s="118" t="n">
        <v>30561</v>
      </c>
      <c r="H195" s="83">
        <f t="array" ref="H195">E195+D195</f>
        <v/>
      </c>
      <c r="I195" s="128">
        <f t="array" ref="I195">G195+F195</f>
        <v/>
      </c>
      <c r="J195" s="112" t="n">
        <v>50392</v>
      </c>
      <c r="K195" s="112" t="n">
        <v>68119</v>
      </c>
      <c r="L195" s="131" t="n"/>
    </row>
    <row r="196" ht="20.65" customHeight="1" s="206">
      <c r="A196" s="10" t="n"/>
      <c r="B196" s="127">
        <f t="array" ref="B196">$B197-1</f>
        <v/>
      </c>
      <c r="C196" s="128" t="n">
        <v>167098</v>
      </c>
      <c r="D196" s="112" t="n">
        <v>20414</v>
      </c>
      <c r="E196" s="112" t="n">
        <v>37040</v>
      </c>
      <c r="F196" s="129" t="n">
        <v>54532</v>
      </c>
      <c r="G196" s="118" t="n">
        <v>55112</v>
      </c>
      <c r="H196" s="83">
        <f t="array" ref="H196">E196+D196</f>
        <v/>
      </c>
      <c r="I196" s="128">
        <f t="array" ref="I196">G196+F196</f>
        <v/>
      </c>
      <c r="J196" s="112" t="n">
        <v>102165</v>
      </c>
      <c r="K196" s="112" t="n">
        <v>99457</v>
      </c>
      <c r="L196" s="131" t="n"/>
    </row>
    <row r="197" ht="20.65" customHeight="1" s="206">
      <c r="A197" s="10" t="n"/>
      <c r="B197" s="127">
        <f t="array" ref="B197">$B198-1</f>
        <v/>
      </c>
      <c r="C197" s="128" t="n">
        <v>189367</v>
      </c>
      <c r="D197" s="112" t="n">
        <v>17069</v>
      </c>
      <c r="E197" s="112" t="n">
        <v>39042</v>
      </c>
      <c r="F197" s="129" t="n">
        <v>71146</v>
      </c>
      <c r="G197" s="118" t="n">
        <v>62110</v>
      </c>
      <c r="H197" s="83">
        <f t="array" ref="H197">E197+D197</f>
        <v/>
      </c>
      <c r="I197" s="128">
        <f t="array" ref="I197">G197+F197</f>
        <v/>
      </c>
      <c r="J197" s="112" t="n">
        <v>68403</v>
      </c>
      <c r="K197" s="112" t="n">
        <v>79188</v>
      </c>
      <c r="L197" s="131" t="n"/>
    </row>
    <row r="198" ht="20.45" customHeight="1" s="206">
      <c r="A198" s="10" t="n"/>
      <c r="B198" s="127">
        <f t="array" ref="B198">$C$7</f>
        <v/>
      </c>
      <c r="C198" s="128" t="n">
        <v>189367</v>
      </c>
      <c r="D198" s="132" t="n">
        <v>17069</v>
      </c>
      <c r="E198" s="133" t="n">
        <v>39042</v>
      </c>
      <c r="F198" s="118" t="n">
        <v>71146</v>
      </c>
      <c r="G198" s="118" t="n">
        <v>62110</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40377</v>
      </c>
      <c r="D276" s="112" t="n">
        <v>10684.60804</v>
      </c>
      <c r="E276" s="112" t="n">
        <v>19154.8712</v>
      </c>
      <c r="F276" s="129" t="n">
        <v>2886.391958</v>
      </c>
      <c r="G276" s="118" t="n">
        <v>7651.128804</v>
      </c>
      <c r="H276" s="83">
        <f t="array" ref="H276">E276+D276</f>
        <v/>
      </c>
      <c r="I276" s="128">
        <f t="array" ref="I276">G276+F276</f>
        <v/>
      </c>
      <c r="J276" s="112" t="n">
        <v>24746</v>
      </c>
      <c r="K276" s="112" t="n">
        <v>31943</v>
      </c>
      <c r="L276" s="131" t="n"/>
    </row>
    <row r="277" ht="20.65" customHeight="1" s="206">
      <c r="A277" s="10" t="n"/>
      <c r="B277" s="127">
        <f t="array" ref="B277">$B278-1</f>
        <v/>
      </c>
      <c r="C277" s="128" t="n">
        <v>38273</v>
      </c>
      <c r="D277" s="112" t="n">
        <v>11623.87098</v>
      </c>
      <c r="E277" s="112" t="n">
        <v>16798.92065</v>
      </c>
      <c r="F277" s="129" t="n">
        <v>3140.129016</v>
      </c>
      <c r="G277" s="118" t="n">
        <v>6710.07935</v>
      </c>
      <c r="H277" s="83">
        <f t="array" ref="H277">E277+D277</f>
        <v/>
      </c>
      <c r="I277" s="128">
        <f t="array" ref="I277">G277+F277</f>
        <v/>
      </c>
      <c r="J277" s="112" t="n">
        <v>28284</v>
      </c>
      <c r="K277" s="112" t="n">
        <v>36144</v>
      </c>
      <c r="L277" s="131" t="n"/>
    </row>
    <row r="278" ht="20.65" customHeight="1" s="206">
      <c r="A278" s="10" t="n"/>
      <c r="B278" s="127">
        <f t="array" ref="B278">$B279-1</f>
        <v/>
      </c>
      <c r="C278" s="128" t="n">
        <v>31753</v>
      </c>
      <c r="D278" s="112" t="n">
        <v>7702.271054</v>
      </c>
      <c r="E278" s="112" t="n">
        <v>15699.19123</v>
      </c>
      <c r="F278" s="129" t="n">
        <v>2080.728946</v>
      </c>
      <c r="G278" s="118" t="n">
        <v>6270.808767</v>
      </c>
      <c r="H278" s="83">
        <f t="array" ref="H278">E278+D278</f>
        <v/>
      </c>
      <c r="I278" s="128">
        <f t="array" ref="I278">G278+F278</f>
        <v/>
      </c>
      <c r="J278" s="112" t="n">
        <v>28364</v>
      </c>
      <c r="K278" s="112" t="n">
        <v>37780</v>
      </c>
      <c r="L278" s="131" t="n"/>
    </row>
    <row r="279" ht="20.65" customHeight="1" s="206">
      <c r="A279" s="10" t="n"/>
      <c r="B279" s="127">
        <f t="array" ref="B279">$B280-1</f>
        <v/>
      </c>
      <c r="C279" s="128" t="n">
        <v>31600</v>
      </c>
      <c r="D279" s="112" t="n">
        <v>6628.377799</v>
      </c>
      <c r="E279" s="112" t="n">
        <v>16564.54037</v>
      </c>
      <c r="F279" s="129" t="n">
        <v>1790.622201</v>
      </c>
      <c r="G279" s="118" t="n">
        <v>6616.459628</v>
      </c>
      <c r="H279" s="83">
        <f t="array" ref="H279">E279+D279</f>
        <v/>
      </c>
      <c r="I279" s="128">
        <f t="array" ref="I279">G279+F279</f>
        <v/>
      </c>
      <c r="J279" s="112" t="n">
        <v>28381</v>
      </c>
      <c r="K279" s="112" t="n">
        <v>38831</v>
      </c>
      <c r="L279" s="131" t="n"/>
    </row>
    <row r="280" ht="20.65" customHeight="1" s="206">
      <c r="A280" s="10" t="n"/>
      <c r="B280" s="127">
        <f t="array" ref="B280">$B281-1</f>
        <v/>
      </c>
      <c r="C280" s="128" t="n">
        <v>28219</v>
      </c>
      <c r="D280" s="112" t="n">
        <v>9470.573291000001</v>
      </c>
      <c r="E280" s="112" t="n">
        <v>11568.95339</v>
      </c>
      <c r="F280" s="129" t="n">
        <v>2558.426709</v>
      </c>
      <c r="G280" s="118" t="n">
        <v>4621.046606</v>
      </c>
      <c r="H280" s="83">
        <f t="array" ref="H280">E280+D280</f>
        <v/>
      </c>
      <c r="I280" s="128">
        <f t="array" ref="I280">G280+F280</f>
        <v/>
      </c>
      <c r="J280" s="112" t="n">
        <v>28842</v>
      </c>
      <c r="K280" s="112" t="n">
        <v>39438</v>
      </c>
      <c r="L280" s="131" t="n"/>
    </row>
    <row r="281" ht="20.65" customHeight="1" s="206">
      <c r="A281" s="10" t="n"/>
      <c r="B281" s="127">
        <f t="array" ref="B281">$B282-1</f>
        <v/>
      </c>
      <c r="C281" s="128" t="n">
        <v>25886</v>
      </c>
      <c r="D281" s="112" t="n">
        <v>6244.956966</v>
      </c>
      <c r="E281" s="112" t="n">
        <v>12829.46197</v>
      </c>
      <c r="F281" s="129" t="n">
        <v>1687.043034</v>
      </c>
      <c r="G281" s="118" t="n">
        <v>5124.538034</v>
      </c>
      <c r="H281" s="83">
        <f t="array" ref="H281">E281+D281</f>
        <v/>
      </c>
      <c r="I281" s="128">
        <f t="array" ref="I281">G281+F281</f>
        <v/>
      </c>
      <c r="J281" s="112" t="n">
        <v>26795</v>
      </c>
      <c r="K281" s="112" t="n">
        <v>35786</v>
      </c>
      <c r="L281" s="131" t="n"/>
    </row>
    <row r="282" ht="20.65" customHeight="1" s="206">
      <c r="A282" s="10" t="n"/>
      <c r="B282" s="127">
        <f t="array" ref="B282">$B283-1</f>
        <v/>
      </c>
      <c r="C282" s="128" t="n">
        <v>25079</v>
      </c>
      <c r="D282" s="112" t="n">
        <v>7726.677719</v>
      </c>
      <c r="E282" s="112" t="n">
        <v>10907.97242</v>
      </c>
      <c r="F282" s="129" t="n">
        <v>2087.322281</v>
      </c>
      <c r="G282" s="118" t="n">
        <v>4357.027575</v>
      </c>
      <c r="H282" s="83">
        <f t="array" ref="H282">E282+D282</f>
        <v/>
      </c>
      <c r="I282" s="128">
        <f t="array" ref="I282">G282+F282</f>
        <v/>
      </c>
      <c r="J282" s="112" t="n">
        <v>28792</v>
      </c>
      <c r="K282" s="112" t="n">
        <v>38507</v>
      </c>
      <c r="L282" s="131" t="n"/>
    </row>
    <row r="283" ht="20.65" customHeight="1" s="206">
      <c r="A283" s="10" t="n"/>
      <c r="B283" s="127">
        <f t="array" ref="B283">$B284-1</f>
        <v/>
      </c>
      <c r="C283" s="128" t="n">
        <v>30954</v>
      </c>
      <c r="D283" s="112" t="n">
        <v>8628.149696</v>
      </c>
      <c r="E283" s="112" t="n">
        <v>14287.90754</v>
      </c>
      <c r="F283" s="129" t="n">
        <v>2330.850304</v>
      </c>
      <c r="G283" s="118" t="n">
        <v>5707.092458</v>
      </c>
      <c r="H283" s="83">
        <f t="array" ref="H283">E283+D283</f>
        <v/>
      </c>
      <c r="I283" s="128">
        <f t="array" ref="I283">G283+F283</f>
        <v/>
      </c>
      <c r="J283" s="112" t="n">
        <v>33347</v>
      </c>
      <c r="K283" s="112" t="n">
        <v>40924</v>
      </c>
      <c r="L283" s="131" t="n"/>
    </row>
    <row r="284" ht="20.65" customHeight="1" s="206">
      <c r="A284" s="10" t="n"/>
      <c r="B284" s="127">
        <f t="array" ref="B284">$B285-1</f>
        <v/>
      </c>
      <c r="C284" s="128" t="n">
        <v>33666</v>
      </c>
      <c r="D284" s="112" t="n">
        <v>8618.701955</v>
      </c>
      <c r="E284" s="112" t="n">
        <v>16234.40717</v>
      </c>
      <c r="F284" s="129" t="n">
        <v>2328.298045</v>
      </c>
      <c r="G284" s="118" t="n">
        <v>6484.592826</v>
      </c>
      <c r="H284" s="83">
        <f t="array" ref="H284">E284+D284</f>
        <v/>
      </c>
      <c r="I284" s="128">
        <f t="array" ref="I284">G284+F284</f>
        <v/>
      </c>
      <c r="J284" s="112" t="n">
        <v>33164</v>
      </c>
      <c r="K284" s="112" t="n">
        <v>40872</v>
      </c>
      <c r="L284" s="131" t="n"/>
    </row>
    <row r="285" ht="20.65" customHeight="1" s="206">
      <c r="A285" s="10" t="n"/>
      <c r="B285" s="127">
        <f t="array" ref="B285">$C$7</f>
        <v/>
      </c>
      <c r="C285" s="128" t="n">
        <v>33916</v>
      </c>
      <c r="D285" s="112" t="n">
        <v>8735.224097</v>
      </c>
      <c r="E285" s="134" t="n">
        <v>16307.29372</v>
      </c>
      <c r="F285" s="118" t="n">
        <v>2359.775903</v>
      </c>
      <c r="G285" s="118" t="n">
        <v>6513.706276</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19104</v>
      </c>
      <c r="G16" s="89" t="n">
        <v>15914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8874</v>
      </c>
      <c r="G18" s="89" t="n">
        <v>7782</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f t="array" ref="F62">SUM(F10:F61)</f>
        <v/>
      </c>
      <c r="G62" s="55">
        <f t="array" ref="G62">SUM(G10:G61)</f>
        <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f t="array" ref="F107">SUM(F65:F106)</f>
        <v/>
      </c>
      <c r="G107" s="55">
        <f t="array" ref="G107">SUM(G65:G106)</f>
        <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f t="array" ref="F123">SUM(F110:F122)</f>
        <v/>
      </c>
      <c r="G123" s="55">
        <f t="array" ref="G123">SUM(G110:G122)</f>
        <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f t="array" ref="F184">SUM(F126:F183)</f>
        <v/>
      </c>
      <c r="G184" s="55">
        <f t="array" ref="G184">SUM(G126:G183)</f>
        <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f t="array" ref="F208">SUM(F187:F207)</f>
        <v/>
      </c>
      <c r="G208" s="55">
        <f t="array" ref="G208">SUM(G187:G207)</f>
        <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f t="array" ref="F243">SUM(F211:F242)</f>
        <v/>
      </c>
      <c r="G243" s="55">
        <f t="array" ref="G243">SUM(G211:G242)</f>
        <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f t="array" ref="F273">SUM(F246:F272)</f>
        <v/>
      </c>
      <c r="G273" s="55">
        <f t="array" ref="G273">SUM(G246:G272)</f>
        <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f t="array" ref="F281">SUM(F276:F280)</f>
        <v/>
      </c>
      <c r="G281" s="55">
        <f t="array" ref="G281">SUM(G276:G280)</f>
        <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0</v>
      </c>
      <c r="G285" s="79" t="n">
        <v>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2026-05-25T15:03:12Z</dcterms:modified>
  <cp:lastModifiedBy>King Dom</cp:lastModifiedBy>
</cp:coreProperties>
</file>