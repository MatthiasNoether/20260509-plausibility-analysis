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bH6QPJ8By8udamShYT7jydvi6W1Mrf/NC8eZy0K2b9o="/>
    </ext>
  </extLst>
</workbook>
</file>

<file path=xl/sharedStrings.xml><?xml version="1.0" encoding="utf-8"?>
<sst xmlns="http://schemas.openxmlformats.org/spreadsheetml/2006/main" count="2155" uniqueCount="1681">
  <si>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</si>
  <si>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</si>
  <si>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</si>
  <si>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</si>
  <si>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</si>
  <si>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</si>
  <si>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</si>
  <si>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</si>
  <si>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</si>
  <si>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</si>
  <si>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</si>
  <si>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</si>
  <si>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</si>
  <si>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</si>
  <si>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</si>
  <si>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</si>
  <si>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</si>
  <si>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</si>
  <si>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</si>
  <si>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</si>
  <si>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</si>
  <si>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</si>
  <si>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</si>
  <si>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</si>
  <si>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</si>
  <si>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</si>
  <si>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Indicator values are on a red background</t>
  </si>
  <si>
    <t>Only use a blue background here, if you entered the data in the field</t>
  </si>
  <si>
    <t>Country</t>
  </si>
  <si>
    <t>Acronym (e.g. "DE")</t>
  </si>
  <si>
    <t>PT</t>
  </si>
  <si>
    <t>nn</t>
  </si>
  <si>
    <t>Portugal</t>
  </si>
  <si>
    <t>Migration Background</t>
  </si>
  <si>
    <t>How is the "Migration Background" defined in this country?</t>
  </si>
  <si>
    <t>i</t>
  </si>
  <si>
    <t>Definition</t>
  </si>
  <si>
    <t>The resident foreign population includes foreign citizens holding valid residence permits, individuals with regularization procedures in progress, and authorizations issued under specific legal instruments.</t>
  </si>
  <si>
    <t>is</t>
  </si>
  <si>
    <t>Source (verbal)</t>
  </si>
  <si>
    <t>URL, where the data was found</t>
  </si>
  <si>
    <t>https://aima.gov.pt/media/pages/documents/fec4d6a712-1760603125/relatorio-migracoes-e-asilo-2024.pdf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</si>
  <si>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</si>
  <si>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</si>
  <si>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</si>
  <si>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</si>
  <si>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</si>
  <si>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</si>
  <si>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</si>
  <si>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</si>
  <si>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</si>
  <si>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</si>
  <si>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</si>
  <si>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</si>
  <si>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</si>
  <si>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</si>
  <si>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</si>
  <si>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</si>
  <si>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</si>
  <si>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</si>
  <si>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</si>
  <si>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</si>
  <si>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</si>
  <si>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</si>
  <si>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</si>
  <si>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</si>
  <si>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</si>
  <si>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</si>
  <si>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</si>
  <si>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</si>
  <si>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</si>
  <si>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</si>
  <si>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</si>
  <si>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</si>
  <si>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</si>
  <si>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</si>
  <si>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</si>
  <si>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</si>
  <si>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</si>
  <si>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</si>
  <si>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</si>
  <si>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</si>
  <si>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</si>
  <si>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</si>
  <si>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</si>
  <si>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</si>
  <si>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</si>
  <si>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</si>
  <si>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</si>
  <si>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</si>
  <si>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</si>
  <si>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</si>
  <si>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</si>
  <si>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</si>
  <si>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</si>
  <si>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</si>
  <si>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</si>
  <si>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</si>
  <si>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</si>
  <si>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</si>
  <si>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</si>
  <si>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</si>
  <si>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</si>
  <si>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</si>
  <si>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</si>
  <si>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</si>
  <si>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</si>
  <si>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</si>
  <si>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</si>
  <si>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</si>
  <si>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</si>
  <si>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</si>
  <si>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</si>
  <si>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</si>
  <si>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</si>
  <si>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</si>
  <si>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</si>
  <si>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</si>
  <si>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</si>
  <si>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</si>
  <si>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</si>
  <si>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</si>
  <si>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</si>
  <si>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</si>
  <si>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</si>
  <si>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</si>
  <si>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</si>
  <si>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</si>
  <si>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</si>
  <si>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</si>
  <si>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</si>
  <si>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</si>
  <si>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</si>
  <si>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</si>
  <si>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</si>
  <si>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</si>
  <si>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</si>
  <si>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</si>
  <si>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</si>
  <si>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</si>
  <si>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</si>
  <si>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</si>
  <si>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</si>
  <si>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</si>
  <si>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</si>
  <si>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</si>
  <si>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</si>
  <si>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</si>
  <si>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</si>
  <si>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</si>
  <si>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</si>
  <si>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</si>
  <si>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</si>
  <si>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</si>
  <si>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</si>
  <si>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</si>
  <si>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</si>
  <si>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</si>
  <si>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</si>
  <si>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</si>
  <si>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</si>
  <si>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</si>
  <si>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</si>
  <si>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</si>
  <si>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</si>
  <si>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</si>
  <si>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</si>
  <si>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</si>
  <si>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</si>
  <si>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</si>
  <si>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</si>
  <si>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</si>
  <si>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</si>
  <si>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</si>
  <si>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</si>
  <si>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</si>
  <si>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</si>
  <si>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</si>
  <si>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</si>
  <si>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</si>
  <si>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</si>
  <si>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</si>
  <si>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</si>
  <si>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</si>
  <si>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</si>
  <si>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</si>
  <si>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</si>
  <si>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</si>
  <si>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</si>
  <si>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</si>
  <si>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</si>
  <si>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</si>
  <si>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</si>
  <si>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</si>
  <si>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</si>
  <si>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</si>
  <si>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</si>
  <si>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</si>
  <si>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</si>
  <si>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</si>
  <si>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</si>
  <si>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</si>
  <si>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</si>
  <si>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</si>
  <si>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</si>
  <si>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</si>
  <si>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</si>
  <si>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</si>
  <si>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</si>
  <si>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</si>
  <si>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</si>
  <si>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</si>
  <si>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</si>
  <si>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</si>
  <si>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</si>
  <si>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</si>
  <si>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</si>
  <si>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</si>
  <si>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</si>
  <si>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</si>
  <si>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</si>
  <si>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</si>
  <si>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</si>
  <si>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</si>
  <si>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</si>
  <si>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</si>
  <si>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</si>
  <si>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</si>
  <si>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</si>
  <si>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</si>
  <si>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</si>
  <si>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</si>
  <si>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</si>
  <si>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</si>
  <si>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</si>
  <si>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</si>
  <si>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</si>
  <si>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</si>
  <si>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</si>
  <si>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</si>
  <si>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</si>
  <si>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</si>
  <si>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</si>
  <si>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</si>
  <si>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</si>
  <si>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</si>
  <si>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</si>
  <si>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</si>
  <si>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</si>
  <si>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</si>
  <si>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</si>
  <si>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numbers of migrants only available in batches that were distributed evenly; numbers for ages over 85 geometrically distributed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</si>
  <si>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</si>
  <si>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</si>
  <si>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</si>
  <si>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</si>
  <si>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</si>
  <si>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</si>
  <si>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</si>
  <si>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</si>
  <si>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</si>
  <si>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</si>
  <si>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</si>
  <si>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</si>
  <si>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</si>
  <si>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</si>
  <si>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</si>
  <si>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</si>
  <si>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</si>
  <si>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</si>
  <si>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</si>
  <si>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</si>
  <si>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</si>
  <si>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</si>
  <si>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</si>
  <si>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</si>
  <si>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</si>
  <si>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</si>
  <si>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</si>
  <si>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</si>
  <si>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</si>
  <si>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</si>
  <si>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</si>
  <si>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</si>
  <si>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</si>
  <si>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</si>
  <si>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</si>
  <si>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</si>
  <si>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</si>
  <si>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</si>
  <si>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</si>
  <si>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</si>
  <si>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</si>
  <si>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</si>
  <si>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</si>
  <si>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</si>
  <si>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</si>
  <si>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</si>
  <si>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</si>
  <si>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</si>
  <si>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</si>
  <si>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</si>
  <si>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</si>
  <si>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</si>
  <si>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</si>
  <si>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</si>
  <si>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</si>
  <si>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</si>
  <si>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</si>
  <si>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</si>
  <si>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</si>
  <si>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</si>
  <si>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</si>
  <si>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</si>
  <si>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</si>
  <si>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</si>
  <si>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</si>
  <si>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</si>
  <si>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</si>
  <si>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</si>
  <si>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</si>
  <si>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</si>
  <si>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</si>
  <si>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</si>
  <si>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</si>
  <si>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</si>
  <si>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</si>
  <si>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</si>
  <si>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</si>
  <si>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</si>
  <si>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</si>
  <si>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</si>
  <si>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</si>
  <si>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</si>
  <si>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</si>
  <si>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</si>
  <si>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</si>
  <si>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</si>
  <si>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</si>
  <si>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</si>
  <si>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</si>
  <si>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</si>
  <si>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</si>
  <si>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</si>
  <si>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</si>
  <si>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</si>
  <si>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</si>
  <si>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</si>
  <si>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</si>
  <si>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</si>
  <si>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</si>
  <si>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</si>
  <si>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</si>
  <si>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</si>
  <si>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</si>
  <si>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</si>
  <si>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</si>
  <si>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</si>
  <si>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</si>
  <si>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</si>
  <si>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</si>
  <si>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</si>
  <si>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https://www.ine.pt/xportal/xmain?xpid=INE&amp;xpgid=ine_indicadores&amp;indOcorrCod=0012094&amp;contexto=bd&amp;selTab=tab2</t>
  </si>
  <si>
    <t>no age-related data available; the number of births is binomially distributed between the age of 16 and 54 (μ=25, σ=10)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</si>
  <si>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</si>
  <si>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</si>
  <si>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</si>
  <si>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</si>
  <si>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</si>
  <si>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</si>
  <si>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</si>
  <si>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</si>
  <si>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</si>
  <si>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</si>
  <si>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</si>
  <si>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</si>
  <si>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</si>
  <si>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</si>
  <si>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</si>
  <si>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</si>
  <si>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</si>
  <si>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</si>
  <si>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</si>
  <si>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</si>
  <si>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</si>
  <si>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</si>
  <si>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</si>
  <si>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</si>
  <si>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</si>
  <si>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</si>
  <si>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</si>
  <si>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</si>
  <si>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</si>
  <si>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</si>
  <si>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</si>
  <si>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</si>
  <si>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</si>
  <si>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</si>
  <si>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</si>
  <si>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</si>
  <si>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</si>
  <si>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</si>
  <si>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</si>
  <si>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</si>
  <si>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</si>
  <si>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</si>
  <si>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</si>
  <si>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</si>
  <si>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</si>
  <si>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</si>
  <si>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</si>
  <si>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</si>
  <si>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</si>
  <si>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</si>
  <si>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</si>
  <si>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</si>
  <si>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</si>
  <si>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</si>
  <si>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</si>
  <si>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</si>
  <si>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</si>
  <si>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</si>
  <si>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</si>
  <si>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</si>
  <si>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</si>
  <si>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</si>
  <si>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</si>
  <si>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</si>
  <si>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</si>
  <si>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</si>
  <si>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</si>
  <si>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</si>
  <si>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</si>
  <si>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</si>
  <si>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</si>
  <si>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</si>
  <si>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</si>
  <si>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</si>
  <si>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</si>
  <si>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</si>
  <si>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</si>
  <si>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</si>
  <si>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</si>
  <si>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</si>
  <si>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</si>
  <si>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</si>
  <si>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</si>
  <si>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</si>
  <si>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</si>
  <si>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</si>
  <si>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</si>
  <si>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</si>
  <si>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</si>
  <si>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</si>
  <si>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</si>
  <si>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</si>
  <si>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</si>
  <si>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</si>
  <si>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</si>
  <si>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</si>
  <si>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</si>
  <si>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</si>
  <si>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</si>
  <si>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</si>
  <si>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</si>
  <si>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</si>
  <si>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</si>
  <si>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</si>
  <si>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</si>
  <si>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</si>
  <si>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</si>
  <si>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</si>
  <si>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</si>
  <si>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</si>
  <si>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</si>
  <si>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</si>
  <si>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</si>
  <si>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</si>
  <si>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</si>
  <si>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</si>
  <si>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</si>
  <si>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t>https://ec.europa.eu/eurostat/databrowser/view/demo_magec__custom_21041710/default/table</t>
  </si>
  <si>
    <t>The deaths were only available for female/male so we distributed the numbers according to their share in the population</t>
  </si>
  <si>
    <t>Percentage of people dying in relation to the pop.</t>
  </si>
  <si>
    <t>Migrations</t>
  </si>
  <si>
    <t>Number of people migrating to this country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</si>
  <si>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</si>
  <si>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</si>
  <si>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</si>
  <si>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</si>
  <si>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</si>
  <si>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</si>
  <si>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</si>
  <si>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</si>
  <si>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</si>
  <si>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</si>
  <si>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</si>
  <si>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</si>
  <si>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</si>
  <si>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</si>
  <si>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</si>
  <si>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</si>
  <si>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</si>
  <si>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</si>
  <si>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</si>
  <si>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</si>
  <si>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</si>
  <si>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</si>
  <si>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</si>
  <si>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</si>
  <si>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</si>
  <si>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</si>
  <si>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</si>
  <si>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</si>
  <si>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</si>
  <si>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</si>
  <si>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</si>
  <si>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</si>
  <si>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</si>
  <si>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</si>
  <si>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</si>
  <si>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</si>
  <si>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</si>
  <si>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</si>
  <si>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</si>
  <si>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</si>
  <si>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</si>
  <si>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</si>
  <si>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</si>
  <si>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</si>
  <si>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</si>
  <si>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</si>
  <si>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</si>
  <si>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</si>
  <si>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</si>
  <si>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</si>
  <si>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</si>
  <si>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</si>
  <si>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</si>
  <si>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</si>
  <si>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</si>
  <si>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</si>
  <si>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</si>
  <si>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</si>
  <si>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</si>
  <si>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</si>
  <si>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</si>
  <si>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</si>
  <si>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</si>
  <si>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</si>
  <si>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</si>
  <si>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</si>
  <si>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</si>
  <si>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</si>
  <si>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</si>
  <si>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</si>
  <si>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</si>
  <si>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</si>
  <si>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</si>
  <si>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</si>
  <si>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</si>
  <si>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</si>
  <si>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</si>
  <si>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</si>
  <si>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</si>
  <si>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</si>
  <si>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</si>
  <si>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</si>
  <si>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</si>
  <si>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</si>
  <si>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</si>
  <si>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</si>
  <si>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</si>
  <si>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</si>
  <si>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</si>
  <si>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</si>
  <si>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</si>
  <si>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</si>
  <si>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</si>
  <si>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</si>
  <si>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</si>
  <si>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</si>
  <si>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</si>
  <si>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</si>
  <si>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</si>
  <si>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</si>
  <si>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</si>
  <si>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</si>
  <si>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</si>
  <si>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</si>
  <si>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σ=10); numbers for 2024 not available, so we took the numbers from 2023 instead</t>
  </si>
  <si>
    <t>Percentage of people migratin in relation to the p.</t>
  </si>
  <si>
    <t>Emigrations</t>
  </si>
  <si>
    <t>Number of people emigrating from this country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</si>
  <si>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</si>
  <si>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</si>
  <si>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</si>
  <si>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</si>
  <si>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</si>
  <si>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</si>
  <si>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</si>
  <si>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</si>
  <si>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</si>
  <si>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</si>
  <si>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</si>
  <si>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</si>
  <si>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</si>
  <si>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</si>
  <si>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</si>
  <si>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</si>
  <si>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</si>
  <si>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</si>
  <si>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</si>
  <si>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</si>
  <si>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</si>
  <si>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</si>
  <si>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</si>
  <si>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</si>
  <si>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</si>
  <si>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</si>
  <si>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</si>
  <si>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</si>
  <si>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</si>
  <si>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</si>
  <si>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</si>
  <si>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</si>
  <si>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</si>
  <si>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</si>
  <si>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</si>
  <si>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</si>
  <si>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</si>
  <si>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</si>
  <si>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</si>
  <si>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</si>
  <si>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</si>
  <si>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</si>
  <si>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</si>
  <si>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</si>
  <si>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</si>
  <si>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</si>
  <si>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</si>
  <si>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</si>
  <si>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</si>
  <si>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</si>
  <si>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</si>
  <si>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</si>
  <si>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</si>
  <si>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</si>
  <si>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</si>
  <si>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</si>
  <si>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</si>
  <si>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</si>
  <si>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</si>
  <si>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</si>
  <si>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</si>
  <si>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</si>
  <si>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</si>
  <si>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</si>
  <si>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</si>
  <si>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</si>
  <si>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</si>
  <si>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</si>
  <si>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</si>
  <si>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</si>
  <si>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</si>
  <si>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</si>
  <si>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</si>
  <si>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</si>
  <si>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</si>
  <si>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</si>
  <si>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</si>
  <si>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</si>
  <si>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</si>
  <si>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</si>
  <si>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</si>
  <si>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</si>
  <si>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</si>
  <si>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</si>
  <si>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</si>
  <si>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</si>
  <si>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</si>
  <si>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</si>
  <si>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</si>
  <si>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</si>
  <si>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</si>
  <si>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</si>
  <si>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</si>
  <si>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</si>
  <si>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</si>
  <si>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</si>
  <si>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</si>
  <si>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</si>
  <si>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</si>
  <si>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</si>
  <si>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</si>
  <si>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</si>
  <si>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</si>
  <si>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</si>
  <si>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</si>
  <si>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</si>
  <si>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σ=10); no distinction between native/migrant available, so we divided the emigration numbers according to the share in the population</t>
  </si>
  <si>
    <t>Percentage of people emigratin in relation to the p.</t>
  </si>
  <si>
    <t>Relation emigration / migration</t>
  </si>
  <si>
    <t>Life expectancy</t>
  </si>
  <si>
    <t>l</t>
  </si>
  <si>
    <t>ls</t>
  </si>
  <si>
    <t>https://ec.europa.eu/eurostat/databrowser/view/demo_mlexpec__custom_21041253/default/table</t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</si>
  <si>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</si>
  <si>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</si>
  <si>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</si>
  <si>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</si>
  <si>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</si>
  <si>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</si>
  <si>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</si>
  <si>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</si>
  <si>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</si>
  <si>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</si>
  <si>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</si>
  <si>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</si>
  <si>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</si>
  <si>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</si>
  <si>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</si>
  <si>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</si>
  <si>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</si>
  <si>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</si>
  <si>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</si>
  <si>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</si>
  <si>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</si>
  <si>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</si>
  <si>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</si>
  <si>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</si>
  <si>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</si>
  <si>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</si>
  <si>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</si>
  <si>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</si>
  <si>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</si>
  <si>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</si>
  <si>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</si>
  <si>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</si>
  <si>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</si>
  <si>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</si>
  <si>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</si>
  <si>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</si>
  <si>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</si>
  <si>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</si>
  <si>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</si>
  <si>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</si>
  <si>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</si>
  <si>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</si>
  <si>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</si>
  <si>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</si>
  <si>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</si>
  <si>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</si>
  <si>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</si>
  <si>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</si>
  <si>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</si>
  <si>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</si>
  <si>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</si>
  <si>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</si>
  <si>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</si>
  <si>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</si>
  <si>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</si>
  <si>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</si>
  <si>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</si>
  <si>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</si>
  <si>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</si>
  <si>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</si>
  <si>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</si>
  <si>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</si>
  <si>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</si>
  <si>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</si>
  <si>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</si>
  <si>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</si>
  <si>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</si>
  <si>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</si>
  <si>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</si>
  <si>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</si>
  <si>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</si>
  <si>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</si>
  <si>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</si>
  <si>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</si>
  <si>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</si>
  <si>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</si>
  <si>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</si>
  <si>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</si>
  <si>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</si>
  <si>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</si>
  <si>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</si>
  <si>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</si>
  <si>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</si>
  <si>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</si>
  <si>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</si>
  <si>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</si>
  <si>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</si>
  <si>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</si>
  <si>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</si>
  <si>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</si>
  <si>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</si>
  <si>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</si>
  <si>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</si>
  <si>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</si>
  <si>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</si>
  <si>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</si>
  <si>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</si>
  <si>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</si>
  <si>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</si>
  <si>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</si>
  <si>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</si>
  <si>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</si>
  <si>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</si>
  <si>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</si>
  <si>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</si>
  <si>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</si>
  <si>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</si>
  <si>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</si>
  <si>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</si>
  <si>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</si>
  <si>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</si>
  <si>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</si>
  <si>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</si>
  <si>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</si>
  <si>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</si>
  <si>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</si>
  <si>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</si>
  <si>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</si>
  <si>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</si>
  <si>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</si>
  <si>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</si>
  <si>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</si>
  <si>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</si>
  <si>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</si>
  <si>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</si>
  <si>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</si>
  <si>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</si>
  <si>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</si>
  <si>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</si>
  <si>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</si>
  <si>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</si>
  <si>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</si>
  <si>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</si>
  <si>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</si>
  <si>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</si>
  <si>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</si>
  <si>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</si>
  <si>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</si>
  <si>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</si>
  <si>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</si>
  <si>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</si>
  <si>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</si>
  <si>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</si>
  <si>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</si>
  <si>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</si>
  <si>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</si>
  <si>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</si>
  <si>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</si>
  <si>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</si>
  <si>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</si>
  <si>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</si>
  <si>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</si>
  <si>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</si>
  <si>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</si>
  <si>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</si>
  <si>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</si>
  <si>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</si>
  <si>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</si>
  <si>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</si>
  <si>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</si>
  <si>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</si>
  <si>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</si>
  <si>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</si>
  <si>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</si>
  <si>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</si>
  <si>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</si>
  <si>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</si>
  <si>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</si>
  <si>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</si>
  <si>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</si>
  <si>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</si>
  <si>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</si>
  <si>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</si>
  <si>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</si>
  <si>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</si>
  <si>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</si>
  <si>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</si>
  <si>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</si>
  <si>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</si>
  <si>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</si>
  <si>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</si>
  <si>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</si>
  <si>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</si>
  <si>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</si>
  <si>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</si>
  <si>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</si>
  <si>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</si>
  <si>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</si>
  <si>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</si>
  <si>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</si>
  <si>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</si>
  <si>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</si>
  <si>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</si>
  <si>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</si>
  <si>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</si>
  <si>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</si>
  <si>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</si>
  <si>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</si>
  <si>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</si>
  <si>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</si>
  <si>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</si>
  <si>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</si>
  <si>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</si>
  <si>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</si>
  <si>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</si>
  <si>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</si>
  <si>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</si>
  <si>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</si>
  <si>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</si>
  <si>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</si>
  <si>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</si>
  <si>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</si>
  <si>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</si>
  <si>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</si>
  <si>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</si>
  <si>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</si>
  <si>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</si>
  <si>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</si>
  <si>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</si>
  <si>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</si>
  <si>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</si>
  <si>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</si>
  <si>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</si>
  <si>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</si>
  <si>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</si>
  <si>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</si>
  <si>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</si>
  <si>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</si>
  <si>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</si>
  <si>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</si>
  <si>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</si>
  <si>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</si>
  <si>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</si>
  <si>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</si>
  <si>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</si>
  <si>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</si>
  <si>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</si>
  <si>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</si>
  <si>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</si>
  <si>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</si>
  <si>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</si>
  <si>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</si>
  <si>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</si>
  <si>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</si>
  <si>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</si>
  <si>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</si>
  <si>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</si>
  <si>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</si>
  <si>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</si>
  <si>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</si>
  <si>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</si>
  <si>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</si>
  <si>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</si>
  <si>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</si>
  <si>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</si>
  <si>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</si>
  <si>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</si>
  <si>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</si>
  <si>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</si>
  <si>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</si>
  <si>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</si>
  <si>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</si>
  <si>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</si>
  <si>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</si>
  <si>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</si>
  <si>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</si>
  <si>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</si>
  <si>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</si>
  <si>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</si>
  <si>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</si>
  <si>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</si>
  <si>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</si>
  <si>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</si>
  <si>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</si>
  <si>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</si>
  <si>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</si>
  <si>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</si>
  <si>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</si>
  <si>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</si>
  <si>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</si>
  <si>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</si>
  <si>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</si>
  <si>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</si>
  <si>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</si>
  <si>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</si>
  <si>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</si>
  <si>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</si>
  <si>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</si>
  <si>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</si>
  <si>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</si>
  <si>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</si>
  <si>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</si>
  <si>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</si>
  <si>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</si>
  <si>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</si>
  <si>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</si>
  <si>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</si>
  <si>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</si>
  <si>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</si>
  <si>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</si>
  <si>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</si>
  <si>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</si>
  <si>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</si>
  <si>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</si>
  <si>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</si>
  <si>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</si>
  <si>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</si>
  <si>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</si>
  <si>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</si>
  <si>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</si>
  <si>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</si>
  <si>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</si>
  <si>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</si>
  <si>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</si>
  <si>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</si>
  <si>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</si>
  <si>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</si>
  <si>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</si>
  <si>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</si>
  <si>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</si>
  <si>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</si>
  <si>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</si>
  <si>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</si>
  <si>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</si>
  <si>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</si>
  <si>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</si>
  <si>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</si>
  <si>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</si>
  <si>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</si>
  <si>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</si>
  <si>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</si>
  <si>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</si>
  <si>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</si>
  <si>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</si>
  <si>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</si>
  <si>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</si>
  <si>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</si>
  <si>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</si>
  <si>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</si>
  <si>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</si>
  <si>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</si>
  <si>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</si>
  <si>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</si>
  <si>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</si>
  <si>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</si>
  <si>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</si>
  <si>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</si>
  <si>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</si>
  <si>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</si>
  <si>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</si>
  <si>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</si>
  <si>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</si>
  <si>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</si>
  <si>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</si>
  <si>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</si>
  <si>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</si>
  <si>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</si>
  <si>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</si>
  <si>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</si>
  <si>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</si>
  <si>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</si>
  <si>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</si>
  <si>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</si>
  <si>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</si>
  <si>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</si>
  <si>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</si>
  <si>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</si>
  <si>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</si>
  <si>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</si>
  <si>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</si>
  <si>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</si>
  <si>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</si>
  <si>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</si>
  <si>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</si>
  <si>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</si>
  <si>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</si>
  <si>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</si>
  <si>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</si>
  <si>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</si>
  <si>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</si>
  <si>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</si>
  <si>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</si>
  <si>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</si>
  <si>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</si>
  <si>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</si>
  <si>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</si>
  <si>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</si>
  <si>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</si>
  <si>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</si>
  <si>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</si>
  <si>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</si>
  <si>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</si>
  <si>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</si>
  <si>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</si>
  <si>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</si>
  <si>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</si>
  <si>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</si>
  <si>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</si>
  <si>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</si>
  <si>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</si>
  <si>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</si>
  <si>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</si>
  <si>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</si>
  <si>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</si>
  <si>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</si>
  <si>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</si>
  <si>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</si>
  <si>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</si>
  <si>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</si>
  <si>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</si>
  <si>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</si>
  <si>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</si>
  <si>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</si>
  <si>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</si>
  <si>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</si>
  <si>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</si>
  <si>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</si>
  <si>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</si>
  <si>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</si>
  <si>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</si>
  <si>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</si>
  <si>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</si>
  <si>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</si>
  <si>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</si>
  <si>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</si>
  <si>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</si>
  <si>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</si>
  <si>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</si>
  <si>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</si>
  <si>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</si>
  <si>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</si>
  <si>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</si>
  <si>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</si>
  <si>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</si>
  <si>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</si>
  <si>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</si>
  <si>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</si>
  <si>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</si>
  <si>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</si>
  <si>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</si>
  <si>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</si>
  <si>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</si>
  <si>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</si>
  <si>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</si>
  <si>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</si>
  <si>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</si>
  <si>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</si>
  <si>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</si>
  <si>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</si>
  <si>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</si>
  <si>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</si>
  <si>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</si>
  <si>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</si>
  <si>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</si>
  <si>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</si>
  <si>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</si>
  <si>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</si>
  <si>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</si>
  <si>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</si>
  <si>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</si>
  <si>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</si>
  <si>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</si>
  <si>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</si>
  <si>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</si>
  <si>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</si>
  <si>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</si>
  <si>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</si>
  <si>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</si>
  <si>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</si>
  <si>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</si>
  <si>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</si>
  <si>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</si>
  <si>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</si>
  <si>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</si>
  <si>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</si>
  <si>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</si>
  <si>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</si>
  <si>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</si>
  <si>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</si>
  <si>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</si>
  <si>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</si>
  <si>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</si>
  <si>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</si>
  <si>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</si>
  <si>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</si>
  <si>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</si>
  <si>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</si>
  <si>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</si>
  <si>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</si>
  <si>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</si>
  <si>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</si>
  <si>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</si>
  <si>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</si>
  <si>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</si>
  <si>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</si>
  <si>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</si>
  <si>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</si>
  <si>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</si>
  <si>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</si>
  <si>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</si>
  <si>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</si>
  <si>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</si>
  <si>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</si>
  <si>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</si>
  <si>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</si>
  <si>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</si>
  <si>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</si>
  <si>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</si>
  <si>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</si>
  <si>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</si>
  <si>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</si>
  <si>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</si>
  <si>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</si>
  <si>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</si>
  <si>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</si>
  <si>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</si>
  <si>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</si>
  <si>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</si>
  <si>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</si>
  <si>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</si>
  <si>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</si>
  <si>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</si>
  <si>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</si>
  <si>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</si>
  <si>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</si>
  <si>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</si>
  <si>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</si>
  <si>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</si>
  <si>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</si>
  <si>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</si>
  <si>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</si>
  <si>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</si>
  <si>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</si>
  <si>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</si>
  <si>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</si>
  <si>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</si>
  <si>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</si>
  <si>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</si>
  <si>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</si>
  <si>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</si>
  <si>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</si>
  <si>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</si>
  <si>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</si>
  <si>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</si>
  <si>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</si>
  <si>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</si>
  <si>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</si>
  <si>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</si>
  <si>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</si>
  <si>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</si>
  <si>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</si>
  <si>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</si>
  <si>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</si>
  <si>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</si>
  <si>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</si>
  <si>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</si>
  <si>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</si>
  <si>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</si>
  <si>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</si>
  <si>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</si>
  <si>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</si>
  <si>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</si>
  <si>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</si>
  <si>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</si>
  <si>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</si>
  <si>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</si>
  <si>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</si>
  <si>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</si>
  <si>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</si>
  <si>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</si>
  <si>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</si>
  <si>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</si>
  <si>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</si>
  <si>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</si>
  <si>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</si>
  <si>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</si>
  <si>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</si>
  <si>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</si>
  <si>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</si>
  <si>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</si>
  <si>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</si>
  <si>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</si>
  <si>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</si>
  <si>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</si>
  <si>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</si>
  <si>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</si>
  <si>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</si>
  <si>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</si>
  <si>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</si>
  <si>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</si>
  <si>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</si>
  <si>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</si>
  <si>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</si>
  <si>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</si>
  <si>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</si>
  <si>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</si>
  <si>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</si>
  <si>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</si>
  <si>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</si>
  <si>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</si>
  <si>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</si>
  <si>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</si>
  <si>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</si>
  <si>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</si>
  <si>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</si>
  <si>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</si>
  <si>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</si>
  <si>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</si>
  <si>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</si>
  <si>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</si>
  <si>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</si>
  <si>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</si>
  <si>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</si>
  <si>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</si>
  <si>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</si>
  <si>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</si>
  <si>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</si>
  <si>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</si>
  <si>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</si>
  <si>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</si>
  <si>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</si>
  <si>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</si>
  <si>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</si>
  <si>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</si>
  <si>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</si>
  <si>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</si>
  <si>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</si>
  <si>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</si>
  <si>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</si>
  <si>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</si>
  <si>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</si>
  <si>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</si>
  <si>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</si>
  <si>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</si>
  <si>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</si>
  <si>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</si>
  <si>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</si>
  <si>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</si>
  <si>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</si>
  <si>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</si>
  <si>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</si>
  <si>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</si>
  <si>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</si>
  <si>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</si>
  <si>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</si>
  <si>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</si>
  <si>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</si>
  <si>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</si>
  <si>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</si>
  <si>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</si>
  <si>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</si>
  <si>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</si>
  <si>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</si>
  <si>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</si>
  <si>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</si>
  <si>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</si>
  <si>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</si>
  <si>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</si>
  <si>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</si>
  <si>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</si>
  <si>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</si>
  <si>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</si>
  <si>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</si>
  <si>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</si>
  <si>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</si>
  <si>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</si>
  <si>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</si>
  <si>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</si>
  <si>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</si>
  <si>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</si>
  <si>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</si>
  <si>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</si>
  <si>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</si>
  <si>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</si>
  <si>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</si>
  <si>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</si>
  <si>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</si>
  <si>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</si>
  <si>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</si>
  <si>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</si>
  <si>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</si>
  <si>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</si>
  <si>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</si>
  <si>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</si>
  <si>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</si>
  <si>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</si>
  <si>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</si>
  <si>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</si>
  <si>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</si>
  <si>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</si>
  <si>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</si>
  <si>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</si>
  <si>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</si>
  <si>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</si>
  <si>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</si>
  <si>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</si>
  <si>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</si>
  <si>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</si>
  <si>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</si>
  <si>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</si>
  <si>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</si>
  <si>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</si>
  <si>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</si>
  <si>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</si>
  <si>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</si>
  <si>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</si>
  <si>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</si>
  <si>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</si>
  <si>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</si>
  <si>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</si>
  <si>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</si>
  <si>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</si>
  <si>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</si>
  <si>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</si>
  <si>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</si>
  <si>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</si>
  <si>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</si>
  <si>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</si>
  <si>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</si>
  <si>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</si>
  <si>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</si>
  <si>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</si>
  <si>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</si>
  <si>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</si>
  <si>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</si>
  <si>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</si>
  <si>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</si>
  <si>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</si>
  <si>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</si>
  <si>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</si>
  <si>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</si>
  <si>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</si>
  <si>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</si>
  <si>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</si>
  <si>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</si>
  <si>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</si>
  <si>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</si>
  <si>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</si>
  <si>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</si>
  <si>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</si>
  <si>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</si>
  <si>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</si>
  <si>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</si>
  <si>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</si>
  <si>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</si>
  <si>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</si>
  <si>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</si>
  <si>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</si>
  <si>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</si>
  <si>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</si>
  <si>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</si>
  <si>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</si>
  <si>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</si>
  <si>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</si>
  <si>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</si>
  <si>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</si>
  <si>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</si>
  <si>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</si>
  <si>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</si>
  <si>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</si>
  <si>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</si>
  <si>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</si>
  <si>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</si>
  <si>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</si>
  <si>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</si>
  <si>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</si>
  <si>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</si>
  <si>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</si>
  <si>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</si>
  <si>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</si>
  <si>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</si>
  <si>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</si>
  <si>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</si>
  <si>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</si>
  <si>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</si>
  <si>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</si>
  <si>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</si>
  <si>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</si>
  <si>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</si>
  <si>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</si>
  <si>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</si>
  <si>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</si>
  <si>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</si>
  <si>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</si>
  <si>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</si>
  <si>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</si>
  <si>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</si>
  <si>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</si>
  <si>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</si>
  <si>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</si>
  <si>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</si>
  <si>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</si>
  <si>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</si>
  <si>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</si>
  <si>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</si>
  <si>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</si>
  <si>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</si>
  <si>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</si>
  <si>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</si>
  <si>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</si>
  <si>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</si>
  <si>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</si>
  <si>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</si>
  <si>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</si>
  <si>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</si>
  <si>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</si>
  <si>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</si>
  <si>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</si>
  <si>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</si>
  <si>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</si>
  <si>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</si>
  <si>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</si>
  <si>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</si>
  <si>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</si>
  <si>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</si>
  <si>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</si>
  <si>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</si>
  <si>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</si>
  <si>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</si>
  <si>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</si>
  <si>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</si>
  <si>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</si>
  <si>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</si>
  <si>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</si>
  <si>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</si>
  <si>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</si>
  <si>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</si>
  <si>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</si>
  <si>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</si>
  <si>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</si>
  <si>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</si>
  <si>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</si>
  <si>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</si>
  <si>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</si>
  <si>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</si>
  <si>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</si>
  <si>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</si>
  <si>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</si>
  <si>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</si>
  <si>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</si>
  <si>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</si>
  <si>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</si>
  <si>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</si>
  <si>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</si>
  <si>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</si>
  <si>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</si>
  <si>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</si>
  <si>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</si>
  <si>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</si>
  <si>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</si>
  <si>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</si>
  <si>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</si>
  <si>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</si>
  <si>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</si>
  <si>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</si>
  <si>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</si>
  <si>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</si>
  <si>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</si>
  <si>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</si>
  <si>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</si>
  <si>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</si>
  <si>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</si>
  <si>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</si>
  <si>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</si>
  <si>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</si>
  <si>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</si>
  <si>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</si>
  <si>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</si>
  <si>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</si>
  <si>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</si>
  <si>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</si>
  <si>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</si>
  <si>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</si>
  <si>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</si>
  <si>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</si>
  <si>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</si>
  <si>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</si>
  <si>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</si>
  <si>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</si>
  <si>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</si>
  <si>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</si>
  <si>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</si>
  <si>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</si>
  <si>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</si>
  <si>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</si>
  <si>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</si>
  <si>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</si>
  <si>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</si>
  <si>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</si>
  <si>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</si>
  <si>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</si>
  <si>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</si>
  <si>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</si>
  <si>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</si>
  <si>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</si>
  <si>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</si>
  <si>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</si>
  <si>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</si>
  <si>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</si>
  <si>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</si>
  <si>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</si>
  <si>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</si>
  <si>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</si>
  <si>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</si>
  <si>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</si>
  <si>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</si>
  <si>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</si>
  <si>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</si>
  <si>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</si>
  <si>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</si>
  <si>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</si>
  <si>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</si>
  <si>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</si>
  <si>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</si>
  <si>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</si>
  <si>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</si>
  <si>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</si>
  <si>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</si>
  <si>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</si>
  <si>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</si>
  <si>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</si>
  <si>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</si>
  <si>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</si>
  <si>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</si>
  <si>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</si>
  <si>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</si>
  <si>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</si>
  <si>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</si>
  <si>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</si>
  <si>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</si>
  <si>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</si>
  <si>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</si>
  <si>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</si>
  <si>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</si>
  <si>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</si>
  <si>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</si>
  <si>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</si>
  <si>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</si>
  <si>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</si>
  <si>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</si>
  <si>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</si>
  <si>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</si>
  <si>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</si>
  <si>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</si>
  <si>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</si>
  <si>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</si>
  <si>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</si>
  <si>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</si>
  <si>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</si>
  <si>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</si>
  <si>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</si>
  <si>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</si>
  <si>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</si>
  <si>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</si>
  <si>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</si>
  <si>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</si>
  <si>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</si>
  <si>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</si>
  <si>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</si>
  <si>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</si>
  <si>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</si>
  <si>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</si>
  <si>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</si>
  <si>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</si>
  <si>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</si>
  <si>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</si>
  <si>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</si>
  <si>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</si>
  <si>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</si>
  <si>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</si>
  <si>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</si>
  <si>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</si>
  <si>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</si>
  <si>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t>https://www.ine.pt/xportal/xmain?xpid=INE&amp;xpgid=ine_indicadores&amp;indOcorrCod=0014551&amp;selTab=tab0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</si>
</sst>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Helvetica Neue"/>
      <scheme val="minor"/>
    </font>
    <font>
      <sz val="10.0"/>
      <color rgb="FFFEFFFE"/>
      <name val="Helvetica Neue"/>
    </font>
    <font>
      <sz val="10.0"/>
      <color rgb="FF000000"/>
      <name val="Helvetica Neue"/>
    </font>
    <font>
      <b/>
      <sz val="10.0"/>
      <color rgb="FFFEFFFE"/>
      <name val="Helvetica Neue"/>
    </font>
    <font>
      <b/>
      <sz val="10.0"/>
      <color rgb="FF000000"/>
      <name val="Helvetica Neue"/>
    </font>
    <font>
      <sz val="10.0"/>
      <color rgb="FF00A1FE"/>
      <name val="Helvetica Neue"/>
    </font>
    <font>
      <b/>
      <sz val="16.0"/>
      <color rgb="FF000000"/>
      <name val="Helvetica Neue"/>
    </font>
    <font>
      <sz val="16.0"/>
      <color rgb="FF000000"/>
      <name val="Helvetica Neue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DC0BF"/>
        <bgColor rgb="FFBDC0BF"/>
      </patternFill>
    </fill>
    <fill>
      <patternFill patternType="solid">
        <fgColor rgb="FF56C1FE"/>
        <bgColor rgb="FF56C1FE"/>
      </patternFill>
    </fill>
    <fill>
      <patternFill patternType="solid">
        <fgColor rgb="FFFFF056"/>
        <bgColor rgb="FFFFF056"/>
      </patternFill>
    </fill>
    <fill>
      <patternFill patternType="solid">
        <fgColor rgb="FFED220B"/>
        <bgColor rgb="FFED220B"/>
      </patternFill>
    </fill>
    <fill>
      <patternFill patternType="solid">
        <fgColor rgb="FF919191"/>
        <bgColor rgb="FF919191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shrinkToFit="0" vertical="top" wrapText="1"/>
    </xf>
    <xf borderId="1" fillId="2" fontId="1" numFmtId="49" xfId="0" applyAlignment="1" applyBorder="1" applyFont="1" applyNumberFormat="1">
      <alignment horizontal="left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2" fillId="2" fontId="3" numFmtId="0" xfId="0" applyAlignment="1" applyBorder="1" applyFont="1">
      <alignment shrinkToFit="0" vertical="top" wrapText="1"/>
    </xf>
    <xf borderId="2" fillId="3" fontId="4" numFmtId="49" xfId="0" applyAlignment="1" applyBorder="1" applyFill="1" applyFont="1" applyNumberFormat="1">
      <alignment shrinkToFit="0" vertical="top" wrapText="1"/>
    </xf>
    <xf borderId="2" fillId="3" fontId="4" numFmtId="49" xfId="0" applyAlignment="1" applyBorder="1" applyFont="1" applyNumberFormat="1">
      <alignment horizontal="left" shrinkToFit="0" vertical="top" wrapText="1"/>
    </xf>
    <xf borderId="3" fillId="2" fontId="3" numFmtId="0" xfId="0" applyAlignment="1" applyBorder="1" applyFont="1">
      <alignment shrinkToFit="0" vertical="top" wrapText="1"/>
    </xf>
    <xf borderId="4" fillId="0" fontId="2" numFmtId="49" xfId="0" applyAlignment="1" applyBorder="1" applyFont="1" applyNumberFormat="1">
      <alignment shrinkToFit="0" vertical="top" wrapText="1"/>
    </xf>
    <xf borderId="5" fillId="0" fontId="5" numFmtId="49" xfId="0" applyAlignment="1" applyBorder="1" applyFont="1" applyNumberFormat="1">
      <alignment horizontal="center" shrinkToFit="0" vertical="top" wrapText="1"/>
    </xf>
    <xf borderId="6" fillId="2" fontId="3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4" fontId="2" numFmtId="49" xfId="0" applyAlignment="1" applyBorder="1" applyFill="1" applyFont="1" applyNumberFormat="1">
      <alignment horizontal="center" shrinkToFit="0" vertical="top" wrapText="1"/>
    </xf>
    <xf borderId="1" fillId="5" fontId="2" numFmtId="49" xfId="0" applyAlignment="1" applyBorder="1" applyFill="1" applyFont="1" applyNumberFormat="1">
      <alignment horizontal="center" shrinkToFit="0" vertical="top" wrapText="1"/>
    </xf>
    <xf borderId="1" fillId="6" fontId="2" numFmtId="49" xfId="0" applyAlignment="1" applyBorder="1" applyFill="1" applyFont="1" applyNumberFormat="1">
      <alignment horizontal="center" shrinkToFit="0" vertical="top" wrapText="1"/>
    </xf>
    <xf borderId="6" fillId="7" fontId="6" numFmtId="0" xfId="0" applyAlignment="1" applyBorder="1" applyFill="1" applyFont="1">
      <alignment shrinkToFit="0" vertical="top" wrapText="1"/>
    </xf>
    <xf borderId="7" fillId="7" fontId="7" numFmtId="49" xfId="0" applyAlignment="1" applyBorder="1" applyFont="1" applyNumberFormat="1">
      <alignment shrinkToFit="0" vertical="top" wrapText="1"/>
    </xf>
    <xf borderId="1" fillId="7" fontId="2" numFmtId="0" xfId="0" applyAlignment="1" applyBorder="1" applyFont="1">
      <alignment shrinkToFit="0" vertical="bottom" wrapText="0"/>
    </xf>
    <xf borderId="1" fillId="7" fontId="7" numFmtId="0" xfId="0" applyAlignment="1" applyBorder="1" applyFont="1">
      <alignment shrinkToFit="0" vertical="top" wrapText="1"/>
    </xf>
    <xf borderId="6" fillId="2" fontId="3" numFmtId="49" xfId="0" applyAlignment="1" applyBorder="1" applyFont="1" applyNumberFormat="1">
      <alignment shrinkToFit="0" vertical="top" wrapText="1"/>
    </xf>
    <xf borderId="7" fillId="0" fontId="2" numFmtId="49" xfId="0" applyAlignment="1" applyBorder="1" applyFont="1" applyNumberFormat="1">
      <alignment shrinkToFit="0" vertical="top" wrapText="1"/>
    </xf>
    <xf borderId="1" fillId="4" fontId="2" numFmtId="49" xfId="0" applyAlignment="1" applyBorder="1" applyFont="1" applyNumberFormat="1">
      <alignment horizontal="left" shrinkToFit="0" vertical="top" wrapText="1"/>
    </xf>
    <xf borderId="1" fillId="7" fontId="2" numFmtId="49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top" wrapText="1"/>
    </xf>
    <xf borderId="1" fillId="5" fontId="2" numFmtId="0" xfId="0" applyAlignment="1" applyBorder="1" applyFont="1">
      <alignment horizontal="left" shrinkToFit="0" vertical="top" wrapText="1"/>
    </xf>
    <xf borderId="1" fillId="4" fontId="2" numFmtId="164" xfId="0" applyAlignment="1" applyBorder="1" applyFont="1" applyNumberFormat="1">
      <alignment horizontal="left" shrinkToFit="0" vertical="top" wrapText="1"/>
    </xf>
    <xf borderId="1" fillId="4" fontId="2" numFmtId="1" xfId="0" applyAlignment="1" applyBorder="1" applyFont="1" applyNumberFormat="1">
      <alignment horizontal="left" shrinkToFit="0" vertical="top" wrapText="1"/>
    </xf>
    <xf borderId="1" fillId="0" fontId="2" numFmtId="1" xfId="0" applyAlignment="1" applyBorder="1" applyFont="1" applyNumberFormat="1">
      <alignment horizontal="left" shrinkToFit="0" vertical="top" wrapText="1"/>
    </xf>
    <xf borderId="1" fillId="5" fontId="2" numFmtId="1" xfId="0" applyAlignment="1" applyBorder="1" applyFont="1" applyNumberFormat="1">
      <alignment horizontal="left" shrinkToFit="0" vertical="top" wrapText="1"/>
    </xf>
    <xf borderId="1" fillId="8" fontId="2" numFmtId="1" xfId="0" applyAlignment="1" applyBorder="1" applyFill="1" applyFont="1" applyNumberFormat="1">
      <alignment horizontal="left" shrinkToFit="0" vertical="top" wrapText="1"/>
    </xf>
    <xf borderId="1" fillId="6" fontId="2" numFmtId="10" xfId="0" applyAlignment="1" applyBorder="1" applyFont="1" applyNumberFormat="1">
      <alignment horizontal="left" shrinkToFit="0" vertical="top" wrapText="1"/>
    </xf>
    <xf borderId="7" fillId="0" fontId="5" numFmtId="49" xfId="0" applyAlignment="1" applyBorder="1" applyFont="1" applyNumberFormat="1">
      <alignment horizontal="center"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1" fillId="6" fontId="2" numFmtId="1" xfId="0" applyAlignment="1" applyBorder="1" applyFont="1" applyNumberFormat="1">
      <alignment horizontal="left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0" fontId="5" numFmtId="49" xfId="0" applyAlignment="1" applyBorder="1" applyFont="1" applyNumberForma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2" xfId="0" applyAlignment="1" applyBorder="1" applyFont="1" applyNumberFormat="1">
      <alignment horizontal="left" shrinkToFit="0" vertical="top" wrapText="1"/>
    </xf>
    <xf borderId="1" fillId="4" fontId="2" numFmtId="2" xfId="0" applyAlignment="1" applyBorder="1" applyFont="1" applyNumberFormat="1">
      <alignment horizontal="left" shrinkToFit="0" vertical="top" wrapText="1"/>
    </xf>
    <xf borderId="1" fillId="4" fontId="2" numFmtId="3" xfId="0" applyAlignment="1" applyBorder="1" applyFont="1" applyNumberFormat="1">
      <alignment horizontal="left" shrinkToFit="0" vertical="top" wrapText="1"/>
    </xf>
    <xf borderId="1" fillId="5" fontId="2" numFmtId="3" xfId="0" applyAlignment="1" applyBorder="1" applyFont="1" applyNumberFormat="1">
      <alignment horizontal="left" shrinkToFit="0" vertical="top" wrapText="1"/>
    </xf>
    <xf borderId="1" fillId="0" fontId="2" numFmtId="3" xfId="0" applyAlignment="1" applyBorder="1" applyFont="1" applyNumberFormat="1">
      <alignment horizontal="left" shrinkToFit="0" vertical="top" wrapText="1"/>
    </xf>
    <xf borderId="7" fillId="0" fontId="4" numFmtId="0" xfId="0" applyAlignment="1" applyBorder="1" applyFont="1">
      <alignment shrinkToFit="0" vertical="top" wrapText="1"/>
    </xf>
    <xf borderId="7" fillId="0" fontId="4" numFmtId="49" xfId="0" applyAlignment="1" applyBorder="1" applyFont="1" applyNumberFormat="1">
      <alignment shrinkToFit="0" vertical="top" wrapText="1"/>
    </xf>
    <xf borderId="1" fillId="0" fontId="2" numFmtId="49" xfId="0" applyAlignment="1" applyBorder="1" applyFont="1" applyNumberFormat="1">
      <alignment horizontal="left" shrinkToFit="0" vertical="top" wrapText="1"/>
    </xf>
    <xf borderId="1" fillId="0" fontId="2" numFmtId="49" xfId="0" applyAlignment="1" applyBorder="1" applyFont="1" applyNumberFormat="1">
      <alignment shrinkToFit="0" vertical="top" wrapText="1"/>
    </xf>
    <xf borderId="7" fillId="0" fontId="2" numFmtId="49" xfId="0" applyAlignment="1" applyBorder="1" applyFont="1" applyNumberFormat="1">
      <alignment horizontal="right" shrinkToFit="0" vertical="top" wrapText="1"/>
    </xf>
    <xf borderId="7" fillId="0" fontId="4" numFmtId="49" xfId="0" applyAlignment="1" applyBorder="1" applyFont="1" applyNumberFormat="1">
      <alignment horizontal="left" shrinkToFit="0" vertical="top" wrapText="1"/>
    </xf>
    <xf borderId="1" fillId="0" fontId="2" numFmtId="49" xfId="0" applyAlignment="1" applyBorder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7.0"/>
    <col customWidth="1" min="2" max="3" width="40.0"/>
    <col customWidth="1" min="4" max="12" width="16.0"/>
    <col customWidth="1" min="13" max="26" width="16.29"/>
  </cols>
  <sheetData>
    <row r="1" ht="19.5" customHeight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/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8.25" customHeight="1">
      <c r="A3" s="8"/>
      <c r="B3" s="9" t="s">
        <v>20</v>
      </c>
      <c r="C3" s="10" t="s">
        <v>21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23</v>
      </c>
      <c r="I3" s="10" t="s">
        <v>23</v>
      </c>
      <c r="J3" s="10" t="s">
        <v>23</v>
      </c>
      <c r="K3" s="10" t="s">
        <v>23</v>
      </c>
      <c r="L3" s="10" t="s">
        <v>23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5.5" customHeight="1">
      <c r="A4" s="11"/>
      <c r="B4" s="12"/>
      <c r="C4" s="13"/>
      <c r="D4" s="14" t="s">
        <v>24</v>
      </c>
      <c r="E4" s="15" t="s">
        <v>25</v>
      </c>
      <c r="F4" s="16" t="s">
        <v>26</v>
      </c>
      <c r="G4" s="13"/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17"/>
      <c r="B5" s="18" t="s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21" t="s">
        <v>5</v>
      </c>
      <c r="B6" s="22" t="s">
        <v>29</v>
      </c>
      <c r="C6" s="23" t="s">
        <v>30</v>
      </c>
      <c r="D6" s="13"/>
      <c r="E6" s="13"/>
      <c r="F6" s="13"/>
      <c r="G6" s="13"/>
      <c r="H6" s="13"/>
      <c r="I6" s="13"/>
      <c r="J6" s="13"/>
      <c r="K6" s="13"/>
      <c r="L6" s="1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21" t="s">
        <v>31</v>
      </c>
      <c r="B7" s="22" t="s">
        <v>9</v>
      </c>
      <c r="C7" s="23" t="s">
        <v>32</v>
      </c>
      <c r="D7" s="13"/>
      <c r="E7" s="13"/>
      <c r="F7" s="13"/>
      <c r="G7" s="13"/>
      <c r="H7" s="13"/>
      <c r="I7" s="13"/>
      <c r="J7" s="13"/>
      <c r="K7" s="13"/>
      <c r="L7" s="1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17"/>
      <c r="B9" s="18" t="s">
        <v>33</v>
      </c>
      <c r="C9" s="24" t="s">
        <v>34</v>
      </c>
      <c r="D9" s="20"/>
      <c r="E9" s="20"/>
      <c r="F9" s="20"/>
      <c r="G9" s="20"/>
      <c r="H9" s="20"/>
      <c r="I9" s="20"/>
      <c r="J9" s="20"/>
      <c r="K9" s="20"/>
      <c r="L9" s="2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7.5" customHeight="1">
      <c r="A10" s="21" t="s">
        <v>35</v>
      </c>
      <c r="B10" s="22" t="s">
        <v>36</v>
      </c>
      <c r="C10" s="23" t="s">
        <v>37</v>
      </c>
      <c r="D10" s="25"/>
      <c r="E10" s="25"/>
      <c r="F10" s="25"/>
      <c r="G10" s="25"/>
      <c r="H10" s="25"/>
      <c r="I10" s="25"/>
      <c r="J10" s="25"/>
      <c r="K10" s="25"/>
      <c r="L10" s="2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3.5" customHeight="1">
      <c r="A12" s="21" t="s">
        <v>38</v>
      </c>
      <c r="B12" s="22" t="s">
        <v>39</v>
      </c>
      <c r="C12" s="26" t="str">
        <f t="array" ref="C12">IF(C13="","?",C13)&amp;IF(C14="","","; downloaded "&amp;C14)&amp;IF(C15="","","; "&amp;C15)</f>
        <v>https://aima.gov.pt/media/pages/documents/fec4d6a712-1760603125/relatorio-migracoes-e-asilo-2024.pdf; downloaded 46122</v>
      </c>
      <c r="D12" s="25"/>
      <c r="E12" s="25"/>
      <c r="F12" s="25"/>
      <c r="G12" s="25"/>
      <c r="H12" s="25"/>
      <c r="I12" s="25"/>
      <c r="J12" s="25"/>
      <c r="K12" s="25"/>
      <c r="L12" s="2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3.5" customHeight="1">
      <c r="A13" s="11"/>
      <c r="B13" s="22" t="s">
        <v>40</v>
      </c>
      <c r="C13" s="23" t="s">
        <v>41</v>
      </c>
      <c r="D13" s="13"/>
      <c r="E13" s="13"/>
      <c r="F13" s="13"/>
      <c r="G13" s="13"/>
      <c r="H13" s="13"/>
      <c r="I13" s="13"/>
      <c r="J13" s="13"/>
      <c r="K13" s="13"/>
      <c r="L13" s="1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1"/>
      <c r="B14" s="22" t="s">
        <v>42</v>
      </c>
      <c r="C14" s="27">
        <v>46122.0</v>
      </c>
      <c r="D14" s="13"/>
      <c r="E14" s="13"/>
      <c r="F14" s="13"/>
      <c r="G14" s="13"/>
      <c r="H14" s="13"/>
      <c r="I14" s="13"/>
      <c r="J14" s="13"/>
      <c r="K14" s="13"/>
      <c r="L14" s="1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1"/>
      <c r="B15" s="22" t="s">
        <v>43</v>
      </c>
      <c r="C15" s="23"/>
      <c r="D15" s="13"/>
      <c r="E15" s="13"/>
      <c r="F15" s="13"/>
      <c r="G15" s="13"/>
      <c r="H15" s="13"/>
      <c r="I15" s="13"/>
      <c r="J15" s="13"/>
      <c r="K15" s="13"/>
      <c r="L15" s="1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17"/>
      <c r="B17" s="18" t="s">
        <v>44</v>
      </c>
      <c r="C17" s="24" t="s">
        <v>45</v>
      </c>
      <c r="D17" s="20"/>
      <c r="E17" s="20"/>
      <c r="F17" s="20"/>
      <c r="G17" s="20"/>
      <c r="H17" s="20"/>
      <c r="I17" s="20"/>
      <c r="J17" s="20"/>
      <c r="K17" s="20"/>
      <c r="L17" s="20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11"/>
      <c r="B18" s="12"/>
      <c r="C18" s="13"/>
      <c r="D18" s="13"/>
      <c r="E18" s="13"/>
      <c r="F18" s="28">
        <v>23401.0</v>
      </c>
      <c r="G18" s="28">
        <v>24428.0</v>
      </c>
      <c r="H18" s="13"/>
      <c r="I18" s="13"/>
      <c r="J18" s="13"/>
      <c r="K18" s="13"/>
      <c r="L18" s="2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21" t="s">
        <v>46</v>
      </c>
      <c r="B19" s="22" t="s">
        <v>47</v>
      </c>
      <c r="C19" s="30">
        <f t="array" ref="C19">H19+I19</f>
        <v>84832</v>
      </c>
      <c r="D19" s="30">
        <f t="shared" ref="D19:E19" si="1">J19-F19</f>
        <v>38857.9</v>
      </c>
      <c r="E19" s="30">
        <f t="shared" si="1"/>
        <v>41191.2</v>
      </c>
      <c r="F19" s="30">
        <f t="array" ref="F19">F18/10</f>
        <v>2340.1</v>
      </c>
      <c r="G19" s="30">
        <f t="array" ref="G19">G18/10</f>
        <v>2442.8</v>
      </c>
      <c r="H19" s="29">
        <f t="array" ref="H19">E19+D19</f>
        <v>80049.1</v>
      </c>
      <c r="I19" s="29">
        <f t="array" ref="I19">G19+F19</f>
        <v>4782.9</v>
      </c>
      <c r="J19" s="28">
        <v>41198.0</v>
      </c>
      <c r="K19" s="28">
        <v>43634.0</v>
      </c>
      <c r="L19" s="2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21" t="s">
        <v>48</v>
      </c>
      <c r="B20" s="22" t="s">
        <v>49</v>
      </c>
      <c r="C20" s="30">
        <f t="array" ref="C20">H20+I20</f>
        <v>86699</v>
      </c>
      <c r="D20" s="30">
        <f t="shared" ref="D20:E20" si="2">J20-F20</f>
        <v>39901.9</v>
      </c>
      <c r="E20" s="30">
        <f t="shared" si="2"/>
        <v>42014.2</v>
      </c>
      <c r="F20" s="30">
        <f t="array" ref="F20">F19</f>
        <v>2340.1</v>
      </c>
      <c r="G20" s="30">
        <f t="array" ref="G20">G19</f>
        <v>2442.8</v>
      </c>
      <c r="H20" s="29">
        <f t="array" ref="H20">E20+D20</f>
        <v>81916.1</v>
      </c>
      <c r="I20" s="29">
        <f t="array" ref="I20">G20+F20</f>
        <v>4782.9</v>
      </c>
      <c r="J20" s="28">
        <v>42242.0</v>
      </c>
      <c r="K20" s="28">
        <v>44457.0</v>
      </c>
      <c r="L20" s="2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21" t="s">
        <v>50</v>
      </c>
      <c r="B21" s="22" t="s">
        <v>51</v>
      </c>
      <c r="C21" s="30">
        <f t="array" ref="C21">H21+I21</f>
        <v>85374</v>
      </c>
      <c r="D21" s="30">
        <f t="shared" ref="D21:E21" si="3">J21-F21</f>
        <v>39037.9</v>
      </c>
      <c r="E21" s="30">
        <f t="shared" si="3"/>
        <v>41553.2</v>
      </c>
      <c r="F21" s="30">
        <f t="array" ref="F21">F20</f>
        <v>2340.1</v>
      </c>
      <c r="G21" s="30">
        <f t="array" ref="G21">G20</f>
        <v>2442.8</v>
      </c>
      <c r="H21" s="29">
        <f t="array" ref="H21">E21+D21</f>
        <v>80591.1</v>
      </c>
      <c r="I21" s="29">
        <f t="array" ref="I21">G21+F21</f>
        <v>4782.9</v>
      </c>
      <c r="J21" s="28">
        <v>41378.0</v>
      </c>
      <c r="K21" s="28">
        <v>43996.0</v>
      </c>
      <c r="L21" s="2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21" t="s">
        <v>52</v>
      </c>
      <c r="B22" s="22" t="s">
        <v>53</v>
      </c>
      <c r="C22" s="30">
        <f t="array" ref="C22">H22+I22</f>
        <v>82400</v>
      </c>
      <c r="D22" s="30">
        <f t="shared" ref="D22:E22" si="4">J22-F22</f>
        <v>37572.9</v>
      </c>
      <c r="E22" s="30">
        <f t="shared" si="4"/>
        <v>40044.2</v>
      </c>
      <c r="F22" s="30">
        <f t="array" ref="F22">F21</f>
        <v>2340.1</v>
      </c>
      <c r="G22" s="30">
        <f t="array" ref="G22">G21</f>
        <v>2442.8</v>
      </c>
      <c r="H22" s="29">
        <f t="array" ref="H22">E22+D22</f>
        <v>77617.1</v>
      </c>
      <c r="I22" s="29">
        <f t="array" ref="I22">G22+F22</f>
        <v>4782.9</v>
      </c>
      <c r="J22" s="28">
        <v>39913.0</v>
      </c>
      <c r="K22" s="28">
        <v>42487.0</v>
      </c>
      <c r="L22" s="2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21" t="s">
        <v>54</v>
      </c>
      <c r="B23" s="22" t="s">
        <v>55</v>
      </c>
      <c r="C23" s="30">
        <f t="array" ref="C23">H23+I23</f>
        <v>88158</v>
      </c>
      <c r="D23" s="30">
        <f t="shared" ref="D23:E23" si="5">J23-F23</f>
        <v>40305.9</v>
      </c>
      <c r="E23" s="30">
        <f t="shared" si="5"/>
        <v>43069.2</v>
      </c>
      <c r="F23" s="30">
        <f t="array" ref="F23">F22</f>
        <v>2340.1</v>
      </c>
      <c r="G23" s="30">
        <f t="array" ref="G23">G22</f>
        <v>2442.8</v>
      </c>
      <c r="H23" s="29">
        <f t="array" ref="H23">E23+D23</f>
        <v>83375.1</v>
      </c>
      <c r="I23" s="29">
        <f t="array" ref="I23">G23+F23</f>
        <v>4782.9</v>
      </c>
      <c r="J23" s="28">
        <v>42646.0</v>
      </c>
      <c r="K23" s="28">
        <v>45512.0</v>
      </c>
      <c r="L23" s="2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21" t="s">
        <v>56</v>
      </c>
      <c r="B24" s="22" t="s">
        <v>57</v>
      </c>
      <c r="C24" s="30">
        <f t="array" ref="C24">H24+I24</f>
        <v>90811</v>
      </c>
      <c r="D24" s="30">
        <f t="shared" ref="D24:E24" si="6">J24-F24</f>
        <v>41602.9</v>
      </c>
      <c r="E24" s="30">
        <f t="shared" si="6"/>
        <v>44425.2</v>
      </c>
      <c r="F24" s="30">
        <f t="array" ref="F24">F23</f>
        <v>2340.1</v>
      </c>
      <c r="G24" s="30">
        <f t="array" ref="G24">G23</f>
        <v>2442.8</v>
      </c>
      <c r="H24" s="29">
        <f t="array" ref="H24">E24+D24</f>
        <v>86028.1</v>
      </c>
      <c r="I24" s="29">
        <f t="array" ref="I24">G24+F24</f>
        <v>4782.9</v>
      </c>
      <c r="J24" s="28">
        <v>43943.0</v>
      </c>
      <c r="K24" s="28">
        <v>46868.0</v>
      </c>
      <c r="L24" s="2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21" t="s">
        <v>58</v>
      </c>
      <c r="B25" s="22" t="s">
        <v>59</v>
      </c>
      <c r="C25" s="30">
        <f t="array" ref="C25">H25+I25</f>
        <v>91315</v>
      </c>
      <c r="D25" s="30">
        <f t="shared" ref="D25:E25" si="7">J25-F25</f>
        <v>42412.9</v>
      </c>
      <c r="E25" s="30">
        <f t="shared" si="7"/>
        <v>44119.2</v>
      </c>
      <c r="F25" s="30">
        <f t="array" ref="F25">F24</f>
        <v>2340.1</v>
      </c>
      <c r="G25" s="30">
        <f t="array" ref="G25">G24</f>
        <v>2442.8</v>
      </c>
      <c r="H25" s="29">
        <f t="array" ref="H25">E25+D25</f>
        <v>86532.1</v>
      </c>
      <c r="I25" s="29">
        <f t="array" ref="I25">G25+F25</f>
        <v>4782.9</v>
      </c>
      <c r="J25" s="28">
        <v>44753.0</v>
      </c>
      <c r="K25" s="28">
        <v>46562.0</v>
      </c>
      <c r="L25" s="2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21" t="s">
        <v>60</v>
      </c>
      <c r="B26" s="22" t="s">
        <v>61</v>
      </c>
      <c r="C26" s="30">
        <f t="array" ref="C26">H26+I26</f>
        <v>90935</v>
      </c>
      <c r="D26" s="30">
        <f t="shared" ref="D26:E26" si="8">J26-F26</f>
        <v>42024.9</v>
      </c>
      <c r="E26" s="30">
        <f t="shared" si="8"/>
        <v>44127.2</v>
      </c>
      <c r="F26" s="30">
        <f t="array" ref="F26">F25</f>
        <v>2340.1</v>
      </c>
      <c r="G26" s="30">
        <f t="array" ref="G26">G25</f>
        <v>2442.8</v>
      </c>
      <c r="H26" s="29">
        <f t="array" ref="H26">E26+D26</f>
        <v>86152.1</v>
      </c>
      <c r="I26" s="29">
        <f t="array" ref="I26">G26+F26</f>
        <v>4782.9</v>
      </c>
      <c r="J26" s="28">
        <v>44365.0</v>
      </c>
      <c r="K26" s="28">
        <v>46570.0</v>
      </c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21" t="s">
        <v>62</v>
      </c>
      <c r="B27" s="22" t="s">
        <v>63</v>
      </c>
      <c r="C27" s="30">
        <f t="array" ref="C27">H27+I27</f>
        <v>92093</v>
      </c>
      <c r="D27" s="30">
        <f t="shared" ref="D27:E27" si="9">J27-F27</f>
        <v>42361.9</v>
      </c>
      <c r="E27" s="30">
        <f t="shared" si="9"/>
        <v>44948.2</v>
      </c>
      <c r="F27" s="30">
        <f t="array" ref="F27">F26</f>
        <v>2340.1</v>
      </c>
      <c r="G27" s="30">
        <f t="array" ref="G27">G26</f>
        <v>2442.8</v>
      </c>
      <c r="H27" s="29">
        <f t="array" ref="H27">E27+D27</f>
        <v>87310.1</v>
      </c>
      <c r="I27" s="29">
        <f t="array" ref="I27">G27+F27</f>
        <v>4782.9</v>
      </c>
      <c r="J27" s="28">
        <v>44702.0</v>
      </c>
      <c r="K27" s="28">
        <v>47391.0</v>
      </c>
      <c r="L27" s="2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21" t="s">
        <v>64</v>
      </c>
      <c r="B28" s="22" t="s">
        <v>65</v>
      </c>
      <c r="C28" s="30">
        <f t="array" ref="C28">H28+I28</f>
        <v>90353</v>
      </c>
      <c r="D28" s="30">
        <f t="shared" ref="D28:E28" si="10">J28-F28</f>
        <v>41779.9</v>
      </c>
      <c r="E28" s="30">
        <f t="shared" si="10"/>
        <v>43790.2</v>
      </c>
      <c r="F28" s="30">
        <f t="array" ref="F28">F27</f>
        <v>2340.1</v>
      </c>
      <c r="G28" s="30">
        <f t="array" ref="G28">G27</f>
        <v>2442.8</v>
      </c>
      <c r="H28" s="29">
        <f t="array" ref="H28">E28+D28</f>
        <v>85570.1</v>
      </c>
      <c r="I28" s="29">
        <f t="array" ref="I28">G28+F28</f>
        <v>4782.9</v>
      </c>
      <c r="J28" s="28">
        <v>44120.0</v>
      </c>
      <c r="K28" s="28">
        <v>46233.0</v>
      </c>
      <c r="L28" s="2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11"/>
      <c r="B29" s="12"/>
      <c r="C29" s="13"/>
      <c r="D29" s="31"/>
      <c r="E29" s="31"/>
      <c r="F29" s="28">
        <v>38445.0</v>
      </c>
      <c r="G29" s="28">
        <v>40970.0</v>
      </c>
      <c r="H29" s="13"/>
      <c r="I29" s="13"/>
      <c r="J29" s="13"/>
      <c r="K29" s="13"/>
      <c r="L29" s="2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21" t="s">
        <v>66</v>
      </c>
      <c r="B30" s="22" t="s">
        <v>67</v>
      </c>
      <c r="C30" s="30">
        <f t="array" ref="C30">H30+I30</f>
        <v>87397</v>
      </c>
      <c r="D30" s="30">
        <f t="shared" ref="D30:E30" si="11">J30-F30</f>
        <v>37538.375</v>
      </c>
      <c r="E30" s="30">
        <f t="shared" si="11"/>
        <v>39931.75</v>
      </c>
      <c r="F30" s="30">
        <f t="array" ref="F30">F29/8</f>
        <v>4805.625</v>
      </c>
      <c r="G30" s="30">
        <f t="array" ref="G30">G29/8</f>
        <v>5121.25</v>
      </c>
      <c r="H30" s="29">
        <f t="array" ref="H30">E30+D30</f>
        <v>77470.125</v>
      </c>
      <c r="I30" s="29">
        <f t="array" ref="I30">G30+F30</f>
        <v>9926.875</v>
      </c>
      <c r="J30" s="28">
        <v>42344.0</v>
      </c>
      <c r="K30" s="28">
        <v>45053.0</v>
      </c>
      <c r="L30" s="2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21" t="s">
        <v>68</v>
      </c>
      <c r="B31" s="22" t="s">
        <v>69</v>
      </c>
      <c r="C31" s="30">
        <f t="array" ref="C31">H31+I31</f>
        <v>87707</v>
      </c>
      <c r="D31" s="30">
        <f t="shared" ref="D31:E31" si="12">J31-F31</f>
        <v>38133.375</v>
      </c>
      <c r="E31" s="30">
        <f t="shared" si="12"/>
        <v>39646.75</v>
      </c>
      <c r="F31" s="30">
        <f t="array" ref="F31">F30</f>
        <v>4805.625</v>
      </c>
      <c r="G31" s="30">
        <f t="array" ref="G31">G30</f>
        <v>5121.25</v>
      </c>
      <c r="H31" s="29">
        <f t="array" ref="H31">E31+D31</f>
        <v>77780.125</v>
      </c>
      <c r="I31" s="29">
        <f t="array" ref="I31">G31+F31</f>
        <v>9926.875</v>
      </c>
      <c r="J31" s="28">
        <v>42939.0</v>
      </c>
      <c r="K31" s="28">
        <v>44768.0</v>
      </c>
      <c r="L31" s="2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21" t="s">
        <v>70</v>
      </c>
      <c r="B32" s="22" t="s">
        <v>71</v>
      </c>
      <c r="C32" s="30">
        <f t="array" ref="C32">H32+I32</f>
        <v>94500</v>
      </c>
      <c r="D32" s="30">
        <f t="shared" ref="D32:E32" si="13">J32-F32</f>
        <v>41044.375</v>
      </c>
      <c r="E32" s="30">
        <f t="shared" si="13"/>
        <v>43528.75</v>
      </c>
      <c r="F32" s="30">
        <f t="array" ref="F32">F31</f>
        <v>4805.625</v>
      </c>
      <c r="G32" s="30">
        <f t="array" ref="G32">G31</f>
        <v>5121.25</v>
      </c>
      <c r="H32" s="29">
        <f t="array" ref="H32">E32+D32</f>
        <v>84573.125</v>
      </c>
      <c r="I32" s="29">
        <f t="array" ref="I32">G32+F32</f>
        <v>9926.875</v>
      </c>
      <c r="J32" s="28">
        <v>45850.0</v>
      </c>
      <c r="K32" s="28">
        <v>48650.0</v>
      </c>
      <c r="L32" s="2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21" t="s">
        <v>72</v>
      </c>
      <c r="B33" s="22" t="s">
        <v>73</v>
      </c>
      <c r="C33" s="30">
        <f t="array" ref="C33">H33+I33</f>
        <v>101513</v>
      </c>
      <c r="D33" s="30">
        <f t="shared" ref="D33:E33" si="14">J33-F33</f>
        <v>44747.375</v>
      </c>
      <c r="E33" s="30">
        <f t="shared" si="14"/>
        <v>46838.75</v>
      </c>
      <c r="F33" s="30">
        <f t="array" ref="F33">F32</f>
        <v>4805.625</v>
      </c>
      <c r="G33" s="30">
        <f t="array" ref="G33">G32</f>
        <v>5121.25</v>
      </c>
      <c r="H33" s="29">
        <f t="array" ref="H33">E33+D33</f>
        <v>91586.125</v>
      </c>
      <c r="I33" s="29">
        <f t="array" ref="I33">G33+F33</f>
        <v>9926.875</v>
      </c>
      <c r="J33" s="28">
        <v>49553.0</v>
      </c>
      <c r="K33" s="28">
        <v>51960.0</v>
      </c>
      <c r="L33" s="2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21" t="s">
        <v>74</v>
      </c>
      <c r="B34" s="22" t="s">
        <v>75</v>
      </c>
      <c r="C34" s="30">
        <f t="array" ref="C34">H34+I34</f>
        <v>105402</v>
      </c>
      <c r="D34" s="30">
        <f t="shared" ref="D34:E34" si="15">J34-F34</f>
        <v>47428.375</v>
      </c>
      <c r="E34" s="30">
        <f t="shared" si="15"/>
        <v>48046.75</v>
      </c>
      <c r="F34" s="30">
        <f t="array" ref="F34">F33</f>
        <v>4805.625</v>
      </c>
      <c r="G34" s="30">
        <f t="array" ref="G34">G33</f>
        <v>5121.25</v>
      </c>
      <c r="H34" s="29">
        <f t="array" ref="H34">E34+D34</f>
        <v>95475.125</v>
      </c>
      <c r="I34" s="29">
        <f t="array" ref="I34">G34+F34</f>
        <v>9926.875</v>
      </c>
      <c r="J34" s="28">
        <v>52234.0</v>
      </c>
      <c r="K34" s="28">
        <v>53168.0</v>
      </c>
      <c r="L34" s="2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21" t="s">
        <v>76</v>
      </c>
      <c r="B35" s="22" t="s">
        <v>77</v>
      </c>
      <c r="C35" s="30">
        <f t="array" ref="C35">H35+I35</f>
        <v>101862</v>
      </c>
      <c r="D35" s="30">
        <f t="shared" ref="D35:E35" si="16">J35-F35</f>
        <v>45442.375</v>
      </c>
      <c r="E35" s="30">
        <f t="shared" si="16"/>
        <v>46492.75</v>
      </c>
      <c r="F35" s="30">
        <f t="array" ref="F35">F34</f>
        <v>4805.625</v>
      </c>
      <c r="G35" s="30">
        <f t="array" ref="G35">G34</f>
        <v>5121.25</v>
      </c>
      <c r="H35" s="29">
        <f t="array" ref="H35">E35+D35</f>
        <v>91935.125</v>
      </c>
      <c r="I35" s="29">
        <f t="array" ref="I35">G35+F35</f>
        <v>9926.875</v>
      </c>
      <c r="J35" s="28">
        <v>50248.0</v>
      </c>
      <c r="K35" s="28">
        <v>51614.0</v>
      </c>
      <c r="L35" s="2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21" t="s">
        <v>78</v>
      </c>
      <c r="B36" s="22" t="s">
        <v>79</v>
      </c>
      <c r="C36" s="30">
        <f t="array" ref="C36">H36+I36</f>
        <v>105812</v>
      </c>
      <c r="D36" s="30">
        <f t="shared" ref="D36:E36" si="17">J36-F36</f>
        <v>46961.375</v>
      </c>
      <c r="E36" s="30">
        <f t="shared" si="17"/>
        <v>48923.75</v>
      </c>
      <c r="F36" s="30">
        <f t="array" ref="F36">F35</f>
        <v>4805.625</v>
      </c>
      <c r="G36" s="30">
        <f t="array" ref="G36">G35</f>
        <v>5121.25</v>
      </c>
      <c r="H36" s="29">
        <f t="array" ref="H36">E36+D36</f>
        <v>95885.125</v>
      </c>
      <c r="I36" s="29">
        <f t="array" ref="I36">G36+F36</f>
        <v>9926.875</v>
      </c>
      <c r="J36" s="28">
        <v>51767.0</v>
      </c>
      <c r="K36" s="28">
        <v>54045.0</v>
      </c>
      <c r="L36" s="2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21" t="s">
        <v>80</v>
      </c>
      <c r="B37" s="22" t="s">
        <v>81</v>
      </c>
      <c r="C37" s="30">
        <f t="array" ref="C37">H37+I37</f>
        <v>103337</v>
      </c>
      <c r="D37" s="30">
        <f t="shared" ref="D37:E37" si="18">J37-F37</f>
        <v>46069.375</v>
      </c>
      <c r="E37" s="30">
        <f t="shared" si="18"/>
        <v>47340.75</v>
      </c>
      <c r="F37" s="30">
        <f t="array" ref="F37">F36</f>
        <v>4805.625</v>
      </c>
      <c r="G37" s="30">
        <f t="array" ref="G37">G36</f>
        <v>5121.25</v>
      </c>
      <c r="H37" s="29">
        <f t="array" ref="H37">E37+D37</f>
        <v>93410.125</v>
      </c>
      <c r="I37" s="29">
        <f t="array" ref="I37">G37+F37</f>
        <v>9926.875</v>
      </c>
      <c r="J37" s="28">
        <v>50875.0</v>
      </c>
      <c r="K37" s="28">
        <v>52462.0</v>
      </c>
      <c r="L37" s="2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11"/>
      <c r="B38" s="12"/>
      <c r="C38" s="13"/>
      <c r="D38" s="31"/>
      <c r="E38" s="31"/>
      <c r="F38" s="28">
        <v>260311.0</v>
      </c>
      <c r="G38" s="28">
        <v>380603.0</v>
      </c>
      <c r="H38" s="13"/>
      <c r="I38" s="13"/>
      <c r="J38" s="13"/>
      <c r="K38" s="13"/>
      <c r="L38" s="2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21" t="s">
        <v>82</v>
      </c>
      <c r="B39" s="22" t="s">
        <v>83</v>
      </c>
      <c r="C39" s="30">
        <f t="array" ref="C39">H39+I39</f>
        <v>105874</v>
      </c>
      <c r="D39" s="30">
        <f t="shared" ref="D39:E39" si="19">J39-F39</f>
        <v>36901.58824</v>
      </c>
      <c r="E39" s="30">
        <f t="shared" si="19"/>
        <v>31271.58824</v>
      </c>
      <c r="F39" s="30">
        <f t="array" ref="F39">F38/17</f>
        <v>15312.41176</v>
      </c>
      <c r="G39" s="30">
        <f t="array" ref="G39">G38/17</f>
        <v>22388.41176</v>
      </c>
      <c r="H39" s="29">
        <f t="array" ref="H39">E39+D39</f>
        <v>68173.17647</v>
      </c>
      <c r="I39" s="29">
        <f t="array" ref="I39">G39+F39</f>
        <v>37700.82353</v>
      </c>
      <c r="J39" s="28">
        <v>52214.0</v>
      </c>
      <c r="K39" s="28">
        <v>53660.0</v>
      </c>
      <c r="L39" s="2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21" t="s">
        <v>84</v>
      </c>
      <c r="B40" s="22" t="s">
        <v>85</v>
      </c>
      <c r="C40" s="30">
        <f t="array" ref="C40">H40+I40</f>
        <v>110275</v>
      </c>
      <c r="D40" s="30">
        <f t="shared" ref="D40:E40" si="20">J40-F40</f>
        <v>38581.58824</v>
      </c>
      <c r="E40" s="30">
        <f t="shared" si="20"/>
        <v>33992.58824</v>
      </c>
      <c r="F40" s="30">
        <f t="array" ref="F40">F39</f>
        <v>15312.41176</v>
      </c>
      <c r="G40" s="30">
        <f t="array" ref="G40">G39</f>
        <v>22388.41176</v>
      </c>
      <c r="H40" s="29">
        <f t="array" ref="H40">E40+D40</f>
        <v>72574.17647</v>
      </c>
      <c r="I40" s="29">
        <f t="array" ref="I40">G40+F40</f>
        <v>37700.82353</v>
      </c>
      <c r="J40" s="28">
        <v>53894.0</v>
      </c>
      <c r="K40" s="28">
        <v>56381.0</v>
      </c>
      <c r="L40" s="2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21" t="s">
        <v>86</v>
      </c>
      <c r="B41" s="22" t="s">
        <v>87</v>
      </c>
      <c r="C41" s="30">
        <f t="array" ref="C41">H41+I41</f>
        <v>109474</v>
      </c>
      <c r="D41" s="30">
        <f t="shared" ref="D41:E41" si="21">J41-F41</f>
        <v>38704.58824</v>
      </c>
      <c r="E41" s="30">
        <f t="shared" si="21"/>
        <v>33068.58824</v>
      </c>
      <c r="F41" s="30">
        <f t="array" ref="F41">F40</f>
        <v>15312.41176</v>
      </c>
      <c r="G41" s="30">
        <f t="array" ref="G41">G40</f>
        <v>22388.41176</v>
      </c>
      <c r="H41" s="29">
        <f t="array" ref="H41">E41+D41</f>
        <v>71773.17647</v>
      </c>
      <c r="I41" s="29">
        <f t="array" ref="I41">G41+F41</f>
        <v>37700.82353</v>
      </c>
      <c r="J41" s="28">
        <v>54017.0</v>
      </c>
      <c r="K41" s="28">
        <v>55457.0</v>
      </c>
      <c r="L41" s="2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21" t="s">
        <v>88</v>
      </c>
      <c r="B42" s="22" t="s">
        <v>89</v>
      </c>
      <c r="C42" s="30">
        <f t="array" ref="C42">H42+I42</f>
        <v>112140</v>
      </c>
      <c r="D42" s="30">
        <f t="shared" ref="D42:E42" si="22">J42-F42</f>
        <v>40171.58824</v>
      </c>
      <c r="E42" s="30">
        <f t="shared" si="22"/>
        <v>34267.58824</v>
      </c>
      <c r="F42" s="30">
        <f t="array" ref="F42">F41</f>
        <v>15312.41176</v>
      </c>
      <c r="G42" s="30">
        <f t="array" ref="G42">G41</f>
        <v>22388.41176</v>
      </c>
      <c r="H42" s="29">
        <f t="array" ref="H42">E42+D42</f>
        <v>74439.17647</v>
      </c>
      <c r="I42" s="29">
        <f t="array" ref="I42">G42+F42</f>
        <v>37700.82353</v>
      </c>
      <c r="J42" s="28">
        <v>55484.0</v>
      </c>
      <c r="K42" s="28">
        <v>56656.0</v>
      </c>
      <c r="L42" s="2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21" t="s">
        <v>90</v>
      </c>
      <c r="B43" s="22" t="s">
        <v>91</v>
      </c>
      <c r="C43" s="30">
        <f t="array" ref="C43">H43+I43</f>
        <v>113304</v>
      </c>
      <c r="D43" s="30">
        <f t="shared" ref="D43:E43" si="23">J43-F43</f>
        <v>40515.58824</v>
      </c>
      <c r="E43" s="30">
        <f t="shared" si="23"/>
        <v>35087.58824</v>
      </c>
      <c r="F43" s="30">
        <f t="array" ref="F43">F42</f>
        <v>15312.41176</v>
      </c>
      <c r="G43" s="30">
        <f t="array" ref="G43">G42</f>
        <v>22388.41176</v>
      </c>
      <c r="H43" s="29">
        <f t="array" ref="H43">E43+D43</f>
        <v>75603.17647</v>
      </c>
      <c r="I43" s="29">
        <f t="array" ref="I43">G43+F43</f>
        <v>37700.82353</v>
      </c>
      <c r="J43" s="28">
        <v>55828.0</v>
      </c>
      <c r="K43" s="28">
        <v>57476.0</v>
      </c>
      <c r="L43" s="2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21" t="s">
        <v>92</v>
      </c>
      <c r="B44" s="22" t="s">
        <v>93</v>
      </c>
      <c r="C44" s="30">
        <f t="array" ref="C44">H44+I44</f>
        <v>113176</v>
      </c>
      <c r="D44" s="30">
        <f t="shared" ref="D44:E44" si="24">J44-F44</f>
        <v>40293.58824</v>
      </c>
      <c r="E44" s="30">
        <f t="shared" si="24"/>
        <v>35181.58824</v>
      </c>
      <c r="F44" s="30">
        <f t="array" ref="F44">F43</f>
        <v>15312.41176</v>
      </c>
      <c r="G44" s="30">
        <f t="array" ref="G44">G43</f>
        <v>22388.41176</v>
      </c>
      <c r="H44" s="29">
        <f t="array" ref="H44">E44+D44</f>
        <v>75475.17647</v>
      </c>
      <c r="I44" s="29">
        <f t="array" ref="I44">G44+F44</f>
        <v>37700.82353</v>
      </c>
      <c r="J44" s="28">
        <v>55606.0</v>
      </c>
      <c r="K44" s="28">
        <v>57570.0</v>
      </c>
      <c r="L44" s="2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21" t="s">
        <v>94</v>
      </c>
      <c r="B45" s="22" t="s">
        <v>95</v>
      </c>
      <c r="C45" s="30">
        <f t="array" ref="C45">H45+I45</f>
        <v>122797</v>
      </c>
      <c r="D45" s="30">
        <f t="shared" ref="D45:E45" si="25">J45-F45</f>
        <v>45020.58824</v>
      </c>
      <c r="E45" s="30">
        <f t="shared" si="25"/>
        <v>40075.58824</v>
      </c>
      <c r="F45" s="30">
        <f t="array" ref="F45">F44</f>
        <v>15312.41176</v>
      </c>
      <c r="G45" s="30">
        <f t="array" ref="G45">G44</f>
        <v>22388.41176</v>
      </c>
      <c r="H45" s="29">
        <f t="array" ref="H45">E45+D45</f>
        <v>85096.17647</v>
      </c>
      <c r="I45" s="29">
        <f t="array" ref="I45">G45+F45</f>
        <v>37700.82353</v>
      </c>
      <c r="J45" s="28">
        <v>60333.0</v>
      </c>
      <c r="K45" s="28">
        <v>62464.0</v>
      </c>
      <c r="L45" s="2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21" t="s">
        <v>96</v>
      </c>
      <c r="B46" s="22" t="s">
        <v>97</v>
      </c>
      <c r="C46" s="30">
        <f t="array" ref="C46">H46+I46</f>
        <v>120728</v>
      </c>
      <c r="D46" s="30">
        <f t="shared" ref="D46:E46" si="26">J46-F46</f>
        <v>44058.58824</v>
      </c>
      <c r="E46" s="30">
        <f t="shared" si="26"/>
        <v>38968.58824</v>
      </c>
      <c r="F46" s="30">
        <f t="array" ref="F46">F45</f>
        <v>15312.41176</v>
      </c>
      <c r="G46" s="30">
        <f t="array" ref="G46">G45</f>
        <v>22388.41176</v>
      </c>
      <c r="H46" s="29">
        <f t="array" ref="H46">E46+D46</f>
        <v>83027.17647</v>
      </c>
      <c r="I46" s="29">
        <f t="array" ref="I46">G46+F46</f>
        <v>37700.82353</v>
      </c>
      <c r="J46" s="28">
        <v>59371.0</v>
      </c>
      <c r="K46" s="28">
        <v>61357.0</v>
      </c>
      <c r="L46" s="29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21" t="s">
        <v>98</v>
      </c>
      <c r="B47" s="22" t="s">
        <v>99</v>
      </c>
      <c r="C47" s="30">
        <f t="array" ref="C47">H47+I47</f>
        <v>118193</v>
      </c>
      <c r="D47" s="30">
        <f t="shared" ref="D47:E47" si="27">J47-F47</f>
        <v>42673.58824</v>
      </c>
      <c r="E47" s="30">
        <f t="shared" si="27"/>
        <v>37818.58824</v>
      </c>
      <c r="F47" s="30">
        <f t="array" ref="F47">F46</f>
        <v>15312.41176</v>
      </c>
      <c r="G47" s="30">
        <f t="array" ref="G47">G46</f>
        <v>22388.41176</v>
      </c>
      <c r="H47" s="29">
        <f t="array" ref="H47">E47+D47</f>
        <v>80492.17647</v>
      </c>
      <c r="I47" s="29">
        <f t="array" ref="I47">G47+F47</f>
        <v>37700.82353</v>
      </c>
      <c r="J47" s="28">
        <v>57986.0</v>
      </c>
      <c r="K47" s="28">
        <v>60207.0</v>
      </c>
      <c r="L47" s="2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21" t="s">
        <v>100</v>
      </c>
      <c r="B48" s="22" t="s">
        <v>101</v>
      </c>
      <c r="C48" s="30">
        <f t="array" ref="C48">H48+I48</f>
        <v>118384</v>
      </c>
      <c r="D48" s="30">
        <f t="shared" ref="D48:E48" si="28">J48-F48</f>
        <v>43047.58824</v>
      </c>
      <c r="E48" s="30">
        <f t="shared" si="28"/>
        <v>37635.58824</v>
      </c>
      <c r="F48" s="30">
        <f t="array" ref="F48">F47</f>
        <v>15312.41176</v>
      </c>
      <c r="G48" s="30">
        <f t="array" ref="G48">G47</f>
        <v>22388.41176</v>
      </c>
      <c r="H48" s="29">
        <f t="array" ref="H48">E48+D48</f>
        <v>80683.17647</v>
      </c>
      <c r="I48" s="29">
        <f t="array" ref="I48">G48+F48</f>
        <v>37700.82353</v>
      </c>
      <c r="J48" s="28">
        <v>58360.0</v>
      </c>
      <c r="K48" s="28">
        <v>60024.0</v>
      </c>
      <c r="L48" s="2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21" t="s">
        <v>102</v>
      </c>
      <c r="B49" s="22" t="s">
        <v>103</v>
      </c>
      <c r="C49" s="30">
        <f t="array" ref="C49">H49+I49</f>
        <v>118222</v>
      </c>
      <c r="D49" s="30">
        <f t="shared" ref="D49:E49" si="29">J49-F49</f>
        <v>42214.58824</v>
      </c>
      <c r="E49" s="30">
        <f t="shared" si="29"/>
        <v>38306.58824</v>
      </c>
      <c r="F49" s="30">
        <f t="array" ref="F49">F48</f>
        <v>15312.41176</v>
      </c>
      <c r="G49" s="30">
        <f t="array" ref="G49">G48</f>
        <v>22388.41176</v>
      </c>
      <c r="H49" s="29">
        <f t="array" ref="H49">E49+D49</f>
        <v>80521.17647</v>
      </c>
      <c r="I49" s="29">
        <f t="array" ref="I49">G49+F49</f>
        <v>37700.82353</v>
      </c>
      <c r="J49" s="28">
        <v>57527.0</v>
      </c>
      <c r="K49" s="28">
        <v>60695.0</v>
      </c>
      <c r="L49" s="2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21" t="s">
        <v>104</v>
      </c>
      <c r="B50" s="22" t="s">
        <v>105</v>
      </c>
      <c r="C50" s="30">
        <f t="array" ref="C50">H50+I50</f>
        <v>117437</v>
      </c>
      <c r="D50" s="30">
        <f t="shared" ref="D50:E50" si="30">J50-F50</f>
        <v>41909.58824</v>
      </c>
      <c r="E50" s="30">
        <f t="shared" si="30"/>
        <v>37826.58824</v>
      </c>
      <c r="F50" s="30">
        <f t="array" ref="F50">F49</f>
        <v>15312.41176</v>
      </c>
      <c r="G50" s="30">
        <f t="array" ref="G50">G49</f>
        <v>22388.41176</v>
      </c>
      <c r="H50" s="29">
        <f t="array" ref="H50">E50+D50</f>
        <v>79736.17647</v>
      </c>
      <c r="I50" s="29">
        <f t="array" ref="I50">G50+F50</f>
        <v>37700.82353</v>
      </c>
      <c r="J50" s="28">
        <v>57222.0</v>
      </c>
      <c r="K50" s="28">
        <v>60215.0</v>
      </c>
      <c r="L50" s="2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21" t="s">
        <v>106</v>
      </c>
      <c r="B51" s="22" t="s">
        <v>107</v>
      </c>
      <c r="C51" s="30">
        <f t="array" ref="C51">H51+I51</f>
        <v>117297</v>
      </c>
      <c r="D51" s="30">
        <f t="shared" ref="D51:E51" si="31">J51-F51</f>
        <v>42033.58824</v>
      </c>
      <c r="E51" s="30">
        <f t="shared" si="31"/>
        <v>37562.58824</v>
      </c>
      <c r="F51" s="30">
        <f t="array" ref="F51">F50</f>
        <v>15312.41176</v>
      </c>
      <c r="G51" s="30">
        <f t="array" ref="G51">G50</f>
        <v>22388.41176</v>
      </c>
      <c r="H51" s="29">
        <f t="array" ref="H51">E51+D51</f>
        <v>79596.17647</v>
      </c>
      <c r="I51" s="29">
        <f t="array" ref="I51">G51+F51</f>
        <v>37700.82353</v>
      </c>
      <c r="J51" s="28">
        <v>57346.0</v>
      </c>
      <c r="K51" s="28">
        <v>59951.0</v>
      </c>
      <c r="L51" s="2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21" t="s">
        <v>108</v>
      </c>
      <c r="B52" s="22" t="s">
        <v>109</v>
      </c>
      <c r="C52" s="30">
        <f t="array" ref="C52">H52+I52</f>
        <v>121895</v>
      </c>
      <c r="D52" s="30">
        <f t="shared" ref="D52:E52" si="32">J52-F52</f>
        <v>44779.58824</v>
      </c>
      <c r="E52" s="30">
        <f t="shared" si="32"/>
        <v>39414.58824</v>
      </c>
      <c r="F52" s="30">
        <f t="array" ref="F52">F51</f>
        <v>15312.41176</v>
      </c>
      <c r="G52" s="30">
        <f t="array" ref="G52">G51</f>
        <v>22388.41176</v>
      </c>
      <c r="H52" s="29">
        <f t="array" ref="H52">E52+D52</f>
        <v>84194.17647</v>
      </c>
      <c r="I52" s="29">
        <f t="array" ref="I52">G52+F52</f>
        <v>37700.82353</v>
      </c>
      <c r="J52" s="28">
        <v>60092.0</v>
      </c>
      <c r="K52" s="28">
        <v>61803.0</v>
      </c>
      <c r="L52" s="2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21" t="s">
        <v>110</v>
      </c>
      <c r="B53" s="22" t="s">
        <v>111</v>
      </c>
      <c r="C53" s="30">
        <f t="array" ref="C53">H53+I53</f>
        <v>122862</v>
      </c>
      <c r="D53" s="30">
        <f t="shared" ref="D53:E53" si="33">J53-F53</f>
        <v>45762.58824</v>
      </c>
      <c r="E53" s="30">
        <f t="shared" si="33"/>
        <v>39398.58824</v>
      </c>
      <c r="F53" s="30">
        <f t="array" ref="F53">F52</f>
        <v>15312.41176</v>
      </c>
      <c r="G53" s="30">
        <f t="array" ref="G53">G52</f>
        <v>22388.41176</v>
      </c>
      <c r="H53" s="29">
        <f t="array" ref="H53">E53+D53</f>
        <v>85161.17647</v>
      </c>
      <c r="I53" s="29">
        <f t="array" ref="I53">G53+F53</f>
        <v>37700.82353</v>
      </c>
      <c r="J53" s="28">
        <v>61075.0</v>
      </c>
      <c r="K53" s="28">
        <v>61787.0</v>
      </c>
      <c r="L53" s="2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21" t="s">
        <v>112</v>
      </c>
      <c r="B54" s="22" t="s">
        <v>113</v>
      </c>
      <c r="C54" s="30">
        <f t="array" ref="C54">H54+I54</f>
        <v>124083</v>
      </c>
      <c r="D54" s="30">
        <f t="shared" ref="D54:E54" si="34">J54-F54</f>
        <v>46142.58824</v>
      </c>
      <c r="E54" s="30">
        <f t="shared" si="34"/>
        <v>40239.58824</v>
      </c>
      <c r="F54" s="30">
        <f t="array" ref="F54">F53</f>
        <v>15312.41176</v>
      </c>
      <c r="G54" s="30">
        <f t="array" ref="G54">G53</f>
        <v>22388.41176</v>
      </c>
      <c r="H54" s="29">
        <f t="array" ref="H54">E54+D54</f>
        <v>86382.17647</v>
      </c>
      <c r="I54" s="29">
        <f t="array" ref="I54">G54+F54</f>
        <v>37700.82353</v>
      </c>
      <c r="J54" s="28">
        <v>61455.0</v>
      </c>
      <c r="K54" s="28">
        <v>62628.0</v>
      </c>
      <c r="L54" s="2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21" t="s">
        <v>114</v>
      </c>
      <c r="B55" s="22" t="s">
        <v>115</v>
      </c>
      <c r="C55" s="30">
        <f t="array" ref="C55">H55+I55</f>
        <v>124277</v>
      </c>
      <c r="D55" s="30">
        <f t="shared" ref="D55:E55" si="35">J55-F55</f>
        <v>46406.58824</v>
      </c>
      <c r="E55" s="30">
        <f t="shared" si="35"/>
        <v>40169.58824</v>
      </c>
      <c r="F55" s="30">
        <f t="array" ref="F55">F54</f>
        <v>15312.41176</v>
      </c>
      <c r="G55" s="30">
        <f t="array" ref="G55">G54</f>
        <v>22388.41176</v>
      </c>
      <c r="H55" s="29">
        <f t="array" ref="H55">E55+D55</f>
        <v>86576.17647</v>
      </c>
      <c r="I55" s="29">
        <f t="array" ref="I55">G55+F55</f>
        <v>37700.82353</v>
      </c>
      <c r="J55" s="28">
        <v>61719.0</v>
      </c>
      <c r="K55" s="28">
        <v>62558.0</v>
      </c>
      <c r="L55" s="2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11"/>
      <c r="B56" s="12"/>
      <c r="C56" s="13"/>
      <c r="D56" s="31"/>
      <c r="E56" s="31"/>
      <c r="F56" s="28">
        <v>158994.0</v>
      </c>
      <c r="G56" s="28">
        <v>222212.0</v>
      </c>
      <c r="H56" s="13"/>
      <c r="I56" s="13"/>
      <c r="J56" s="13"/>
      <c r="K56" s="13"/>
      <c r="L56" s="2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21" t="s">
        <v>116</v>
      </c>
      <c r="B57" s="22" t="s">
        <v>117</v>
      </c>
      <c r="C57" s="30">
        <f t="array" ref="C57">H57+I57</f>
        <v>123091</v>
      </c>
      <c r="D57" s="30">
        <f t="shared" ref="D57:E57" si="36">J57-F57</f>
        <v>45547.6</v>
      </c>
      <c r="E57" s="30">
        <f t="shared" si="36"/>
        <v>39422.8</v>
      </c>
      <c r="F57" s="30">
        <f t="array" ref="F57">F56/10</f>
        <v>15899.4</v>
      </c>
      <c r="G57" s="30">
        <f t="array" ref="G57">G56/10</f>
        <v>22221.2</v>
      </c>
      <c r="H57" s="29">
        <f t="array" ref="H57">E57+D57</f>
        <v>84970.4</v>
      </c>
      <c r="I57" s="29">
        <f t="array" ref="I57">G57+F57</f>
        <v>38120.6</v>
      </c>
      <c r="J57" s="28">
        <v>61447.0</v>
      </c>
      <c r="K57" s="28">
        <v>61644.0</v>
      </c>
      <c r="L57" s="2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21" t="s">
        <v>118</v>
      </c>
      <c r="B58" s="22" t="s">
        <v>119</v>
      </c>
      <c r="C58" s="30">
        <f t="array" ref="C58">H58+I58</f>
        <v>124609</v>
      </c>
      <c r="D58" s="30">
        <f t="shared" ref="D58:E58" si="37">J58-F58</f>
        <v>46553.6</v>
      </c>
      <c r="E58" s="30">
        <f t="shared" si="37"/>
        <v>39934.8</v>
      </c>
      <c r="F58" s="30">
        <f t="array" ref="F58">F57</f>
        <v>15899.4</v>
      </c>
      <c r="G58" s="30">
        <f t="array" ref="G58">G57</f>
        <v>22221.2</v>
      </c>
      <c r="H58" s="29">
        <f t="array" ref="H58">E58+D58</f>
        <v>86488.4</v>
      </c>
      <c r="I58" s="29">
        <f t="array" ref="I58">G58+F58</f>
        <v>38120.6</v>
      </c>
      <c r="J58" s="28">
        <v>62453.0</v>
      </c>
      <c r="K58" s="28">
        <v>62156.0</v>
      </c>
      <c r="L58" s="2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21" t="s">
        <v>120</v>
      </c>
      <c r="B59" s="22" t="s">
        <v>121</v>
      </c>
      <c r="C59" s="30">
        <f t="array" ref="C59">H59+I59</f>
        <v>124362</v>
      </c>
      <c r="D59" s="30">
        <f t="shared" ref="D59:E59" si="38">J59-F59</f>
        <v>46813.6</v>
      </c>
      <c r="E59" s="30">
        <f t="shared" si="38"/>
        <v>39427.8</v>
      </c>
      <c r="F59" s="30">
        <f t="array" ref="F59">F58</f>
        <v>15899.4</v>
      </c>
      <c r="G59" s="30">
        <f t="array" ref="G59">G58</f>
        <v>22221.2</v>
      </c>
      <c r="H59" s="29">
        <f t="array" ref="H59">E59+D59</f>
        <v>86241.4</v>
      </c>
      <c r="I59" s="29">
        <f t="array" ref="I59">G59+F59</f>
        <v>38120.6</v>
      </c>
      <c r="J59" s="28">
        <v>62713.0</v>
      </c>
      <c r="K59" s="28">
        <v>61649.0</v>
      </c>
      <c r="L59" s="2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21" t="s">
        <v>122</v>
      </c>
      <c r="B60" s="22" t="s">
        <v>123</v>
      </c>
      <c r="C60" s="30">
        <f t="array" ref="C60">H60+I60</f>
        <v>126254</v>
      </c>
      <c r="D60" s="30">
        <f t="shared" ref="D60:E60" si="39">J60-F60</f>
        <v>48047.6</v>
      </c>
      <c r="E60" s="30">
        <f t="shared" si="39"/>
        <v>40085.8</v>
      </c>
      <c r="F60" s="30">
        <f t="array" ref="F60">F59</f>
        <v>15899.4</v>
      </c>
      <c r="G60" s="30">
        <f t="array" ref="G60">G59</f>
        <v>22221.2</v>
      </c>
      <c r="H60" s="29">
        <f t="array" ref="H60">E60+D60</f>
        <v>88133.4</v>
      </c>
      <c r="I60" s="29">
        <f t="array" ref="I60">G60+F60</f>
        <v>38120.6</v>
      </c>
      <c r="J60" s="28">
        <v>63947.0</v>
      </c>
      <c r="K60" s="28">
        <v>62307.0</v>
      </c>
      <c r="L60" s="2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21" t="s">
        <v>124</v>
      </c>
      <c r="B61" s="22" t="s">
        <v>125</v>
      </c>
      <c r="C61" s="30">
        <f t="array" ref="C61">H61+I61</f>
        <v>129632</v>
      </c>
      <c r="D61" s="30">
        <f t="shared" ref="D61:E61" si="40">J61-F61</f>
        <v>49861.6</v>
      </c>
      <c r="E61" s="30">
        <f t="shared" si="40"/>
        <v>41649.8</v>
      </c>
      <c r="F61" s="30">
        <f t="array" ref="F61">F60</f>
        <v>15899.4</v>
      </c>
      <c r="G61" s="30">
        <f t="array" ref="G61">G60</f>
        <v>22221.2</v>
      </c>
      <c r="H61" s="29">
        <f t="array" ref="H61">E61+D61</f>
        <v>91511.4</v>
      </c>
      <c r="I61" s="29">
        <f t="array" ref="I61">G61+F61</f>
        <v>38120.6</v>
      </c>
      <c r="J61" s="28">
        <v>65761.0</v>
      </c>
      <c r="K61" s="28">
        <v>63871.0</v>
      </c>
      <c r="L61" s="2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21" t="s">
        <v>126</v>
      </c>
      <c r="B62" s="22" t="s">
        <v>127</v>
      </c>
      <c r="C62" s="30">
        <f t="array" ref="C62">H62+I62</f>
        <v>137862</v>
      </c>
      <c r="D62" s="30">
        <f t="shared" ref="D62:E62" si="41">J62-F62</f>
        <v>54208.6</v>
      </c>
      <c r="E62" s="30">
        <f t="shared" si="41"/>
        <v>45532.8</v>
      </c>
      <c r="F62" s="30">
        <f t="array" ref="F62">F61</f>
        <v>15899.4</v>
      </c>
      <c r="G62" s="30">
        <f t="array" ref="G62">G61</f>
        <v>22221.2</v>
      </c>
      <c r="H62" s="29">
        <f t="array" ref="H62">E62+D62</f>
        <v>99741.4</v>
      </c>
      <c r="I62" s="29">
        <f t="array" ref="I62">G62+F62</f>
        <v>38120.6</v>
      </c>
      <c r="J62" s="28">
        <v>70108.0</v>
      </c>
      <c r="K62" s="28">
        <v>67754.0</v>
      </c>
      <c r="L62" s="2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21" t="s">
        <v>128</v>
      </c>
      <c r="B63" s="22" t="s">
        <v>129</v>
      </c>
      <c r="C63" s="30">
        <f t="array" ref="C63">H63+I63</f>
        <v>140350</v>
      </c>
      <c r="D63" s="30">
        <f t="shared" ref="D63:E63" si="42">J63-F63</f>
        <v>55700.6</v>
      </c>
      <c r="E63" s="30">
        <f t="shared" si="42"/>
        <v>46528.8</v>
      </c>
      <c r="F63" s="30">
        <f t="array" ref="F63">F62</f>
        <v>15899.4</v>
      </c>
      <c r="G63" s="30">
        <f t="array" ref="G63">G62</f>
        <v>22221.2</v>
      </c>
      <c r="H63" s="29">
        <f t="array" ref="H63">E63+D63</f>
        <v>102229.4</v>
      </c>
      <c r="I63" s="29">
        <f t="array" ref="I63">G63+F63</f>
        <v>38120.6</v>
      </c>
      <c r="J63" s="28">
        <v>71600.0</v>
      </c>
      <c r="K63" s="28">
        <v>68750.0</v>
      </c>
      <c r="L63" s="2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21" t="s">
        <v>130</v>
      </c>
      <c r="B64" s="22" t="s">
        <v>131</v>
      </c>
      <c r="C64" s="30">
        <f t="array" ref="C64">H64+I64</f>
        <v>146099</v>
      </c>
      <c r="D64" s="30">
        <f t="shared" ref="D64:E64" si="43">J64-F64</f>
        <v>59122.6</v>
      </c>
      <c r="E64" s="30">
        <f t="shared" si="43"/>
        <v>48855.8</v>
      </c>
      <c r="F64" s="30">
        <f t="array" ref="F64">F63</f>
        <v>15899.4</v>
      </c>
      <c r="G64" s="30">
        <f t="array" ref="G64">G63</f>
        <v>22221.2</v>
      </c>
      <c r="H64" s="29">
        <f t="array" ref="H64">E64+D64</f>
        <v>107978.4</v>
      </c>
      <c r="I64" s="29">
        <f t="array" ref="I64">G64+F64</f>
        <v>38120.6</v>
      </c>
      <c r="J64" s="28">
        <v>75022.0</v>
      </c>
      <c r="K64" s="28">
        <v>71077.0</v>
      </c>
      <c r="L64" s="29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21" t="s">
        <v>132</v>
      </c>
      <c r="B65" s="22" t="s">
        <v>133</v>
      </c>
      <c r="C65" s="30">
        <f t="array" ref="C65">H65+I65</f>
        <v>147217</v>
      </c>
      <c r="D65" s="30">
        <f t="shared" ref="D65:E65" si="44">J65-F65</f>
        <v>59981.6</v>
      </c>
      <c r="E65" s="30">
        <f t="shared" si="44"/>
        <v>49114.8</v>
      </c>
      <c r="F65" s="30">
        <f t="array" ref="F65">F64</f>
        <v>15899.4</v>
      </c>
      <c r="G65" s="30">
        <f t="array" ref="G65">G64</f>
        <v>22221.2</v>
      </c>
      <c r="H65" s="29">
        <f t="array" ref="H65">E65+D65</f>
        <v>109096.4</v>
      </c>
      <c r="I65" s="29">
        <f t="array" ref="I65">G65+F65</f>
        <v>38120.6</v>
      </c>
      <c r="J65" s="28">
        <v>75881.0</v>
      </c>
      <c r="K65" s="28">
        <v>71336.0</v>
      </c>
      <c r="L65" s="29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21" t="s">
        <v>134</v>
      </c>
      <c r="B66" s="22" t="s">
        <v>135</v>
      </c>
      <c r="C66" s="30">
        <f t="array" ref="C66">H66+I66</f>
        <v>152682</v>
      </c>
      <c r="D66" s="30">
        <f t="shared" ref="D66:E66" si="45">J66-F66</f>
        <v>63132.6</v>
      </c>
      <c r="E66" s="30">
        <f t="shared" si="45"/>
        <v>51428.8</v>
      </c>
      <c r="F66" s="30">
        <f t="array" ref="F66">F65</f>
        <v>15899.4</v>
      </c>
      <c r="G66" s="30">
        <f t="array" ref="G66">G65</f>
        <v>22221.2</v>
      </c>
      <c r="H66" s="29">
        <f t="array" ref="H66">E66+D66</f>
        <v>114561.4</v>
      </c>
      <c r="I66" s="29">
        <f t="array" ref="I66">G66+F66</f>
        <v>38120.6</v>
      </c>
      <c r="J66" s="28">
        <v>79032.0</v>
      </c>
      <c r="K66" s="28">
        <v>73650.0</v>
      </c>
      <c r="L66" s="29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11"/>
      <c r="B67" s="12"/>
      <c r="C67" s="13"/>
      <c r="D67" s="31"/>
      <c r="E67" s="31"/>
      <c r="F67" s="28">
        <v>91997.0</v>
      </c>
      <c r="G67" s="28">
        <v>101227.0</v>
      </c>
      <c r="H67" s="13"/>
      <c r="I67" s="13"/>
      <c r="J67" s="13"/>
      <c r="K67" s="13"/>
      <c r="L67" s="2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1" t="s">
        <v>136</v>
      </c>
      <c r="B68" s="22" t="s">
        <v>137</v>
      </c>
      <c r="C68" s="30">
        <f t="array" ref="C68">H68+I68</f>
        <v>151920</v>
      </c>
      <c r="D68" s="30">
        <f t="shared" ref="D68:E68" si="46">J68-F68</f>
        <v>69412.3</v>
      </c>
      <c r="E68" s="30">
        <f t="shared" si="46"/>
        <v>63185.3</v>
      </c>
      <c r="F68" s="30">
        <f t="array" ref="F68">F67/10</f>
        <v>9199.7</v>
      </c>
      <c r="G68" s="30">
        <f t="array" ref="G68">G67/10</f>
        <v>10122.7</v>
      </c>
      <c r="H68" s="29">
        <f t="array" ref="H68">E68+D68</f>
        <v>132597.6</v>
      </c>
      <c r="I68" s="29">
        <f t="array" ref="I68">G68+F68</f>
        <v>19322.4</v>
      </c>
      <c r="J68" s="28">
        <v>78612.0</v>
      </c>
      <c r="K68" s="28">
        <v>73308.0</v>
      </c>
      <c r="L68" s="2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21" t="s">
        <v>138</v>
      </c>
      <c r="B69" s="22" t="s">
        <v>139</v>
      </c>
      <c r="C69" s="30">
        <f t="array" ref="C69">H69+I69</f>
        <v>155654</v>
      </c>
      <c r="D69" s="30">
        <f t="shared" ref="D69:E69" si="47">J69-F69</f>
        <v>71688.3</v>
      </c>
      <c r="E69" s="30">
        <f t="shared" si="47"/>
        <v>64643.3</v>
      </c>
      <c r="F69" s="30">
        <f t="array" ref="F69">F68</f>
        <v>9199.7</v>
      </c>
      <c r="G69" s="30">
        <f t="array" ref="G69">G68</f>
        <v>10122.7</v>
      </c>
      <c r="H69" s="29">
        <f t="array" ref="H69">E69+D69</f>
        <v>136331.6</v>
      </c>
      <c r="I69" s="29">
        <f t="array" ref="I69">G69+F69</f>
        <v>19322.4</v>
      </c>
      <c r="J69" s="28">
        <v>80888.0</v>
      </c>
      <c r="K69" s="28">
        <v>74766.0</v>
      </c>
      <c r="L69" s="29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21" t="s">
        <v>140</v>
      </c>
      <c r="B70" s="22" t="s">
        <v>141</v>
      </c>
      <c r="C70" s="30">
        <f t="array" ref="C70">H70+I70</f>
        <v>167395</v>
      </c>
      <c r="D70" s="30">
        <f t="shared" ref="D70:E70" si="48">J70-F70</f>
        <v>77354.3</v>
      </c>
      <c r="E70" s="30">
        <f t="shared" si="48"/>
        <v>70718.3</v>
      </c>
      <c r="F70" s="30">
        <f t="array" ref="F70">F69</f>
        <v>9199.7</v>
      </c>
      <c r="G70" s="30">
        <f t="array" ref="G70">G69</f>
        <v>10122.7</v>
      </c>
      <c r="H70" s="29">
        <f t="array" ref="H70">E70+D70</f>
        <v>148072.6</v>
      </c>
      <c r="I70" s="29">
        <f t="array" ref="I70">G70+F70</f>
        <v>19322.4</v>
      </c>
      <c r="J70" s="28">
        <v>86554.0</v>
      </c>
      <c r="K70" s="28">
        <v>80841.0</v>
      </c>
      <c r="L70" s="29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21" t="s">
        <v>142</v>
      </c>
      <c r="B71" s="22" t="s">
        <v>143</v>
      </c>
      <c r="C71" s="30">
        <f t="array" ref="C71">H71+I71</f>
        <v>170148</v>
      </c>
      <c r="D71" s="30">
        <f t="shared" ref="D71:E71" si="49">J71-F71</f>
        <v>79126.3</v>
      </c>
      <c r="E71" s="30">
        <f t="shared" si="49"/>
        <v>71699.3</v>
      </c>
      <c r="F71" s="30">
        <f t="array" ref="F71">F70</f>
        <v>9199.7</v>
      </c>
      <c r="G71" s="30">
        <f t="array" ref="G71">G70</f>
        <v>10122.7</v>
      </c>
      <c r="H71" s="29">
        <f t="array" ref="H71">E71+D71</f>
        <v>150825.6</v>
      </c>
      <c r="I71" s="29">
        <f t="array" ref="I71">G71+F71</f>
        <v>19322.4</v>
      </c>
      <c r="J71" s="28">
        <v>88326.0</v>
      </c>
      <c r="K71" s="28">
        <v>81822.0</v>
      </c>
      <c r="L71" s="29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21" t="s">
        <v>144</v>
      </c>
      <c r="B72" s="22" t="s">
        <v>145</v>
      </c>
      <c r="C72" s="30">
        <f t="array" ref="C72">H72+I72</f>
        <v>169387</v>
      </c>
      <c r="D72" s="30">
        <f t="shared" ref="D72:E72" si="50">J72-F72</f>
        <v>78477.3</v>
      </c>
      <c r="E72" s="30">
        <f t="shared" si="50"/>
        <v>71587.3</v>
      </c>
      <c r="F72" s="30">
        <f t="array" ref="F72">F71</f>
        <v>9199.7</v>
      </c>
      <c r="G72" s="30">
        <f t="array" ref="G72">G71</f>
        <v>10122.7</v>
      </c>
      <c r="H72" s="29">
        <f t="array" ref="H72">E72+D72</f>
        <v>150064.6</v>
      </c>
      <c r="I72" s="29">
        <f t="array" ref="I72">G72+F72</f>
        <v>19322.4</v>
      </c>
      <c r="J72" s="28">
        <v>87677.0</v>
      </c>
      <c r="K72" s="28">
        <v>81710.0</v>
      </c>
      <c r="L72" s="29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21" t="s">
        <v>146</v>
      </c>
      <c r="B73" s="22" t="s">
        <v>147</v>
      </c>
      <c r="C73" s="30">
        <f t="array" ref="C73">H73+I73</f>
        <v>166025</v>
      </c>
      <c r="D73" s="30">
        <f t="shared" ref="D73:E73" si="51">J73-F73</f>
        <v>77611.3</v>
      </c>
      <c r="E73" s="30">
        <f t="shared" si="51"/>
        <v>69091.3</v>
      </c>
      <c r="F73" s="30">
        <f t="array" ref="F73">F72</f>
        <v>9199.7</v>
      </c>
      <c r="G73" s="30">
        <f t="array" ref="G73">G72</f>
        <v>10122.7</v>
      </c>
      <c r="H73" s="29">
        <f t="array" ref="H73">E73+D73</f>
        <v>146702.6</v>
      </c>
      <c r="I73" s="29">
        <f t="array" ref="I73">G73+F73</f>
        <v>19322.4</v>
      </c>
      <c r="J73" s="28">
        <v>86811.0</v>
      </c>
      <c r="K73" s="28">
        <v>79214.0</v>
      </c>
      <c r="L73" s="29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21" t="s">
        <v>148</v>
      </c>
      <c r="B74" s="22" t="s">
        <v>149</v>
      </c>
      <c r="C74" s="30">
        <f t="array" ref="C74">H74+I74</f>
        <v>160984</v>
      </c>
      <c r="D74" s="30">
        <f t="shared" ref="D74:E74" si="52">J74-F74</f>
        <v>74871.3</v>
      </c>
      <c r="E74" s="30">
        <f t="shared" si="52"/>
        <v>66790.3</v>
      </c>
      <c r="F74" s="30">
        <f t="array" ref="F74">F73</f>
        <v>9199.7</v>
      </c>
      <c r="G74" s="30">
        <f t="array" ref="G74">G73</f>
        <v>10122.7</v>
      </c>
      <c r="H74" s="29">
        <f t="array" ref="H74">E74+D74</f>
        <v>141661.6</v>
      </c>
      <c r="I74" s="29">
        <f t="array" ref="I74">G74+F74</f>
        <v>19322.4</v>
      </c>
      <c r="J74" s="28">
        <v>84071.0</v>
      </c>
      <c r="K74" s="28">
        <v>76913.0</v>
      </c>
      <c r="L74" s="2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21" t="s">
        <v>150</v>
      </c>
      <c r="B75" s="22" t="s">
        <v>151</v>
      </c>
      <c r="C75" s="30">
        <f t="array" ref="C75">H75+I75</f>
        <v>161284</v>
      </c>
      <c r="D75" s="30">
        <f t="shared" ref="D75:E75" si="53">J75-F75</f>
        <v>75228.3</v>
      </c>
      <c r="E75" s="30">
        <f t="shared" si="53"/>
        <v>66733.3</v>
      </c>
      <c r="F75" s="30">
        <f t="array" ref="F75">F74</f>
        <v>9199.7</v>
      </c>
      <c r="G75" s="30">
        <f t="array" ref="G75">G74</f>
        <v>10122.7</v>
      </c>
      <c r="H75" s="29">
        <f t="array" ref="H75">E75+D75</f>
        <v>141961.6</v>
      </c>
      <c r="I75" s="29">
        <f t="array" ref="I75">G75+F75</f>
        <v>19322.4</v>
      </c>
      <c r="J75" s="28">
        <v>84428.0</v>
      </c>
      <c r="K75" s="28">
        <v>76856.0</v>
      </c>
      <c r="L75" s="2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21" t="s">
        <v>152</v>
      </c>
      <c r="B76" s="22" t="s">
        <v>153</v>
      </c>
      <c r="C76" s="30">
        <f t="array" ref="C76">H76+I76</f>
        <v>159407</v>
      </c>
      <c r="D76" s="30">
        <f t="shared" ref="D76:E76" si="54">J76-F76</f>
        <v>74342.3</v>
      </c>
      <c r="E76" s="30">
        <f t="shared" si="54"/>
        <v>65742.3</v>
      </c>
      <c r="F76" s="30">
        <f t="array" ref="F76">F75</f>
        <v>9199.7</v>
      </c>
      <c r="G76" s="30">
        <f t="array" ref="G76">G75</f>
        <v>10122.7</v>
      </c>
      <c r="H76" s="29">
        <f t="array" ref="H76">E76+D76</f>
        <v>140084.6</v>
      </c>
      <c r="I76" s="29">
        <f t="array" ref="I76">G76+F76</f>
        <v>19322.4</v>
      </c>
      <c r="J76" s="28">
        <v>83542.0</v>
      </c>
      <c r="K76" s="28">
        <v>75865.0</v>
      </c>
      <c r="L76" s="29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21" t="s">
        <v>154</v>
      </c>
      <c r="B77" s="22" t="s">
        <v>155</v>
      </c>
      <c r="C77" s="30">
        <f t="array" ref="C77">H77+I77</f>
        <v>154404</v>
      </c>
      <c r="D77" s="30">
        <f t="shared" ref="D77:E77" si="55">J77-F77</f>
        <v>71642.3</v>
      </c>
      <c r="E77" s="30">
        <f t="shared" si="55"/>
        <v>63439.3</v>
      </c>
      <c r="F77" s="30">
        <f t="array" ref="F77">F76</f>
        <v>9199.7</v>
      </c>
      <c r="G77" s="30">
        <f t="array" ref="G77">G76</f>
        <v>10122.7</v>
      </c>
      <c r="H77" s="29">
        <f t="array" ref="H77">E77+D77</f>
        <v>135081.6</v>
      </c>
      <c r="I77" s="29">
        <f t="array" ref="I77">G77+F77</f>
        <v>19322.4</v>
      </c>
      <c r="J77" s="28">
        <v>80842.0</v>
      </c>
      <c r="K77" s="28">
        <v>73562.0</v>
      </c>
      <c r="L77" s="29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11"/>
      <c r="B78" s="12"/>
      <c r="C78" s="13"/>
      <c r="D78" s="31"/>
      <c r="E78" s="31"/>
      <c r="F78" s="28">
        <v>55781.0</v>
      </c>
      <c r="G78" s="28">
        <v>48727.0</v>
      </c>
      <c r="H78" s="13"/>
      <c r="I78" s="13"/>
      <c r="J78" s="13"/>
      <c r="K78" s="13"/>
      <c r="L78" s="29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21" t="s">
        <v>156</v>
      </c>
      <c r="B79" s="22" t="s">
        <v>157</v>
      </c>
      <c r="C79" s="30">
        <f t="array" ref="C79">H79+I79</f>
        <v>151041</v>
      </c>
      <c r="D79" s="30">
        <f t="shared" ref="D79:E79" si="56">J79-F79</f>
        <v>73717.9</v>
      </c>
      <c r="E79" s="30">
        <f t="shared" si="56"/>
        <v>66872.3</v>
      </c>
      <c r="F79" s="30">
        <f t="array" ref="F79">F78/10</f>
        <v>5578.1</v>
      </c>
      <c r="G79" s="30">
        <f t="array" ref="G79">G78/10</f>
        <v>4872.7</v>
      </c>
      <c r="H79" s="29">
        <f t="array" ref="H79">E79+D79</f>
        <v>140590.2</v>
      </c>
      <c r="I79" s="29">
        <f t="array" ref="I79">G79+F79</f>
        <v>10450.8</v>
      </c>
      <c r="J79" s="28">
        <v>79296.0</v>
      </c>
      <c r="K79" s="28">
        <v>71745.0</v>
      </c>
      <c r="L79" s="2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21" t="s">
        <v>158</v>
      </c>
      <c r="B80" s="22" t="s">
        <v>159</v>
      </c>
      <c r="C80" s="30">
        <f t="array" ref="C80">H80+I80</f>
        <v>150244</v>
      </c>
      <c r="D80" s="30">
        <f t="shared" ref="D80:E80" si="57">J80-F80</f>
        <v>73495.9</v>
      </c>
      <c r="E80" s="30">
        <f t="shared" si="57"/>
        <v>66297.3</v>
      </c>
      <c r="F80" s="30">
        <f t="array" ref="F80">F79</f>
        <v>5578.1</v>
      </c>
      <c r="G80" s="30">
        <f t="array" ref="G80">G79</f>
        <v>4872.7</v>
      </c>
      <c r="H80" s="29">
        <f t="array" ref="H80">E80+D80</f>
        <v>139793.2</v>
      </c>
      <c r="I80" s="29">
        <f t="array" ref="I80">G80+F80</f>
        <v>10450.8</v>
      </c>
      <c r="J80" s="28">
        <v>79074.0</v>
      </c>
      <c r="K80" s="28">
        <v>71170.0</v>
      </c>
      <c r="L80" s="2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21" t="s">
        <v>160</v>
      </c>
      <c r="B81" s="22" t="s">
        <v>161</v>
      </c>
      <c r="C81" s="30">
        <f t="array" ref="C81">H81+I81</f>
        <v>150073</v>
      </c>
      <c r="D81" s="30">
        <f t="shared" ref="D81:E81" si="58">J81-F81</f>
        <v>74213.9</v>
      </c>
      <c r="E81" s="30">
        <f t="shared" si="58"/>
        <v>65408.3</v>
      </c>
      <c r="F81" s="30">
        <f t="array" ref="F81">F80</f>
        <v>5578.1</v>
      </c>
      <c r="G81" s="30">
        <f t="array" ref="G81">G80</f>
        <v>4872.7</v>
      </c>
      <c r="H81" s="29">
        <f t="array" ref="H81">E81+D81</f>
        <v>139622.2</v>
      </c>
      <c r="I81" s="29">
        <f t="array" ref="I81">G81+F81</f>
        <v>10450.8</v>
      </c>
      <c r="J81" s="28">
        <v>79792.0</v>
      </c>
      <c r="K81" s="28">
        <v>70281.0</v>
      </c>
      <c r="L81" s="2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21" t="s">
        <v>162</v>
      </c>
      <c r="B82" s="22" t="s">
        <v>163</v>
      </c>
      <c r="C82" s="30">
        <f t="array" ref="C82">H82+I82</f>
        <v>151589</v>
      </c>
      <c r="D82" s="30">
        <f t="shared" ref="D82:E82" si="59">J82-F82</f>
        <v>75087.9</v>
      </c>
      <c r="E82" s="30">
        <f t="shared" si="59"/>
        <v>66050.3</v>
      </c>
      <c r="F82" s="30">
        <f t="array" ref="F82">F81</f>
        <v>5578.1</v>
      </c>
      <c r="G82" s="30">
        <f t="array" ref="G82">G81</f>
        <v>4872.7</v>
      </c>
      <c r="H82" s="29">
        <f t="array" ref="H82">E82+D82</f>
        <v>141138.2</v>
      </c>
      <c r="I82" s="29">
        <f t="array" ref="I82">G82+F82</f>
        <v>10450.8</v>
      </c>
      <c r="J82" s="28">
        <v>80666.0</v>
      </c>
      <c r="K82" s="28">
        <v>70923.0</v>
      </c>
      <c r="L82" s="29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21" t="s">
        <v>164</v>
      </c>
      <c r="B83" s="22" t="s">
        <v>165</v>
      </c>
      <c r="C83" s="30">
        <f t="array" ref="C83">H83+I83</f>
        <v>152343</v>
      </c>
      <c r="D83" s="30">
        <f t="shared" ref="D83:E83" si="60">J83-F83</f>
        <v>75457.9</v>
      </c>
      <c r="E83" s="30">
        <f t="shared" si="60"/>
        <v>66434.3</v>
      </c>
      <c r="F83" s="30">
        <f t="array" ref="F83">F82</f>
        <v>5578.1</v>
      </c>
      <c r="G83" s="30">
        <f t="array" ref="G83">G82</f>
        <v>4872.7</v>
      </c>
      <c r="H83" s="29">
        <f t="array" ref="H83">E83+D83</f>
        <v>141892.2</v>
      </c>
      <c r="I83" s="29">
        <f t="array" ref="I83">G83+F83</f>
        <v>10450.8</v>
      </c>
      <c r="J83" s="28">
        <v>81036.0</v>
      </c>
      <c r="K83" s="28">
        <v>71307.0</v>
      </c>
      <c r="L83" s="29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21" t="s">
        <v>166</v>
      </c>
      <c r="B84" s="22" t="s">
        <v>167</v>
      </c>
      <c r="C84" s="30">
        <f t="array" ref="C84">H84+I84</f>
        <v>153401</v>
      </c>
      <c r="D84" s="30">
        <f t="shared" ref="D84:E84" si="61">J84-F84</f>
        <v>76424.9</v>
      </c>
      <c r="E84" s="30">
        <f t="shared" si="61"/>
        <v>66525.3</v>
      </c>
      <c r="F84" s="30">
        <f t="array" ref="F84">F83</f>
        <v>5578.1</v>
      </c>
      <c r="G84" s="30">
        <f t="array" ref="G84">G83</f>
        <v>4872.7</v>
      </c>
      <c r="H84" s="29">
        <f t="array" ref="H84">E84+D84</f>
        <v>142950.2</v>
      </c>
      <c r="I84" s="29">
        <f t="array" ref="I84">G84+F84</f>
        <v>10450.8</v>
      </c>
      <c r="J84" s="28">
        <v>82003.0</v>
      </c>
      <c r="K84" s="28">
        <v>71398.0</v>
      </c>
      <c r="L84" s="29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21" t="s">
        <v>168</v>
      </c>
      <c r="B85" s="22" t="s">
        <v>169</v>
      </c>
      <c r="C85" s="30">
        <f t="array" ref="C85">H85+I85</f>
        <v>149155</v>
      </c>
      <c r="D85" s="30">
        <f t="shared" ref="D85:E85" si="62">J85-F85</f>
        <v>74195.9</v>
      </c>
      <c r="E85" s="30">
        <f t="shared" si="62"/>
        <v>64508.3</v>
      </c>
      <c r="F85" s="30">
        <f t="array" ref="F85">F84</f>
        <v>5578.1</v>
      </c>
      <c r="G85" s="30">
        <f t="array" ref="G85">G84</f>
        <v>4872.7</v>
      </c>
      <c r="H85" s="29">
        <f t="array" ref="H85">E85+D85</f>
        <v>138704.2</v>
      </c>
      <c r="I85" s="29">
        <f t="array" ref="I85">G85+F85</f>
        <v>10450.8</v>
      </c>
      <c r="J85" s="28">
        <v>79774.0</v>
      </c>
      <c r="K85" s="28">
        <v>69381.0</v>
      </c>
      <c r="L85" s="2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21" t="s">
        <v>170</v>
      </c>
      <c r="B86" s="22" t="s">
        <v>171</v>
      </c>
      <c r="C86" s="30">
        <f t="array" ref="C86">H86+I86</f>
        <v>148665</v>
      </c>
      <c r="D86" s="30">
        <f t="shared" ref="D86:E86" si="63">J86-F86</f>
        <v>73909.9</v>
      </c>
      <c r="E86" s="30">
        <f t="shared" si="63"/>
        <v>64304.3</v>
      </c>
      <c r="F86" s="30">
        <f t="array" ref="F86">F85</f>
        <v>5578.1</v>
      </c>
      <c r="G86" s="30">
        <f t="array" ref="G86">G85</f>
        <v>4872.7</v>
      </c>
      <c r="H86" s="29">
        <f t="array" ref="H86">E86+D86</f>
        <v>138214.2</v>
      </c>
      <c r="I86" s="29">
        <f t="array" ref="I86">G86+F86</f>
        <v>10450.8</v>
      </c>
      <c r="J86" s="28">
        <v>79488.0</v>
      </c>
      <c r="K86" s="28">
        <v>69177.0</v>
      </c>
      <c r="L86" s="2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21" t="s">
        <v>172</v>
      </c>
      <c r="B87" s="22" t="s">
        <v>173</v>
      </c>
      <c r="C87" s="30">
        <f t="array" ref="C87">H87+I87</f>
        <v>149075</v>
      </c>
      <c r="D87" s="30">
        <f t="shared" ref="D87:E87" si="64">J87-F87</f>
        <v>74079.9</v>
      </c>
      <c r="E87" s="30">
        <f t="shared" si="64"/>
        <v>64544.3</v>
      </c>
      <c r="F87" s="30">
        <f t="array" ref="F87">F86</f>
        <v>5578.1</v>
      </c>
      <c r="G87" s="30">
        <f t="array" ref="G87">G86</f>
        <v>4872.7</v>
      </c>
      <c r="H87" s="29">
        <f t="array" ref="H87">E87+D87</f>
        <v>138624.2</v>
      </c>
      <c r="I87" s="29">
        <f t="array" ref="I87">G87+F87</f>
        <v>10450.8</v>
      </c>
      <c r="J87" s="28">
        <v>79658.0</v>
      </c>
      <c r="K87" s="28">
        <v>69417.0</v>
      </c>
      <c r="L87" s="2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21" t="s">
        <v>174</v>
      </c>
      <c r="B88" s="22" t="s">
        <v>175</v>
      </c>
      <c r="C88" s="30">
        <f t="array" ref="C88">H88+I88</f>
        <v>149021</v>
      </c>
      <c r="D88" s="30">
        <f t="shared" ref="D88:E88" si="65">J88-F88</f>
        <v>73545.9</v>
      </c>
      <c r="E88" s="30">
        <f t="shared" si="65"/>
        <v>65024.3</v>
      </c>
      <c r="F88" s="30">
        <f t="array" ref="F88">F87</f>
        <v>5578.1</v>
      </c>
      <c r="G88" s="30">
        <f t="array" ref="G88">G87</f>
        <v>4872.7</v>
      </c>
      <c r="H88" s="29">
        <f t="array" ref="H88">E88+D88</f>
        <v>138570.2</v>
      </c>
      <c r="I88" s="29">
        <f t="array" ref="I88">G88+F88</f>
        <v>10450.8</v>
      </c>
      <c r="J88" s="28">
        <v>79124.0</v>
      </c>
      <c r="K88" s="28">
        <v>69897.0</v>
      </c>
      <c r="L88" s="29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11"/>
      <c r="B89" s="12"/>
      <c r="C89" s="13"/>
      <c r="D89" s="31"/>
      <c r="E89" s="31"/>
      <c r="F89" s="28">
        <v>33775.0</v>
      </c>
      <c r="G89" s="28">
        <v>32234.0</v>
      </c>
      <c r="H89" s="13"/>
      <c r="I89" s="13"/>
      <c r="J89" s="13"/>
      <c r="K89" s="13"/>
      <c r="L89" s="29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21" t="s">
        <v>176</v>
      </c>
      <c r="B90" s="22" t="s">
        <v>177</v>
      </c>
      <c r="C90" s="30">
        <f t="array" ref="C90">H90+I90</f>
        <v>142444</v>
      </c>
      <c r="D90" s="30">
        <f t="shared" ref="D90:E90" si="66">J90-F90</f>
        <v>72760.5</v>
      </c>
      <c r="E90" s="30">
        <f t="shared" si="66"/>
        <v>63082.6</v>
      </c>
      <c r="F90" s="30">
        <f t="array" ref="F90">F89/10</f>
        <v>3377.5</v>
      </c>
      <c r="G90" s="30">
        <f t="array" ref="G90">G89/10</f>
        <v>3223.4</v>
      </c>
      <c r="H90" s="29">
        <f t="array" ref="H90">E90+D90</f>
        <v>135843.1</v>
      </c>
      <c r="I90" s="29">
        <f t="array" ref="I90">G90+F90</f>
        <v>6600.9</v>
      </c>
      <c r="J90" s="28">
        <v>76138.0</v>
      </c>
      <c r="K90" s="28">
        <v>66306.0</v>
      </c>
      <c r="L90" s="29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21" t="s">
        <v>178</v>
      </c>
      <c r="B91" s="22" t="s">
        <v>179</v>
      </c>
      <c r="C91" s="30">
        <f t="array" ref="C91">H91+I91</f>
        <v>142575</v>
      </c>
      <c r="D91" s="30">
        <f t="shared" ref="D91:E91" si="67">J91-F91</f>
        <v>73036.5</v>
      </c>
      <c r="E91" s="30">
        <f t="shared" si="67"/>
        <v>62937.6</v>
      </c>
      <c r="F91" s="30">
        <f t="array" ref="F91">F90</f>
        <v>3377.5</v>
      </c>
      <c r="G91" s="30">
        <f t="array" ref="G91">G90</f>
        <v>3223.4</v>
      </c>
      <c r="H91" s="29">
        <f t="array" ref="H91">E91+D91</f>
        <v>135974.1</v>
      </c>
      <c r="I91" s="29">
        <f t="array" ref="I91">G91+F91</f>
        <v>6600.9</v>
      </c>
      <c r="J91" s="28">
        <v>76414.0</v>
      </c>
      <c r="K91" s="28">
        <v>66161.0</v>
      </c>
      <c r="L91" s="29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21" t="s">
        <v>180</v>
      </c>
      <c r="B92" s="22" t="s">
        <v>181</v>
      </c>
      <c r="C92" s="30">
        <f t="array" ref="C92">H92+I92</f>
        <v>140574</v>
      </c>
      <c r="D92" s="30">
        <f t="shared" ref="D92:E92" si="68">J92-F92</f>
        <v>72014.5</v>
      </c>
      <c r="E92" s="30">
        <f t="shared" si="68"/>
        <v>61958.6</v>
      </c>
      <c r="F92" s="30">
        <f t="array" ref="F92">F91</f>
        <v>3377.5</v>
      </c>
      <c r="G92" s="30">
        <f t="array" ref="G92">G91</f>
        <v>3223.4</v>
      </c>
      <c r="H92" s="29">
        <f t="array" ref="H92">E92+D92</f>
        <v>133973.1</v>
      </c>
      <c r="I92" s="29">
        <f t="array" ref="I92">G92+F92</f>
        <v>6600.9</v>
      </c>
      <c r="J92" s="28">
        <v>75392.0</v>
      </c>
      <c r="K92" s="28">
        <v>65182.0</v>
      </c>
      <c r="L92" s="29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21" t="s">
        <v>182</v>
      </c>
      <c r="B93" s="22" t="s">
        <v>183</v>
      </c>
      <c r="C93" s="30">
        <f t="array" ref="C93">H93+I93</f>
        <v>135356</v>
      </c>
      <c r="D93" s="30">
        <f t="shared" ref="D93:E93" si="69">J93-F93</f>
        <v>69404.5</v>
      </c>
      <c r="E93" s="30">
        <f t="shared" si="69"/>
        <v>59350.6</v>
      </c>
      <c r="F93" s="30">
        <f t="array" ref="F93">F92</f>
        <v>3377.5</v>
      </c>
      <c r="G93" s="30">
        <f t="array" ref="G93">G92</f>
        <v>3223.4</v>
      </c>
      <c r="H93" s="29">
        <f t="array" ref="H93">E93+D93</f>
        <v>128755.1</v>
      </c>
      <c r="I93" s="29">
        <f t="array" ref="I93">G93+F93</f>
        <v>6600.9</v>
      </c>
      <c r="J93" s="28">
        <v>72782.0</v>
      </c>
      <c r="K93" s="28">
        <v>62574.0</v>
      </c>
      <c r="L93" s="29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21" t="s">
        <v>184</v>
      </c>
      <c r="B94" s="22" t="s">
        <v>185</v>
      </c>
      <c r="C94" s="30">
        <f t="array" ref="C94">H94+I94</f>
        <v>134823</v>
      </c>
      <c r="D94" s="30">
        <f t="shared" ref="D94:E94" si="70">J94-F94</f>
        <v>69843.5</v>
      </c>
      <c r="E94" s="30">
        <f t="shared" si="70"/>
        <v>58378.6</v>
      </c>
      <c r="F94" s="30">
        <f t="array" ref="F94">F93</f>
        <v>3377.5</v>
      </c>
      <c r="G94" s="30">
        <f t="array" ref="G94">G93</f>
        <v>3223.4</v>
      </c>
      <c r="H94" s="29">
        <f t="array" ref="H94">E94+D94</f>
        <v>128222.1</v>
      </c>
      <c r="I94" s="29">
        <f t="array" ref="I94">G94+F94</f>
        <v>6600.9</v>
      </c>
      <c r="J94" s="28">
        <v>73221.0</v>
      </c>
      <c r="K94" s="28">
        <v>61602.0</v>
      </c>
      <c r="L94" s="29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21" t="s">
        <v>186</v>
      </c>
      <c r="B95" s="22" t="s">
        <v>187</v>
      </c>
      <c r="C95" s="30">
        <f t="array" ref="C95">H95+I95</f>
        <v>129411</v>
      </c>
      <c r="D95" s="30">
        <f t="shared" ref="D95:E95" si="71">J95-F95</f>
        <v>66700.5</v>
      </c>
      <c r="E95" s="30">
        <f t="shared" si="71"/>
        <v>56109.6</v>
      </c>
      <c r="F95" s="30">
        <f t="array" ref="F95">F94</f>
        <v>3377.5</v>
      </c>
      <c r="G95" s="30">
        <f t="array" ref="G95">G94</f>
        <v>3223.4</v>
      </c>
      <c r="H95" s="29">
        <f t="array" ref="H95">E95+D95</f>
        <v>122810.1</v>
      </c>
      <c r="I95" s="29">
        <f t="array" ref="I95">G95+F95</f>
        <v>6600.9</v>
      </c>
      <c r="J95" s="28">
        <v>70078.0</v>
      </c>
      <c r="K95" s="28">
        <v>59333.0</v>
      </c>
      <c r="L95" s="29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21" t="s">
        <v>188</v>
      </c>
      <c r="B96" s="22" t="s">
        <v>189</v>
      </c>
      <c r="C96" s="30">
        <f t="array" ref="C96">H96+I96</f>
        <v>124613</v>
      </c>
      <c r="D96" s="30">
        <f t="shared" ref="D96:E96" si="72">J96-F96</f>
        <v>64690.5</v>
      </c>
      <c r="E96" s="30">
        <f t="shared" si="72"/>
        <v>53321.6</v>
      </c>
      <c r="F96" s="30">
        <f t="array" ref="F96">F95</f>
        <v>3377.5</v>
      </c>
      <c r="G96" s="30">
        <f t="array" ref="G96">G95</f>
        <v>3223.4</v>
      </c>
      <c r="H96" s="29">
        <f t="array" ref="H96">E96+D96</f>
        <v>118012.1</v>
      </c>
      <c r="I96" s="29">
        <f t="array" ref="I96">G96+F96</f>
        <v>6600.9</v>
      </c>
      <c r="J96" s="28">
        <v>68068.0</v>
      </c>
      <c r="K96" s="28">
        <v>56545.0</v>
      </c>
      <c r="L96" s="29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21" t="s">
        <v>190</v>
      </c>
      <c r="B97" s="22" t="s">
        <v>191</v>
      </c>
      <c r="C97" s="30">
        <f t="array" ref="C97">H97+I97</f>
        <v>125498</v>
      </c>
      <c r="D97" s="30">
        <f t="shared" ref="D97:E97" si="73">J97-F97</f>
        <v>65760.5</v>
      </c>
      <c r="E97" s="30">
        <f t="shared" si="73"/>
        <v>53136.6</v>
      </c>
      <c r="F97" s="30">
        <f t="array" ref="F97">F96</f>
        <v>3377.5</v>
      </c>
      <c r="G97" s="30">
        <f t="array" ref="G97">G96</f>
        <v>3223.4</v>
      </c>
      <c r="H97" s="29">
        <f t="array" ref="H97">E97+D97</f>
        <v>118897.1</v>
      </c>
      <c r="I97" s="29">
        <f t="array" ref="I97">G97+F97</f>
        <v>6600.9</v>
      </c>
      <c r="J97" s="28">
        <v>69138.0</v>
      </c>
      <c r="K97" s="28">
        <v>56360.0</v>
      </c>
      <c r="L97" s="29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21" t="s">
        <v>192</v>
      </c>
      <c r="B98" s="22" t="s">
        <v>193</v>
      </c>
      <c r="C98" s="30">
        <f t="array" ref="C98">H98+I98</f>
        <v>124559</v>
      </c>
      <c r="D98" s="30">
        <f t="shared" ref="D98:E98" si="74">J98-F98</f>
        <v>64353.5</v>
      </c>
      <c r="E98" s="30">
        <f t="shared" si="74"/>
        <v>53604.6</v>
      </c>
      <c r="F98" s="30">
        <f t="array" ref="F98">F97</f>
        <v>3377.5</v>
      </c>
      <c r="G98" s="30">
        <f t="array" ref="G98">G97</f>
        <v>3223.4</v>
      </c>
      <c r="H98" s="29">
        <f t="array" ref="H98">E98+D98</f>
        <v>117958.1</v>
      </c>
      <c r="I98" s="29">
        <f t="array" ref="I98">G98+F98</f>
        <v>6600.9</v>
      </c>
      <c r="J98" s="28">
        <v>67731.0</v>
      </c>
      <c r="K98" s="28">
        <v>56828.0</v>
      </c>
      <c r="L98" s="29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21" t="s">
        <v>194</v>
      </c>
      <c r="B99" s="22" t="s">
        <v>195</v>
      </c>
      <c r="C99" s="30">
        <f t="array" ref="C99">H99+I99</f>
        <v>121255</v>
      </c>
      <c r="D99" s="30">
        <f t="shared" ref="D99:E99" si="75">J99-F99</f>
        <v>62661.5</v>
      </c>
      <c r="E99" s="30">
        <f t="shared" si="75"/>
        <v>51992.6</v>
      </c>
      <c r="F99" s="30">
        <f t="array" ref="F99">F98</f>
        <v>3377.5</v>
      </c>
      <c r="G99" s="30">
        <f t="array" ref="G99">G98</f>
        <v>3223.4</v>
      </c>
      <c r="H99" s="29">
        <f t="array" ref="H99">E99+D99</f>
        <v>114654.1</v>
      </c>
      <c r="I99" s="29">
        <f t="array" ref="I99">G99+F99</f>
        <v>6600.9</v>
      </c>
      <c r="J99" s="28">
        <v>66039.0</v>
      </c>
      <c r="K99" s="28">
        <v>55216.0</v>
      </c>
      <c r="L99" s="29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11"/>
      <c r="B100" s="12"/>
      <c r="C100" s="13"/>
      <c r="D100" s="31"/>
      <c r="E100" s="31"/>
      <c r="F100" s="28">
        <v>15112.0</v>
      </c>
      <c r="G100" s="28">
        <v>15484.0</v>
      </c>
      <c r="H100" s="13"/>
      <c r="I100" s="13"/>
      <c r="J100" s="13"/>
      <c r="K100" s="13"/>
      <c r="L100" s="29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21" t="s">
        <v>196</v>
      </c>
      <c r="B101" s="22" t="s">
        <v>197</v>
      </c>
      <c r="C101" s="30">
        <f t="array" ref="C101">H101+I101</f>
        <v>115844</v>
      </c>
      <c r="D101" s="30">
        <f t="shared" ref="D101:E101" si="76">J101-F101</f>
        <v>62003.8</v>
      </c>
      <c r="E101" s="30">
        <f t="shared" si="76"/>
        <v>50780.6</v>
      </c>
      <c r="F101" s="30">
        <f t="array" ref="F101">F100/10</f>
        <v>1511.2</v>
      </c>
      <c r="G101" s="30">
        <f t="array" ref="G101">G100/10</f>
        <v>1548.4</v>
      </c>
      <c r="H101" s="29">
        <f t="array" ref="H101">E101+D101</f>
        <v>112784.4</v>
      </c>
      <c r="I101" s="29">
        <f t="array" ref="I101">G101+F101</f>
        <v>3059.6</v>
      </c>
      <c r="J101" s="28">
        <v>63515.0</v>
      </c>
      <c r="K101" s="28">
        <v>52329.0</v>
      </c>
      <c r="L101" s="29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21" t="s">
        <v>198</v>
      </c>
      <c r="B102" s="22" t="s">
        <v>199</v>
      </c>
      <c r="C102" s="30">
        <f t="array" ref="C102">H102+I102</f>
        <v>116022</v>
      </c>
      <c r="D102" s="30">
        <f t="shared" ref="D102:E102" si="77">J102-F102</f>
        <v>63262.8</v>
      </c>
      <c r="E102" s="30">
        <f t="shared" si="77"/>
        <v>49699.6</v>
      </c>
      <c r="F102" s="30">
        <f t="array" ref="F102">F101</f>
        <v>1511.2</v>
      </c>
      <c r="G102" s="30">
        <f t="array" ref="G102">G101</f>
        <v>1548.4</v>
      </c>
      <c r="H102" s="29">
        <f t="array" ref="H102">E102+D102</f>
        <v>112962.4</v>
      </c>
      <c r="I102" s="29">
        <f t="array" ref="I102">G102+F102</f>
        <v>3059.6</v>
      </c>
      <c r="J102" s="28">
        <v>64774.0</v>
      </c>
      <c r="K102" s="28">
        <v>51248.0</v>
      </c>
      <c r="L102" s="29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21" t="s">
        <v>200</v>
      </c>
      <c r="B103" s="22" t="s">
        <v>201</v>
      </c>
      <c r="C103" s="30">
        <f t="array" ref="C103">H103+I103</f>
        <v>102735</v>
      </c>
      <c r="D103" s="30">
        <f t="shared" ref="D103:E103" si="78">J103-F103</f>
        <v>56005.8</v>
      </c>
      <c r="E103" s="30">
        <f t="shared" si="78"/>
        <v>43669.6</v>
      </c>
      <c r="F103" s="30">
        <f t="array" ref="F103">F102</f>
        <v>1511.2</v>
      </c>
      <c r="G103" s="30">
        <f t="array" ref="G103">G102</f>
        <v>1548.4</v>
      </c>
      <c r="H103" s="29">
        <f t="array" ref="H103">E103+D103</f>
        <v>99675.4</v>
      </c>
      <c r="I103" s="29">
        <f t="array" ref="I103">G103+F103</f>
        <v>3059.6</v>
      </c>
      <c r="J103" s="28">
        <v>57517.0</v>
      </c>
      <c r="K103" s="28">
        <v>45218.0</v>
      </c>
      <c r="L103" s="29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21" t="s">
        <v>202</v>
      </c>
      <c r="B104" s="22" t="s">
        <v>203</v>
      </c>
      <c r="C104" s="30">
        <f t="array" ref="C104">H104+I104</f>
        <v>98897</v>
      </c>
      <c r="D104" s="30">
        <f t="shared" ref="D104:E104" si="79">J104-F104</f>
        <v>54512.8</v>
      </c>
      <c r="E104" s="30">
        <f t="shared" si="79"/>
        <v>41324.6</v>
      </c>
      <c r="F104" s="30">
        <f t="array" ref="F104">F103</f>
        <v>1511.2</v>
      </c>
      <c r="G104" s="30">
        <f t="array" ref="G104">G103</f>
        <v>1548.4</v>
      </c>
      <c r="H104" s="29">
        <f t="array" ref="H104">E104+D104</f>
        <v>95837.4</v>
      </c>
      <c r="I104" s="29">
        <f t="array" ref="I104">G104+F104</f>
        <v>3059.6</v>
      </c>
      <c r="J104" s="28">
        <v>56024.0</v>
      </c>
      <c r="K104" s="28">
        <v>42873.0</v>
      </c>
      <c r="L104" s="29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21" t="s">
        <v>204</v>
      </c>
      <c r="B105" s="22" t="s">
        <v>205</v>
      </c>
      <c r="C105" s="30">
        <f t="array" ref="C105">H105+I105</f>
        <v>98447</v>
      </c>
      <c r="D105" s="30">
        <f t="shared" ref="D105:E105" si="80">J105-F105</f>
        <v>55042.8</v>
      </c>
      <c r="E105" s="30">
        <f t="shared" si="80"/>
        <v>40344.6</v>
      </c>
      <c r="F105" s="30">
        <f t="array" ref="F105">F104</f>
        <v>1511.2</v>
      </c>
      <c r="G105" s="30">
        <f t="array" ref="G105">G104</f>
        <v>1548.4</v>
      </c>
      <c r="H105" s="29">
        <f t="array" ref="H105">E105+D105</f>
        <v>95387.4</v>
      </c>
      <c r="I105" s="29">
        <f t="array" ref="I105">G105+F105</f>
        <v>3059.6</v>
      </c>
      <c r="J105" s="28">
        <v>56554.0</v>
      </c>
      <c r="K105" s="28">
        <v>41893.0</v>
      </c>
      <c r="L105" s="29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21" t="s">
        <v>206</v>
      </c>
      <c r="B106" s="22" t="s">
        <v>207</v>
      </c>
      <c r="C106" s="30">
        <f t="array" ref="C106">H106+I106</f>
        <v>88399</v>
      </c>
      <c r="D106" s="30">
        <f t="shared" ref="D106:E106" si="81">J106-F106</f>
        <v>49541.8</v>
      </c>
      <c r="E106" s="30">
        <f t="shared" si="81"/>
        <v>35797.6</v>
      </c>
      <c r="F106" s="30">
        <f t="array" ref="F106">F105</f>
        <v>1511.2</v>
      </c>
      <c r="G106" s="30">
        <f t="array" ref="G106">G105</f>
        <v>1548.4</v>
      </c>
      <c r="H106" s="29">
        <f t="array" ref="H106">E106+D106</f>
        <v>85339.4</v>
      </c>
      <c r="I106" s="29">
        <f t="array" ref="I106">G106+F106</f>
        <v>3059.6</v>
      </c>
      <c r="J106" s="28">
        <v>51053.0</v>
      </c>
      <c r="K106" s="28">
        <v>37346.0</v>
      </c>
      <c r="L106" s="29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21" t="s">
        <v>208</v>
      </c>
      <c r="B107" s="22" t="s">
        <v>209</v>
      </c>
      <c r="C107" s="30">
        <f t="array" ref="C107">H107+I107</f>
        <v>80454</v>
      </c>
      <c r="D107" s="30">
        <f t="shared" ref="D107:E107" si="82">J107-F107</f>
        <v>45321.8</v>
      </c>
      <c r="E107" s="30">
        <f t="shared" si="82"/>
        <v>32072.6</v>
      </c>
      <c r="F107" s="30">
        <f t="array" ref="F107">F106</f>
        <v>1511.2</v>
      </c>
      <c r="G107" s="30">
        <f t="array" ref="G107">G106</f>
        <v>1548.4</v>
      </c>
      <c r="H107" s="29">
        <f t="array" ref="H107">E107+D107</f>
        <v>77394.4</v>
      </c>
      <c r="I107" s="29">
        <f t="array" ref="I107">G107+F107</f>
        <v>3059.6</v>
      </c>
      <c r="J107" s="28">
        <v>46833.0</v>
      </c>
      <c r="K107" s="28">
        <v>33621.0</v>
      </c>
      <c r="L107" s="29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21" t="s">
        <v>210</v>
      </c>
      <c r="B108" s="22" t="s">
        <v>211</v>
      </c>
      <c r="C108" s="30">
        <f t="array" ref="C108">H108+I108</f>
        <v>72407</v>
      </c>
      <c r="D108" s="30">
        <f t="shared" ref="D108:E108" si="83">J108-F108</f>
        <v>41051.8</v>
      </c>
      <c r="E108" s="30">
        <f t="shared" si="83"/>
        <v>28295.6</v>
      </c>
      <c r="F108" s="30">
        <f t="array" ref="F108">F107</f>
        <v>1511.2</v>
      </c>
      <c r="G108" s="30">
        <f t="array" ref="G108">G107</f>
        <v>1548.4</v>
      </c>
      <c r="H108" s="29">
        <f t="array" ref="H108">E108+D108</f>
        <v>69347.4</v>
      </c>
      <c r="I108" s="29">
        <f t="array" ref="I108">G108+F108</f>
        <v>3059.6</v>
      </c>
      <c r="J108" s="28">
        <v>42563.0</v>
      </c>
      <c r="K108" s="28">
        <v>29844.0</v>
      </c>
      <c r="L108" s="29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21" t="s">
        <v>212</v>
      </c>
      <c r="B109" s="22" t="s">
        <v>213</v>
      </c>
      <c r="C109" s="30">
        <f t="array" ref="C109">H109+I109</f>
        <v>67909</v>
      </c>
      <c r="D109" s="30">
        <f t="shared" ref="D109:E109" si="84">J109-F109</f>
        <v>38101.8</v>
      </c>
      <c r="E109" s="30">
        <f t="shared" si="84"/>
        <v>26747.6</v>
      </c>
      <c r="F109" s="30">
        <f t="array" ref="F109">F108</f>
        <v>1511.2</v>
      </c>
      <c r="G109" s="30">
        <f t="array" ref="G109">G108</f>
        <v>1548.4</v>
      </c>
      <c r="H109" s="29">
        <f t="array" ref="H109">E109+D109</f>
        <v>64849.4</v>
      </c>
      <c r="I109" s="29">
        <f t="array" ref="I109">G109+F109</f>
        <v>3059.6</v>
      </c>
      <c r="J109" s="28">
        <v>39613.0</v>
      </c>
      <c r="K109" s="28">
        <v>28296.0</v>
      </c>
      <c r="L109" s="29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21" t="s">
        <v>214</v>
      </c>
      <c r="B110" s="22" t="s">
        <v>215</v>
      </c>
      <c r="C110" s="30">
        <f t="array" ref="C110">H110+I110</f>
        <v>64566</v>
      </c>
      <c r="D110" s="30">
        <f t="shared" ref="D110:E110" si="85">J110-F110</f>
        <v>36788.8</v>
      </c>
      <c r="E110" s="30">
        <f t="shared" si="85"/>
        <v>24717.6</v>
      </c>
      <c r="F110" s="30">
        <f t="array" ref="F110">F109</f>
        <v>1511.2</v>
      </c>
      <c r="G110" s="30">
        <f t="array" ref="G110">G109</f>
        <v>1548.4</v>
      </c>
      <c r="H110" s="29">
        <f t="array" ref="H110">E110+D110</f>
        <v>61506.4</v>
      </c>
      <c r="I110" s="29">
        <f t="array" ref="I110">G110+F110</f>
        <v>3059.6</v>
      </c>
      <c r="J110" s="28">
        <v>38300.0</v>
      </c>
      <c r="K110" s="28">
        <v>26266.0</v>
      </c>
      <c r="L110" s="29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11"/>
      <c r="B111" s="12"/>
      <c r="C111" s="29"/>
      <c r="D111" s="28">
        <v>253387.0</v>
      </c>
      <c r="E111" s="28">
        <v>135169.0</v>
      </c>
      <c r="F111" s="13"/>
      <c r="G111" s="13"/>
      <c r="H111" s="29"/>
      <c r="I111" s="29"/>
      <c r="J111" s="29"/>
      <c r="K111" s="29"/>
      <c r="L111" s="29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21" t="s">
        <v>216</v>
      </c>
      <c r="B112" s="22" t="s">
        <v>217</v>
      </c>
      <c r="C112" s="30">
        <f t="array" ref="C112">H112+I112</f>
        <v>48569.5</v>
      </c>
      <c r="D112" s="30">
        <f t="array" ref="D112">D$111/120*15</f>
        <v>31673.375</v>
      </c>
      <c r="E112" s="30">
        <f t="array" ref="E112">E$111/120*15</f>
        <v>16896.125</v>
      </c>
      <c r="F112" s="30">
        <f t="array" ref="F112">F$111/120*15</f>
        <v>0</v>
      </c>
      <c r="G112" s="30">
        <f t="array" ref="G112">G$111/120*15</f>
        <v>0</v>
      </c>
      <c r="H112" s="29">
        <f t="array" ref="H112">E112+D112</f>
        <v>48569.5</v>
      </c>
      <c r="I112" s="29">
        <f t="array" ref="I112">G112+F112</f>
        <v>0</v>
      </c>
      <c r="J112" s="29">
        <f t="array" ref="J112">D112+F112</f>
        <v>31673.375</v>
      </c>
      <c r="K112" s="29">
        <f t="array" ref="K112">E112+G112</f>
        <v>16896.125</v>
      </c>
      <c r="L112" s="29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21" t="s">
        <v>218</v>
      </c>
      <c r="B113" s="22" t="s">
        <v>219</v>
      </c>
      <c r="C113" s="30">
        <f t="array" ref="C113">H113+I113</f>
        <v>45331.53333</v>
      </c>
      <c r="D113" s="30">
        <f t="array" ref="D113">D$111/120*14</f>
        <v>29561.81667</v>
      </c>
      <c r="E113" s="30">
        <f t="array" ref="E113">E$111/120*14</f>
        <v>15769.71667</v>
      </c>
      <c r="F113" s="30">
        <f t="array" ref="F113">F$111/120*14</f>
        <v>0</v>
      </c>
      <c r="G113" s="30">
        <f t="array" ref="G113">G$111/120*14</f>
        <v>0</v>
      </c>
      <c r="H113" s="29">
        <f t="array" ref="H113">E113+D113</f>
        <v>45331.53333</v>
      </c>
      <c r="I113" s="29">
        <f t="array" ref="I113">G113+F113</f>
        <v>0</v>
      </c>
      <c r="J113" s="29">
        <f t="array" ref="J113">D113+F113</f>
        <v>29561.81667</v>
      </c>
      <c r="K113" s="29">
        <f t="array" ref="K113">E113+G113</f>
        <v>15769.71667</v>
      </c>
      <c r="L113" s="29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21" t="s">
        <v>220</v>
      </c>
      <c r="B114" s="22" t="s">
        <v>221</v>
      </c>
      <c r="C114" s="30">
        <f t="array" ref="C114">H114+I114</f>
        <v>42093.56667</v>
      </c>
      <c r="D114" s="30">
        <f t="array" ref="D114">D$111/120*13</f>
        <v>27450.25833</v>
      </c>
      <c r="E114" s="30">
        <f t="array" ref="E114">E$111/120*13</f>
        <v>14643.30833</v>
      </c>
      <c r="F114" s="30">
        <f t="array" ref="F114">F$111/120*13</f>
        <v>0</v>
      </c>
      <c r="G114" s="30">
        <f t="array" ref="G114">G$111/120*13</f>
        <v>0</v>
      </c>
      <c r="H114" s="29">
        <f t="array" ref="H114">E114+D114</f>
        <v>42093.56667</v>
      </c>
      <c r="I114" s="29">
        <f t="array" ref="I114">G114+F114</f>
        <v>0</v>
      </c>
      <c r="J114" s="29">
        <f t="array" ref="J114">D114+F114</f>
        <v>27450.25833</v>
      </c>
      <c r="K114" s="29">
        <f t="array" ref="K114">E114+G114</f>
        <v>14643.30833</v>
      </c>
      <c r="L114" s="29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21" t="s">
        <v>222</v>
      </c>
      <c r="B115" s="22" t="s">
        <v>223</v>
      </c>
      <c r="C115" s="30">
        <f t="array" ref="C115">H115+I115</f>
        <v>38855.6</v>
      </c>
      <c r="D115" s="30">
        <f t="array" ref="D115">D$111/120*12</f>
        <v>25338.7</v>
      </c>
      <c r="E115" s="30">
        <f t="array" ref="E115">E$111/120*12</f>
        <v>13516.9</v>
      </c>
      <c r="F115" s="30">
        <f t="array" ref="F115">F$111/120*12</f>
        <v>0</v>
      </c>
      <c r="G115" s="30">
        <f t="array" ref="G115">G$111/120*12</f>
        <v>0</v>
      </c>
      <c r="H115" s="29">
        <f t="array" ref="H115">E115+D115</f>
        <v>38855.6</v>
      </c>
      <c r="I115" s="29">
        <f t="array" ref="I115">G115+F115</f>
        <v>0</v>
      </c>
      <c r="J115" s="29">
        <f t="array" ref="J115">D115+F115</f>
        <v>25338.7</v>
      </c>
      <c r="K115" s="29">
        <f t="array" ref="K115">E115+G115</f>
        <v>13516.9</v>
      </c>
      <c r="L115" s="29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21" t="s">
        <v>224</v>
      </c>
      <c r="B116" s="22" t="s">
        <v>225</v>
      </c>
      <c r="C116" s="30">
        <f t="array" ref="C116">H116+I116</f>
        <v>35617.63333</v>
      </c>
      <c r="D116" s="30">
        <f t="array" ref="D116">D$111/120*11</f>
        <v>23227.14167</v>
      </c>
      <c r="E116" s="30">
        <f t="array" ref="E116">E$111/120*11</f>
        <v>12390.49167</v>
      </c>
      <c r="F116" s="30">
        <f t="array" ref="F116">F$111/120*11</f>
        <v>0</v>
      </c>
      <c r="G116" s="30">
        <f t="array" ref="G116">G$111/120*11</f>
        <v>0</v>
      </c>
      <c r="H116" s="29">
        <f t="array" ref="H116">E116+D116</f>
        <v>35617.63333</v>
      </c>
      <c r="I116" s="29">
        <f t="array" ref="I116">G116+F116</f>
        <v>0</v>
      </c>
      <c r="J116" s="29">
        <f t="array" ref="J116">D116+F116</f>
        <v>23227.14167</v>
      </c>
      <c r="K116" s="29">
        <f t="array" ref="K116">E116+G116</f>
        <v>12390.49167</v>
      </c>
      <c r="L116" s="29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21" t="s">
        <v>226</v>
      </c>
      <c r="B117" s="22" t="s">
        <v>227</v>
      </c>
      <c r="C117" s="30">
        <f t="array" ref="C117">H117+I117</f>
        <v>32379.66667</v>
      </c>
      <c r="D117" s="30">
        <f t="array" ref="D117">D$111/120*10</f>
        <v>21115.58333</v>
      </c>
      <c r="E117" s="30">
        <f t="array" ref="E117">E$111/120*10</f>
        <v>11264.08333</v>
      </c>
      <c r="F117" s="30">
        <f t="array" ref="F117">F$111/120*10</f>
        <v>0</v>
      </c>
      <c r="G117" s="30">
        <f t="array" ref="G117">G$111/120*10</f>
        <v>0</v>
      </c>
      <c r="H117" s="29">
        <f t="array" ref="H117">E117+D117</f>
        <v>32379.66667</v>
      </c>
      <c r="I117" s="29">
        <f t="array" ref="I117">G117+F117</f>
        <v>0</v>
      </c>
      <c r="J117" s="29">
        <f t="array" ref="J117">D117+F117</f>
        <v>21115.58333</v>
      </c>
      <c r="K117" s="29">
        <f t="array" ref="K117">E117+G117</f>
        <v>11264.08333</v>
      </c>
      <c r="L117" s="29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21" t="s">
        <v>228</v>
      </c>
      <c r="B118" s="22" t="s">
        <v>229</v>
      </c>
      <c r="C118" s="30">
        <f t="array" ref="C118">H118+I118</f>
        <v>29141.7</v>
      </c>
      <c r="D118" s="30">
        <f t="array" ref="D118">D$111/120*9</f>
        <v>19004.025</v>
      </c>
      <c r="E118" s="30">
        <f t="array" ref="E118">E$111/120*9</f>
        <v>10137.675</v>
      </c>
      <c r="F118" s="30">
        <f t="array" ref="F118">F$111/120*9</f>
        <v>0</v>
      </c>
      <c r="G118" s="30">
        <f t="array" ref="G118">G$111/120*9</f>
        <v>0</v>
      </c>
      <c r="H118" s="29">
        <f t="array" ref="H118">E118+D118</f>
        <v>29141.7</v>
      </c>
      <c r="I118" s="29">
        <f t="array" ref="I118">G118+F118</f>
        <v>0</v>
      </c>
      <c r="J118" s="29">
        <f t="array" ref="J118">D118+F118</f>
        <v>19004.025</v>
      </c>
      <c r="K118" s="29">
        <f t="array" ref="K118">E118+G118</f>
        <v>10137.675</v>
      </c>
      <c r="L118" s="29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21" t="s">
        <v>230</v>
      </c>
      <c r="B119" s="22" t="s">
        <v>231</v>
      </c>
      <c r="C119" s="30">
        <f t="array" ref="C119">H119+I119</f>
        <v>25903.73333</v>
      </c>
      <c r="D119" s="30">
        <f t="array" ref="D119">D$111/120*8</f>
        <v>16892.46667</v>
      </c>
      <c r="E119" s="30">
        <f t="array" ref="E119">E$111/120*8</f>
        <v>9011.266667</v>
      </c>
      <c r="F119" s="30">
        <f t="array" ref="F119">F$111/120*8</f>
        <v>0</v>
      </c>
      <c r="G119" s="30">
        <f t="array" ref="G119">G$111/120*8</f>
        <v>0</v>
      </c>
      <c r="H119" s="29">
        <f t="array" ref="H119">E119+D119</f>
        <v>25903.73333</v>
      </c>
      <c r="I119" s="29">
        <f t="array" ref="I119">G119+F119</f>
        <v>0</v>
      </c>
      <c r="J119" s="29">
        <f t="array" ref="J119">D119+F119</f>
        <v>16892.46667</v>
      </c>
      <c r="K119" s="29">
        <f t="array" ref="K119">E119+G119</f>
        <v>9011.266667</v>
      </c>
      <c r="L119" s="29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21" t="s">
        <v>232</v>
      </c>
      <c r="B120" s="22" t="s">
        <v>233</v>
      </c>
      <c r="C120" s="30">
        <f t="array" ref="C120">H120+I120</f>
        <v>22665.76667</v>
      </c>
      <c r="D120" s="30">
        <f t="array" ref="D120">D$111/120*7</f>
        <v>14780.90833</v>
      </c>
      <c r="E120" s="30">
        <f t="array" ref="E120">E$111/120*7</f>
        <v>7884.858333</v>
      </c>
      <c r="F120" s="30">
        <f t="array" ref="F120">F$111/120*7</f>
        <v>0</v>
      </c>
      <c r="G120" s="30">
        <f t="array" ref="G120">G$111/120*7</f>
        <v>0</v>
      </c>
      <c r="H120" s="29">
        <f t="array" ref="H120">E120+D120</f>
        <v>22665.76667</v>
      </c>
      <c r="I120" s="29">
        <f t="array" ref="I120">G120+F120</f>
        <v>0</v>
      </c>
      <c r="J120" s="29">
        <f t="array" ref="J120">D120+F120</f>
        <v>14780.90833</v>
      </c>
      <c r="K120" s="29">
        <f t="array" ref="K120">E120+G120</f>
        <v>7884.858333</v>
      </c>
      <c r="L120" s="29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21" t="s">
        <v>234</v>
      </c>
      <c r="B121" s="22" t="s">
        <v>235</v>
      </c>
      <c r="C121" s="30">
        <f t="array" ref="C121">H121+I121</f>
        <v>19427.8</v>
      </c>
      <c r="D121" s="30">
        <f t="array" ref="D121">D$111/120*6</f>
        <v>12669.35</v>
      </c>
      <c r="E121" s="30">
        <f t="array" ref="E121">E$111/120*6</f>
        <v>6758.45</v>
      </c>
      <c r="F121" s="30">
        <f t="array" ref="F121">F$111/120*6</f>
        <v>0</v>
      </c>
      <c r="G121" s="30">
        <f t="array" ref="G121">G$111/120*6</f>
        <v>0</v>
      </c>
      <c r="H121" s="29">
        <f t="array" ref="H121">E121+D121</f>
        <v>19427.8</v>
      </c>
      <c r="I121" s="29">
        <f t="array" ref="I121">G121+F121</f>
        <v>0</v>
      </c>
      <c r="J121" s="29">
        <f t="array" ref="J121">D121+F121</f>
        <v>12669.35</v>
      </c>
      <c r="K121" s="29">
        <f t="array" ref="K121">E121+G121</f>
        <v>6758.45</v>
      </c>
      <c r="L121" s="29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21" t="s">
        <v>236</v>
      </c>
      <c r="B122" s="22" t="s">
        <v>237</v>
      </c>
      <c r="C122" s="30">
        <f t="array" ref="C122">H122+I122</f>
        <v>16189.83333</v>
      </c>
      <c r="D122" s="30">
        <f t="array" ref="D122">D$111/120*5</f>
        <v>10557.79167</v>
      </c>
      <c r="E122" s="30">
        <f t="array" ref="E122">E$111/120*5</f>
        <v>5632.041667</v>
      </c>
      <c r="F122" s="30">
        <f t="array" ref="F122">F$111/120*5</f>
        <v>0</v>
      </c>
      <c r="G122" s="30">
        <f t="array" ref="G122">G$111/120*5</f>
        <v>0</v>
      </c>
      <c r="H122" s="29">
        <f t="array" ref="H122">E122+D122</f>
        <v>16189.83333</v>
      </c>
      <c r="I122" s="29">
        <f t="array" ref="I122">G122+F122</f>
        <v>0</v>
      </c>
      <c r="J122" s="29">
        <f t="array" ref="J122">D122+F122</f>
        <v>10557.79167</v>
      </c>
      <c r="K122" s="29">
        <f t="array" ref="K122">E122+G122</f>
        <v>5632.041667</v>
      </c>
      <c r="L122" s="29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21" t="s">
        <v>238</v>
      </c>
      <c r="B123" s="22" t="s">
        <v>239</v>
      </c>
      <c r="C123" s="30">
        <f t="array" ref="C123">H123+I123</f>
        <v>12951.86667</v>
      </c>
      <c r="D123" s="30">
        <f t="array" ref="D123">D$111/120*4</f>
        <v>8446.233333</v>
      </c>
      <c r="E123" s="30">
        <f t="array" ref="E123">E$111/120*4</f>
        <v>4505.633333</v>
      </c>
      <c r="F123" s="30">
        <f t="array" ref="F123">F$111/120*4</f>
        <v>0</v>
      </c>
      <c r="G123" s="30">
        <f t="array" ref="G123">G$111/120*4</f>
        <v>0</v>
      </c>
      <c r="H123" s="29">
        <f t="array" ref="H123">E123+D123</f>
        <v>12951.86667</v>
      </c>
      <c r="I123" s="29">
        <f t="array" ref="I123">G123+F123</f>
        <v>0</v>
      </c>
      <c r="J123" s="29">
        <f t="array" ref="J123">D123+F123</f>
        <v>8446.233333</v>
      </c>
      <c r="K123" s="29">
        <f t="array" ref="K123">E123+G123</f>
        <v>4505.633333</v>
      </c>
      <c r="L123" s="29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21" t="s">
        <v>240</v>
      </c>
      <c r="B124" s="22" t="s">
        <v>241</v>
      </c>
      <c r="C124" s="30">
        <f t="array" ref="C124">H124+I124</f>
        <v>9713.9</v>
      </c>
      <c r="D124" s="30">
        <f t="array" ref="D124">D$111/120*3</f>
        <v>6334.675</v>
      </c>
      <c r="E124" s="30">
        <f t="array" ref="E124">E$111/120*3</f>
        <v>3379.225</v>
      </c>
      <c r="F124" s="30">
        <f t="array" ref="F124">F$111/120*3</f>
        <v>0</v>
      </c>
      <c r="G124" s="30">
        <f t="array" ref="G124">G$111/120*3</f>
        <v>0</v>
      </c>
      <c r="H124" s="29">
        <f t="array" ref="H124">E124+D124</f>
        <v>9713.9</v>
      </c>
      <c r="I124" s="29">
        <f t="array" ref="I124">G124+F124</f>
        <v>0</v>
      </c>
      <c r="J124" s="29">
        <f t="array" ref="J124">D124+F124</f>
        <v>6334.675</v>
      </c>
      <c r="K124" s="29">
        <f t="array" ref="K124">E124+G124</f>
        <v>3379.225</v>
      </c>
      <c r="L124" s="29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21" t="s">
        <v>242</v>
      </c>
      <c r="B125" s="22" t="s">
        <v>243</v>
      </c>
      <c r="C125" s="30">
        <f t="array" ref="C125">H125+I125</f>
        <v>6475.933333</v>
      </c>
      <c r="D125" s="30">
        <f t="array" ref="D125">D$111/120*2</f>
        <v>4223.116667</v>
      </c>
      <c r="E125" s="30">
        <f t="array" ref="E125">E$111/120*2</f>
        <v>2252.816667</v>
      </c>
      <c r="F125" s="30">
        <f t="array" ref="F125">F$111/120*2</f>
        <v>0</v>
      </c>
      <c r="G125" s="30">
        <f t="array" ref="G125">G$111/120*2</f>
        <v>0</v>
      </c>
      <c r="H125" s="29">
        <f t="array" ref="H125">E125+D125</f>
        <v>6475.933333</v>
      </c>
      <c r="I125" s="29">
        <f t="array" ref="I125">G125+F125</f>
        <v>0</v>
      </c>
      <c r="J125" s="29">
        <f t="array" ref="J125">D125+F125</f>
        <v>4223.116667</v>
      </c>
      <c r="K125" s="29">
        <f t="array" ref="K125">E125+G125</f>
        <v>2252.816667</v>
      </c>
      <c r="L125" s="29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21" t="s">
        <v>244</v>
      </c>
      <c r="B126" s="22" t="s">
        <v>245</v>
      </c>
      <c r="C126" s="30">
        <f t="array" ref="C126">H126+I126</f>
        <v>3237.966667</v>
      </c>
      <c r="D126" s="30">
        <f t="array" ref="D126">D$111/120*1</f>
        <v>2111.558333</v>
      </c>
      <c r="E126" s="30">
        <f t="array" ref="E126">E$111/120*1</f>
        <v>1126.408333</v>
      </c>
      <c r="F126" s="30">
        <f t="array" ref="F126">F$111/120*1</f>
        <v>0</v>
      </c>
      <c r="G126" s="30">
        <f t="array" ref="G126">G$111/120*1</f>
        <v>0</v>
      </c>
      <c r="H126" s="29">
        <f t="array" ref="H126">E126+D126</f>
        <v>3237.966667</v>
      </c>
      <c r="I126" s="29">
        <f t="array" ref="I126">G126+F126</f>
        <v>0</v>
      </c>
      <c r="J126" s="29">
        <f t="array" ref="J126">D126+F126</f>
        <v>2111.558333</v>
      </c>
      <c r="K126" s="29">
        <f t="array" ref="K126">E126+G126</f>
        <v>1126.408333</v>
      </c>
      <c r="L126" s="29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21" t="s">
        <v>246</v>
      </c>
      <c r="B127" s="22" t="s">
        <v>247</v>
      </c>
      <c r="C127" s="30">
        <f t="array" ref="C127">SUM(C19:C126)</f>
        <v>10749635</v>
      </c>
      <c r="D127" s="30">
        <f t="array" ref="D127">SUM(D19:D126)-D111</f>
        <v>4931543</v>
      </c>
      <c r="E127" s="30">
        <f t="array" ref="E127">SUM(E19:E126)-E111</f>
        <v>4274391</v>
      </c>
      <c r="F127" s="30">
        <f t="array" ref="F127">SUM(F19:F126)-F111</f>
        <v>1332231</v>
      </c>
      <c r="G127" s="30">
        <f t="array" ref="G127">SUM(G19:G126)-G111</f>
        <v>1707342</v>
      </c>
      <c r="H127" s="29">
        <f t="array" ref="H127">SUM(H19:H126)</f>
        <v>9205934</v>
      </c>
      <c r="I127" s="29">
        <f t="array" ref="I127">SUM(I19:I126)</f>
        <v>1543701</v>
      </c>
      <c r="J127" s="29">
        <f t="array" ref="J127">D127+F127</f>
        <v>6263774</v>
      </c>
      <c r="K127" s="29">
        <f t="array" ref="K127">E127+G127</f>
        <v>5981733</v>
      </c>
      <c r="L127" s="29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21" t="s">
        <v>248</v>
      </c>
      <c r="B129" s="22" t="s">
        <v>249</v>
      </c>
      <c r="C129" s="28">
        <v>2024.0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11"/>
      <c r="B130" s="12"/>
      <c r="C130" s="29"/>
      <c r="D130" s="13"/>
      <c r="E130" s="13"/>
      <c r="F130" s="13"/>
      <c r="G130" s="13"/>
      <c r="H130" s="13"/>
      <c r="I130" s="13"/>
      <c r="J130" s="13"/>
      <c r="K130" s="13"/>
      <c r="L130" s="1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79.5" customHeight="1">
      <c r="A131" s="21" t="s">
        <v>250</v>
      </c>
      <c r="B131" s="22" t="s">
        <v>39</v>
      </c>
      <c r="C131" s="26" t="str">
        <f t="array" ref="C131">IF(C132="","?",C132)&amp;IF(C133="","","; downloaded "&amp;C133)&amp;IF(C134="","","; "&amp;C134)</f>
        <v>https://aima.gov.pt/media/pages/documents/fec4d6a712-1760603125/relatorio-migracoes-e-asilo-2024.pdf; downloaded 46122; numbers of migrants only available in batches that were distributed evenly; numbers for ages over 85 geometrically distributed</v>
      </c>
      <c r="D131" s="25"/>
      <c r="E131" s="25"/>
      <c r="F131" s="25"/>
      <c r="G131" s="25"/>
      <c r="H131" s="25"/>
      <c r="I131" s="25"/>
      <c r="J131" s="25"/>
      <c r="K131" s="25"/>
      <c r="L131" s="2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3.5" customHeight="1">
      <c r="A132" s="11"/>
      <c r="B132" s="22" t="s">
        <v>40</v>
      </c>
      <c r="C132" s="23" t="s">
        <v>41</v>
      </c>
      <c r="D132" s="25"/>
      <c r="E132" s="25"/>
      <c r="F132" s="25"/>
      <c r="G132" s="25"/>
      <c r="H132" s="25"/>
      <c r="I132" s="25"/>
      <c r="J132" s="25"/>
      <c r="K132" s="25"/>
      <c r="L132" s="25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11"/>
      <c r="B133" s="22" t="s">
        <v>42</v>
      </c>
      <c r="C133" s="27">
        <v>46122.0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3.5" customHeight="1">
      <c r="A134" s="11"/>
      <c r="B134" s="22" t="s">
        <v>43</v>
      </c>
      <c r="C134" s="23" t="s">
        <v>251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11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11"/>
      <c r="B136" s="22" t="s">
        <v>252</v>
      </c>
      <c r="C136" s="32">
        <f t="array" ref="C136">I127/(H127+I127)</f>
        <v>0.1436049689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11"/>
      <c r="B137" s="12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6.25" customHeight="1">
      <c r="A138" s="17"/>
      <c r="B138" s="18" t="s">
        <v>253</v>
      </c>
      <c r="C138" s="24" t="s">
        <v>254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1.5" customHeight="1">
      <c r="A139" s="11"/>
      <c r="B139" s="33" t="s">
        <v>255</v>
      </c>
      <c r="C139" s="30">
        <f t="array" ref="C139">D139+E139+F139+G139</f>
        <v>0</v>
      </c>
      <c r="D139" s="30">
        <f t="array" ref="D139">IF($H$245=0,0,D$19*H139/$H$245)</f>
        <v>0</v>
      </c>
      <c r="E139" s="30">
        <f t="array" ref="E139">IF($H$245=0,0,E$19*H139/$H$245)</f>
        <v>0</v>
      </c>
      <c r="F139" s="30">
        <f t="array" ref="F139">IF($I$245=0,0,F$19*I139/$I$245)</f>
        <v>0</v>
      </c>
      <c r="G139" s="30">
        <f t="array" ref="G139">IF($I$245=0,0,G$19*I139/$I$245)</f>
        <v>0</v>
      </c>
      <c r="H139" s="34"/>
      <c r="I139" s="34"/>
      <c r="J139" s="29"/>
      <c r="K139" s="29"/>
      <c r="L139" s="1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1.5" customHeight="1">
      <c r="A140" s="11"/>
      <c r="B140" s="33" t="s">
        <v>256</v>
      </c>
      <c r="C140" s="30">
        <f t="array" ref="C140">D140+E140+F140+G140</f>
        <v>0</v>
      </c>
      <c r="D140" s="30">
        <f t="array" ref="D140">IF($J$245=0,0,D$19*$J140/$J$245)</f>
        <v>0</v>
      </c>
      <c r="E140" s="30">
        <f t="array" ref="E140">IF($J$245=0,0,E$19*$J140/$J$245)</f>
        <v>0</v>
      </c>
      <c r="F140" s="30">
        <f t="array" ref="F140">IF($J$245=0,0,F$19*$J140/$J$245)</f>
        <v>0</v>
      </c>
      <c r="G140" s="30">
        <f t="array" ref="G140">IF($J$245=0,0,G$19*$J140/$J$245)</f>
        <v>0</v>
      </c>
      <c r="H140" s="29"/>
      <c r="I140" s="29"/>
      <c r="J140" s="28"/>
      <c r="K140" s="29"/>
      <c r="L140" s="1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1.5" customHeight="1">
      <c r="A141" s="11"/>
      <c r="B141" s="33" t="s">
        <v>257</v>
      </c>
      <c r="C141" s="30">
        <f t="array" ref="C141">D141+E141+F141+G141</f>
        <v>0</v>
      </c>
      <c r="D141" s="30">
        <f t="array" ref="D141">IF($H$245=0,0,D$19*H141/$H$245)</f>
        <v>0</v>
      </c>
      <c r="E141" s="30">
        <f t="array" ref="E141">IF($H$245=0,0,E$19*H141/$H$245)</f>
        <v>0</v>
      </c>
      <c r="F141" s="30">
        <f t="array" ref="F141">IF($I$245=0,0,F$19*I141/$I$245)</f>
        <v>0</v>
      </c>
      <c r="G141" s="30">
        <f t="array" ref="G141">IF($I$245=0,0,G$19*I141/$I$245)</f>
        <v>0</v>
      </c>
      <c r="H141" s="30">
        <f t="array" ref="H141">H$143*$L141</f>
        <v>0</v>
      </c>
      <c r="I141" s="30">
        <f t="array" ref="I141">I$143*$L141</f>
        <v>0</v>
      </c>
      <c r="J141" s="29"/>
      <c r="K141" s="29"/>
      <c r="L141" s="1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1.5" customHeight="1">
      <c r="A142" s="11"/>
      <c r="B142" s="33" t="s">
        <v>258</v>
      </c>
      <c r="C142" s="30">
        <f t="array" ref="C142">D142+E142+F142+G142</f>
        <v>0</v>
      </c>
      <c r="D142" s="30">
        <f t="array" ref="D142">IF($J$245=0,0,D$19*$J142/$J$245)</f>
        <v>0</v>
      </c>
      <c r="E142" s="30">
        <f t="array" ref="E142">IF($J$245=0,0,E$19*$J142/$J$245)</f>
        <v>0</v>
      </c>
      <c r="F142" s="30">
        <f t="array" ref="F142">IF($J$245=0,0,F$19*$J142/$J$245)</f>
        <v>0</v>
      </c>
      <c r="G142" s="30">
        <f t="array" ref="G142">IF($J$245=0,0,G$19*$J142/$J$245)</f>
        <v>0</v>
      </c>
      <c r="H142" s="29"/>
      <c r="I142" s="29"/>
      <c r="J142" s="30">
        <f t="array" ref="J142">J$143*$L142</f>
        <v>0</v>
      </c>
      <c r="K142" s="29"/>
      <c r="L142" s="1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1.5" customHeight="1">
      <c r="A143" s="11"/>
      <c r="B143" s="33" t="s">
        <v>259</v>
      </c>
      <c r="C143" s="13"/>
      <c r="D143" s="13"/>
      <c r="E143" s="13"/>
      <c r="F143" s="13"/>
      <c r="G143" s="13"/>
      <c r="H143" s="34">
        <v>56691.0</v>
      </c>
      <c r="I143" s="34">
        <v>27940.0</v>
      </c>
      <c r="J143" s="34"/>
      <c r="K143" s="13"/>
      <c r="L143" s="1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11"/>
      <c r="B144" s="12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21" t="s">
        <v>260</v>
      </c>
      <c r="B145" s="22" t="s">
        <v>47</v>
      </c>
      <c r="C145" s="30">
        <f t="array" ref="C145">D145+E145+F145+G145</f>
        <v>0</v>
      </c>
      <c r="D145" s="30">
        <f t="array" ref="D145">IF($H$245=0,0,D$19*H145/$H$245)</f>
        <v>0</v>
      </c>
      <c r="E145" s="30">
        <f t="array" ref="E145">IF($H$245=0,0,E$19*H145/$H$245)</f>
        <v>0</v>
      </c>
      <c r="F145" s="30">
        <f t="array" ref="F145">IF($I$245=0,0,F$19*I145/$I$245)</f>
        <v>0</v>
      </c>
      <c r="G145" s="30">
        <f t="array" ref="G145">IF($I$245=0,0,G$19*I145/$I$245)</f>
        <v>0</v>
      </c>
      <c r="H145" s="30">
        <f t="array" ref="H145">H$143*$L145</f>
        <v>0</v>
      </c>
      <c r="I145" s="30">
        <f t="array" ref="I145">I$143*$L145</f>
        <v>0</v>
      </c>
      <c r="J145" s="29"/>
      <c r="K145" s="29"/>
      <c r="L145" s="1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21" t="s">
        <v>261</v>
      </c>
      <c r="B146" s="22" t="s">
        <v>49</v>
      </c>
      <c r="C146" s="30">
        <f t="array" ref="C146">D146+E146+F146+G146</f>
        <v>0</v>
      </c>
      <c r="D146" s="30">
        <f t="array" ref="D146">IF($H$245=0,0,D$19*H146/$H$245)</f>
        <v>0</v>
      </c>
      <c r="E146" s="30">
        <f t="array" ref="E146">IF($H$245=0,0,E$19*H146/$H$245)</f>
        <v>0</v>
      </c>
      <c r="F146" s="30">
        <f t="array" ref="F146">IF($I$245=0,0,F$19*I146/$I$245)</f>
        <v>0</v>
      </c>
      <c r="G146" s="30">
        <f t="array" ref="G146">IF($I$245=0,0,G$19*I146/$I$245)</f>
        <v>0</v>
      </c>
      <c r="H146" s="30">
        <f t="array" ref="H146">H$143*$L146</f>
        <v>0</v>
      </c>
      <c r="I146" s="30">
        <f t="array" ref="I146">I$143*$L146</f>
        <v>0</v>
      </c>
      <c r="J146" s="29"/>
      <c r="K146" s="29"/>
      <c r="L146" s="1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21" t="s">
        <v>262</v>
      </c>
      <c r="B147" s="22" t="s">
        <v>51</v>
      </c>
      <c r="C147" s="30">
        <f t="array" ref="C147">D147+E147+F147+G147</f>
        <v>0</v>
      </c>
      <c r="D147" s="30">
        <f t="array" ref="D147">IF($H$245=0,0,D$19*H147/$H$245)</f>
        <v>0</v>
      </c>
      <c r="E147" s="30">
        <f t="array" ref="E147">IF($H$245=0,0,E$19*H147/$H$245)</f>
        <v>0</v>
      </c>
      <c r="F147" s="30">
        <f t="array" ref="F147">IF($I$245=0,0,F$19*I147/$I$245)</f>
        <v>0</v>
      </c>
      <c r="G147" s="30">
        <f t="array" ref="G147">IF($I$245=0,0,G$19*I147/$I$245)</f>
        <v>0</v>
      </c>
      <c r="H147" s="30">
        <f t="array" ref="H147">H$143*$L147</f>
        <v>0</v>
      </c>
      <c r="I147" s="30">
        <f t="array" ref="I147">I$143*$L147</f>
        <v>0</v>
      </c>
      <c r="J147" s="29"/>
      <c r="K147" s="29"/>
      <c r="L147" s="1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21" t="s">
        <v>263</v>
      </c>
      <c r="B148" s="22" t="s">
        <v>53</v>
      </c>
      <c r="C148" s="30">
        <f t="array" ref="C148">D148+E148+F148+G148</f>
        <v>0</v>
      </c>
      <c r="D148" s="30">
        <f t="array" ref="D148">IF($H$245=0,0,D$19*H148/$H$245)</f>
        <v>0</v>
      </c>
      <c r="E148" s="30">
        <f t="array" ref="E148">IF($H$245=0,0,E$19*H148/$H$245)</f>
        <v>0</v>
      </c>
      <c r="F148" s="30">
        <f t="array" ref="F148">IF($I$245=0,0,F$19*I148/$I$245)</f>
        <v>0</v>
      </c>
      <c r="G148" s="30">
        <f t="array" ref="G148">IF($I$245=0,0,G$19*I148/$I$245)</f>
        <v>0</v>
      </c>
      <c r="H148" s="30">
        <f t="array" ref="H148">H$143*$L148</f>
        <v>0</v>
      </c>
      <c r="I148" s="30">
        <f t="array" ref="I148">I$143*$L148</f>
        <v>0</v>
      </c>
      <c r="J148" s="29"/>
      <c r="K148" s="29"/>
      <c r="L148" s="1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21" t="s">
        <v>264</v>
      </c>
      <c r="B149" s="22" t="s">
        <v>55</v>
      </c>
      <c r="C149" s="30">
        <f t="array" ref="C149">D149+E149+F149+G149</f>
        <v>0</v>
      </c>
      <c r="D149" s="30">
        <f t="array" ref="D149">IF($H$245=0,0,D$19*H149/$H$245)</f>
        <v>0</v>
      </c>
      <c r="E149" s="30">
        <f t="array" ref="E149">IF($H$245=0,0,E$19*H149/$H$245)</f>
        <v>0</v>
      </c>
      <c r="F149" s="30">
        <f t="array" ref="F149">IF($I$245=0,0,F$19*I149/$I$245)</f>
        <v>0</v>
      </c>
      <c r="G149" s="30">
        <f t="array" ref="G149">IF($I$245=0,0,G$19*I149/$I$245)</f>
        <v>0</v>
      </c>
      <c r="H149" s="30">
        <f t="array" ref="H149">H$143*$L149</f>
        <v>0</v>
      </c>
      <c r="I149" s="30">
        <f t="array" ref="I149">I$143*$L149</f>
        <v>0</v>
      </c>
      <c r="J149" s="29"/>
      <c r="K149" s="29"/>
      <c r="L149" s="1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21" t="s">
        <v>265</v>
      </c>
      <c r="B150" s="22" t="s">
        <v>57</v>
      </c>
      <c r="C150" s="30">
        <f t="array" ref="C150">D150+E150+F150+G150</f>
        <v>0</v>
      </c>
      <c r="D150" s="30">
        <f t="array" ref="D150">IF($H$245=0,0,D$19*H150/$H$245)</f>
        <v>0</v>
      </c>
      <c r="E150" s="30">
        <f t="array" ref="E150">IF($H$245=0,0,E$19*H150/$H$245)</f>
        <v>0</v>
      </c>
      <c r="F150" s="30">
        <f t="array" ref="F150">IF($I$245=0,0,F$19*I150/$I$245)</f>
        <v>0</v>
      </c>
      <c r="G150" s="30">
        <f t="array" ref="G150">IF($I$245=0,0,G$19*I150/$I$245)</f>
        <v>0</v>
      </c>
      <c r="H150" s="30">
        <f t="array" ref="H150">H$143*$L150</f>
        <v>0</v>
      </c>
      <c r="I150" s="30">
        <f t="array" ref="I150">I$143*$L150</f>
        <v>0</v>
      </c>
      <c r="J150" s="29"/>
      <c r="K150" s="29"/>
      <c r="L150" s="1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21" t="s">
        <v>266</v>
      </c>
      <c r="B151" s="22" t="s">
        <v>59</v>
      </c>
      <c r="C151" s="30">
        <f t="array" ref="C151">D151+E151+F151+G151</f>
        <v>0</v>
      </c>
      <c r="D151" s="30">
        <f t="array" ref="D151">IF($H$245=0,0,D$19*H151/$H$245)</f>
        <v>0</v>
      </c>
      <c r="E151" s="30">
        <f t="array" ref="E151">IF($H$245=0,0,E$19*H151/$H$245)</f>
        <v>0</v>
      </c>
      <c r="F151" s="30">
        <f t="array" ref="F151">IF($I$245=0,0,F$19*I151/$I$245)</f>
        <v>0</v>
      </c>
      <c r="G151" s="30">
        <f t="array" ref="G151">IF($I$245=0,0,G$19*I151/$I$245)</f>
        <v>0</v>
      </c>
      <c r="H151" s="30">
        <f t="array" ref="H151">H$143*$L151</f>
        <v>0</v>
      </c>
      <c r="I151" s="30">
        <f t="array" ref="I151">I$143*$L151</f>
        <v>0</v>
      </c>
      <c r="J151" s="29"/>
      <c r="K151" s="29"/>
      <c r="L151" s="1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21" t="s">
        <v>267</v>
      </c>
      <c r="B152" s="22" t="s">
        <v>61</v>
      </c>
      <c r="C152" s="30">
        <f t="array" ref="C152">D152+E152+F152+G152</f>
        <v>0</v>
      </c>
      <c r="D152" s="30">
        <f t="array" ref="D152">IF($H$245=0,0,D$19*H152/$H$245)</f>
        <v>0</v>
      </c>
      <c r="E152" s="30">
        <f t="array" ref="E152">IF($H$245=0,0,E$19*H152/$H$245)</f>
        <v>0</v>
      </c>
      <c r="F152" s="30">
        <f t="array" ref="F152">IF($I$245=0,0,F$19*I152/$I$245)</f>
        <v>0</v>
      </c>
      <c r="G152" s="30">
        <f t="array" ref="G152">IF($I$245=0,0,G$19*I152/$I$245)</f>
        <v>0</v>
      </c>
      <c r="H152" s="30">
        <f t="array" ref="H152">H$143*$L152</f>
        <v>0</v>
      </c>
      <c r="I152" s="30">
        <f t="array" ref="I152">I$143*$L152</f>
        <v>0</v>
      </c>
      <c r="J152" s="29"/>
      <c r="K152" s="29"/>
      <c r="L152" s="1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21" t="s">
        <v>268</v>
      </c>
      <c r="B153" s="22" t="s">
        <v>63</v>
      </c>
      <c r="C153" s="30">
        <f t="array" ref="C153">D153+E153+F153+G153</f>
        <v>0</v>
      </c>
      <c r="D153" s="30">
        <f t="array" ref="D153">IF($H$245=0,0,D$19*H153/$H$245)</f>
        <v>0</v>
      </c>
      <c r="E153" s="30">
        <f t="array" ref="E153">IF($H$245=0,0,E$19*H153/$H$245)</f>
        <v>0</v>
      </c>
      <c r="F153" s="30">
        <f t="array" ref="F153">IF($I$245=0,0,F$19*I153/$I$245)</f>
        <v>0</v>
      </c>
      <c r="G153" s="30">
        <f t="array" ref="G153">IF($I$245=0,0,G$19*I153/$I$245)</f>
        <v>0</v>
      </c>
      <c r="H153" s="30">
        <f t="array" ref="H153">H$143*$L153</f>
        <v>0</v>
      </c>
      <c r="I153" s="30">
        <f t="array" ref="I153">I$143*$L153</f>
        <v>0</v>
      </c>
      <c r="J153" s="29"/>
      <c r="K153" s="29"/>
      <c r="L153" s="1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21" t="s">
        <v>269</v>
      </c>
      <c r="B154" s="22" t="s">
        <v>65</v>
      </c>
      <c r="C154" s="30">
        <f t="array" ref="C154">D154+E154+F154+G154</f>
        <v>0</v>
      </c>
      <c r="D154" s="30">
        <f t="array" ref="D154">IF($H$245=0,0,D$19*H154/$H$245)</f>
        <v>0</v>
      </c>
      <c r="E154" s="30">
        <f t="array" ref="E154">IF($H$245=0,0,E$19*H154/$H$245)</f>
        <v>0</v>
      </c>
      <c r="F154" s="30">
        <f t="array" ref="F154">IF($I$245=0,0,F$19*I154/$I$245)</f>
        <v>0</v>
      </c>
      <c r="G154" s="30">
        <f t="array" ref="G154">IF($I$245=0,0,G$19*I154/$I$245)</f>
        <v>0</v>
      </c>
      <c r="H154" s="30">
        <f t="array" ref="H154">H$143*$L154</f>
        <v>0</v>
      </c>
      <c r="I154" s="30">
        <f t="array" ref="I154">I$143*$L154</f>
        <v>0</v>
      </c>
      <c r="J154" s="29"/>
      <c r="K154" s="29"/>
      <c r="L154" s="1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21" t="s">
        <v>270</v>
      </c>
      <c r="B155" s="22" t="s">
        <v>67</v>
      </c>
      <c r="C155" s="30">
        <f t="array" ref="C155">D155+E155+F155+G155</f>
        <v>0</v>
      </c>
      <c r="D155" s="30">
        <f t="array" ref="D155">IF($H$245=0,0,D$19*H155/$H$245)</f>
        <v>0</v>
      </c>
      <c r="E155" s="30">
        <f t="array" ref="E155">IF($H$245=0,0,E$19*H155/$H$245)</f>
        <v>0</v>
      </c>
      <c r="F155" s="30">
        <f t="array" ref="F155">IF($I$245=0,0,F$19*I155/$I$245)</f>
        <v>0</v>
      </c>
      <c r="G155" s="30">
        <f t="array" ref="G155">IF($I$245=0,0,G$19*I155/$I$245)</f>
        <v>0</v>
      </c>
      <c r="H155" s="30">
        <f t="array" ref="H155">H$143*$L155</f>
        <v>0</v>
      </c>
      <c r="I155" s="30">
        <f t="array" ref="I155">I$143*$L155</f>
        <v>0</v>
      </c>
      <c r="J155" s="29"/>
      <c r="K155" s="29"/>
      <c r="L155" s="1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21" t="s">
        <v>271</v>
      </c>
      <c r="B156" s="22" t="s">
        <v>69</v>
      </c>
      <c r="C156" s="30">
        <f t="array" ref="C156">D156+E156+F156+G156</f>
        <v>0</v>
      </c>
      <c r="D156" s="30">
        <f t="array" ref="D156">IF($H$245=0,0,D$19*H156/$H$245)</f>
        <v>0</v>
      </c>
      <c r="E156" s="30">
        <f t="array" ref="E156">IF($H$245=0,0,E$19*H156/$H$245)</f>
        <v>0</v>
      </c>
      <c r="F156" s="30">
        <f t="array" ref="F156">IF($I$245=0,0,F$19*I156/$I$245)</f>
        <v>0</v>
      </c>
      <c r="G156" s="30">
        <f t="array" ref="G156">IF($I$245=0,0,G$19*I156/$I$245)</f>
        <v>0</v>
      </c>
      <c r="H156" s="30">
        <f t="array" ref="H156">H$143*$L156</f>
        <v>0</v>
      </c>
      <c r="I156" s="30">
        <f t="array" ref="I156">I$143*$L156</f>
        <v>0</v>
      </c>
      <c r="J156" s="29"/>
      <c r="K156" s="29"/>
      <c r="L156" s="1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21" t="s">
        <v>272</v>
      </c>
      <c r="B157" s="22" t="s">
        <v>71</v>
      </c>
      <c r="C157" s="30">
        <f t="array" ref="C157">D157+E157+F157+G157</f>
        <v>0</v>
      </c>
      <c r="D157" s="30">
        <f t="array" ref="D157">IF($H$245=0,0,D$19*H157/$H$245)</f>
        <v>0</v>
      </c>
      <c r="E157" s="30">
        <f t="array" ref="E157">IF($H$245=0,0,E$19*H157/$H$245)</f>
        <v>0</v>
      </c>
      <c r="F157" s="30">
        <f t="array" ref="F157">IF($I$245=0,0,F$19*I157/$I$245)</f>
        <v>0</v>
      </c>
      <c r="G157" s="30">
        <f t="array" ref="G157">IF($I$245=0,0,G$19*I157/$I$245)</f>
        <v>0</v>
      </c>
      <c r="H157" s="30">
        <f t="array" ref="H157">H$143*$L157</f>
        <v>0</v>
      </c>
      <c r="I157" s="30">
        <f t="array" ref="I157">I$143*$L157</f>
        <v>0</v>
      </c>
      <c r="J157" s="29"/>
      <c r="K157" s="29"/>
      <c r="L157" s="1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21" t="s">
        <v>273</v>
      </c>
      <c r="B158" s="22" t="s">
        <v>73</v>
      </c>
      <c r="C158" s="30">
        <f t="array" ref="C158">D158+E158+F158+G158</f>
        <v>0</v>
      </c>
      <c r="D158" s="30">
        <f t="array" ref="D158">IF($H$245=0,0,D$19*H158/$H$245)</f>
        <v>0</v>
      </c>
      <c r="E158" s="30">
        <f t="array" ref="E158">IF($H$245=0,0,E$19*H158/$H$245)</f>
        <v>0</v>
      </c>
      <c r="F158" s="30">
        <f t="array" ref="F158">IF($I$245=0,0,F$19*I158/$I$245)</f>
        <v>0</v>
      </c>
      <c r="G158" s="30">
        <f t="array" ref="G158">IF($I$245=0,0,G$19*I158/$I$245)</f>
        <v>0</v>
      </c>
      <c r="H158" s="30">
        <f t="array" ref="H158">H$143*$L158</f>
        <v>0</v>
      </c>
      <c r="I158" s="30">
        <f t="array" ref="I158">I$143*$L158</f>
        <v>0</v>
      </c>
      <c r="J158" s="29"/>
      <c r="K158" s="29"/>
      <c r="L158" s="1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21" t="s">
        <v>274</v>
      </c>
      <c r="B159" s="22" t="s">
        <v>75</v>
      </c>
      <c r="C159" s="30">
        <f t="array" ref="C159">D159+E159+F159+G159</f>
        <v>0</v>
      </c>
      <c r="D159" s="30">
        <f t="array" ref="D159">IF($H$245=0,0,D$19*H159/$H$245)</f>
        <v>0</v>
      </c>
      <c r="E159" s="30">
        <f t="array" ref="E159">IF($H$245=0,0,E$19*H159/$H$245)</f>
        <v>0</v>
      </c>
      <c r="F159" s="30">
        <f t="array" ref="F159">IF($I$245=0,0,F$19*I159/$I$245)</f>
        <v>0</v>
      </c>
      <c r="G159" s="30">
        <f t="array" ref="G159">IF($I$245=0,0,G$19*I159/$I$245)</f>
        <v>0</v>
      </c>
      <c r="H159" s="30">
        <f t="array" ref="H159">H$143*$L159</f>
        <v>0</v>
      </c>
      <c r="I159" s="30">
        <f t="array" ref="I159">I$143*$L159</f>
        <v>0</v>
      </c>
      <c r="J159" s="29"/>
      <c r="K159" s="29"/>
      <c r="L159" s="1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21" t="s">
        <v>275</v>
      </c>
      <c r="B160" s="22" t="s">
        <v>77</v>
      </c>
      <c r="C160" s="30">
        <f t="array" ref="C160">D160+E160+F160+G160</f>
        <v>0</v>
      </c>
      <c r="D160" s="30">
        <f t="array" ref="D160">IF($H$245=0,0,D$19*H160/$H$245)</f>
        <v>0</v>
      </c>
      <c r="E160" s="30">
        <f t="array" ref="E160">IF($H$245=0,0,E$19*H160/$H$245)</f>
        <v>0</v>
      </c>
      <c r="F160" s="30">
        <f t="array" ref="F160">IF($I$245=0,0,F$19*I160/$I$245)</f>
        <v>0</v>
      </c>
      <c r="G160" s="30">
        <f t="array" ref="G160">IF($I$245=0,0,G$19*I160/$I$245)</f>
        <v>0</v>
      </c>
      <c r="H160" s="30">
        <f t="array" ref="H160">H$143*$L160</f>
        <v>0</v>
      </c>
      <c r="I160" s="30">
        <f t="array" ref="I160">I$143*$L160</f>
        <v>0</v>
      </c>
      <c r="J160" s="29"/>
      <c r="K160" s="29"/>
      <c r="L160" s="2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21" t="s">
        <v>276</v>
      </c>
      <c r="B161" s="22" t="s">
        <v>79</v>
      </c>
      <c r="C161" s="30">
        <f t="array" ref="C161">D161+E161+F161+G161</f>
        <v>586.5893416</v>
      </c>
      <c r="D161" s="30">
        <f t="array" ref="D161">IF($H$245=0,0,D$19*H161/$H$245)</f>
        <v>268.6914133</v>
      </c>
      <c r="E161" s="30">
        <f t="array" ref="E161">IF($H$245=0,0,E$19*H161/$H$245)</f>
        <v>284.8255244</v>
      </c>
      <c r="F161" s="30">
        <f t="array" ref="F161">IF($I$245=0,0,F$19*I161/$I$245)</f>
        <v>16.18113116</v>
      </c>
      <c r="G161" s="30">
        <f t="array" ref="G161">IF($I$245=0,0,G$19*I161/$I$245)</f>
        <v>16.89127268</v>
      </c>
      <c r="H161" s="30">
        <f t="array" ref="H161">H$143*$L161</f>
        <v>392.0022676</v>
      </c>
      <c r="I161" s="30">
        <f t="array" ref="I161">I$143*$L161</f>
        <v>193.1972157</v>
      </c>
      <c r="J161" s="29"/>
      <c r="K161" s="29"/>
      <c r="L161" s="13">
        <v>0.00691471781401273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21" t="s">
        <v>277</v>
      </c>
      <c r="B162" s="22" t="s">
        <v>81</v>
      </c>
      <c r="C162" s="30">
        <f t="array" ref="C162">D162+E162+F162+G162</f>
        <v>705.7959855</v>
      </c>
      <c r="D162" s="30">
        <f t="array" ref="D162">IF($H$245=0,0,D$19*H162/$H$245)</f>
        <v>323.2948631</v>
      </c>
      <c r="E162" s="30">
        <f t="array" ref="E162">IF($H$245=0,0,E$19*H162/$H$245)</f>
        <v>342.707747</v>
      </c>
      <c r="F162" s="30">
        <f t="array" ref="F162">IF($I$245=0,0,F$19*I162/$I$245)</f>
        <v>19.46945947</v>
      </c>
      <c r="G162" s="30">
        <f t="array" ref="G162">IF($I$245=0,0,G$19*I162/$I$245)</f>
        <v>20.3239159</v>
      </c>
      <c r="H162" s="30">
        <f t="array" ref="H162">H$143*$L162</f>
        <v>471.6649403</v>
      </c>
      <c r="I162" s="30">
        <f t="array" ref="I162">I$143*$L162</f>
        <v>232.45874</v>
      </c>
      <c r="J162" s="29"/>
      <c r="K162" s="29"/>
      <c r="L162" s="13">
        <v>0.00831992627142165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21" t="s">
        <v>278</v>
      </c>
      <c r="B163" s="22" t="s">
        <v>83</v>
      </c>
      <c r="C163" s="30">
        <f t="array" ref="C163">D163+E163+F163+G163</f>
        <v>840.777781</v>
      </c>
      <c r="D163" s="30">
        <f t="array" ref="D163">IF($H$245=0,0,D$19*H163/$H$245)</f>
        <v>385.124233</v>
      </c>
      <c r="E163" s="30">
        <f t="array" ref="E163">IF($H$245=0,0,E$19*H163/$H$245)</f>
        <v>408.2497846</v>
      </c>
      <c r="F163" s="30">
        <f t="array" ref="F163">IF($I$245=0,0,F$19*I163/$I$245)</f>
        <v>23.19294706</v>
      </c>
      <c r="G163" s="30">
        <f t="array" ref="G163">IF($I$245=0,0,G$19*I163/$I$245)</f>
        <v>24.21081624</v>
      </c>
      <c r="H163" s="30">
        <f t="array" ref="H163">H$143*$L163</f>
        <v>561.8697329</v>
      </c>
      <c r="I163" s="30">
        <f t="array" ref="I163">I$143*$L163</f>
        <v>276.9159185</v>
      </c>
      <c r="J163" s="29"/>
      <c r="K163" s="29"/>
      <c r="L163" s="13">
        <v>0.00991109228790794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21" t="s">
        <v>279</v>
      </c>
      <c r="B164" s="22" t="s">
        <v>85</v>
      </c>
      <c r="C164" s="30">
        <f t="array" ref="C164">D164+E164+F164+G164</f>
        <v>991.608623</v>
      </c>
      <c r="D164" s="30">
        <f t="array" ref="D164">IF($H$245=0,0,D$19*H164/$H$245)</f>
        <v>454.2133713</v>
      </c>
      <c r="E164" s="30">
        <f t="array" ref="E164">IF($H$245=0,0,E$19*H164/$H$245)</f>
        <v>481.4875178</v>
      </c>
      <c r="F164" s="30">
        <f t="array" ref="F164">IF($I$245=0,0,F$19*I164/$I$245)</f>
        <v>27.35363234</v>
      </c>
      <c r="G164" s="30">
        <f t="array" ref="G164">IF($I$245=0,0,G$19*I164/$I$245)</f>
        <v>28.55410157</v>
      </c>
      <c r="H164" s="30">
        <f t="array" ref="H164">H$143*$L164</f>
        <v>662.6660275</v>
      </c>
      <c r="I164" s="30">
        <f t="array" ref="I164">I$143*$L164</f>
        <v>326.593089</v>
      </c>
      <c r="J164" s="29"/>
      <c r="K164" s="29"/>
      <c r="L164" s="13">
        <v>0.0116890869364543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21" t="s">
        <v>280</v>
      </c>
      <c r="B165" s="22" t="s">
        <v>87</v>
      </c>
      <c r="C165" s="30">
        <f t="array" ref="C165">D165+E165+F165+G165</f>
        <v>1157.860903</v>
      </c>
      <c r="D165" s="30">
        <f t="array" ref="D165">IF($H$245=0,0,D$19*H165/$H$245)</f>
        <v>530.3664085</v>
      </c>
      <c r="E165" s="30">
        <f t="array" ref="E165">IF($H$245=0,0,E$19*H165/$H$245)</f>
        <v>562.2133159</v>
      </c>
      <c r="F165" s="30">
        <f t="array" ref="F165">IF($I$245=0,0,F$19*I165/$I$245)</f>
        <v>31.93971966</v>
      </c>
      <c r="G165" s="30">
        <f t="array" ref="G165">IF($I$245=0,0,G$19*I165/$I$245)</f>
        <v>33.34145857</v>
      </c>
      <c r="H165" s="30">
        <f t="array" ref="H165">H$143*$L165</f>
        <v>773.7680643</v>
      </c>
      <c r="I165" s="30">
        <f t="array" ref="I165">I$143*$L165</f>
        <v>381.3494156</v>
      </c>
      <c r="J165" s="29"/>
      <c r="K165" s="29"/>
      <c r="L165" s="13">
        <v>0.0136488695618289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21" t="s">
        <v>281</v>
      </c>
      <c r="B166" s="22" t="s">
        <v>89</v>
      </c>
      <c r="C166" s="30">
        <f t="array" ref="C166">D166+E166+F166+G166</f>
        <v>1338.534318</v>
      </c>
      <c r="D166" s="30">
        <f t="array" ref="D166">IF($H$245=0,0,D$19*H166/$H$245)</f>
        <v>613.1251493</v>
      </c>
      <c r="E166" s="30">
        <f t="array" ref="E166">IF($H$245=0,0,E$19*H166/$H$245)</f>
        <v>649.9414701</v>
      </c>
      <c r="F166" s="30">
        <f t="array" ref="F166">IF($I$245=0,0,F$19*I166/$I$245)</f>
        <v>36.92361558</v>
      </c>
      <c r="G166" s="30">
        <f t="array" ref="G166">IF($I$245=0,0,G$19*I166/$I$245)</f>
        <v>38.54408279</v>
      </c>
      <c r="H166" s="30">
        <f t="array" ref="H166">H$143*$L166</f>
        <v>894.5073676</v>
      </c>
      <c r="I166" s="30">
        <f t="array" ref="I166">I$143*$L166</f>
        <v>440.8554418</v>
      </c>
      <c r="J166" s="29"/>
      <c r="K166" s="29"/>
      <c r="L166" s="13">
        <v>0.0157786485973353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21" t="s">
        <v>282</v>
      </c>
      <c r="B167" s="22" t="s">
        <v>91</v>
      </c>
      <c r="C167" s="30">
        <f t="array" ref="C167">D167+E167+F167+G167</f>
        <v>1532.003146</v>
      </c>
      <c r="D167" s="30">
        <f t="array" ref="D167">IF($H$245=0,0,D$19*H167/$H$245)</f>
        <v>701.7449201</v>
      </c>
      <c r="E167" s="30">
        <f t="array" ref="E167">IF($H$245=0,0,E$19*H167/$H$245)</f>
        <v>743.8825915</v>
      </c>
      <c r="F167" s="30">
        <f t="array" ref="F167">IF($I$245=0,0,F$19*I167/$I$245)</f>
        <v>42.26047438</v>
      </c>
      <c r="G167" s="30">
        <f t="array" ref="G167">IF($I$245=0,0,G$19*I167/$I$245)</f>
        <v>44.11516039</v>
      </c>
      <c r="H167" s="30">
        <f t="array" ref="H167">H$143*$L167</f>
        <v>1023.79751</v>
      </c>
      <c r="I167" s="30">
        <f t="array" ref="I167">I$143*$L167</f>
        <v>504.5757251</v>
      </c>
      <c r="J167" s="29"/>
      <c r="K167" s="29"/>
      <c r="L167" s="13">
        <v>0.0180592600248171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21" t="s">
        <v>283</v>
      </c>
      <c r="B168" s="22" t="s">
        <v>93</v>
      </c>
      <c r="C168" s="30">
        <f t="array" ref="C168">D168+E168+F168+G168</f>
        <v>1735.988446</v>
      </c>
      <c r="D168" s="30">
        <f t="array" ref="D168">IF($H$245=0,0,D$19*H168/$H$245)</f>
        <v>795.1818351</v>
      </c>
      <c r="E168" s="30">
        <f t="array" ref="E168">IF($H$245=0,0,E$19*H168/$H$245)</f>
        <v>842.9301122</v>
      </c>
      <c r="F168" s="30">
        <f t="array" ref="F168">IF($I$245=0,0,F$19*I168/$I$245)</f>
        <v>47.88743119</v>
      </c>
      <c r="G168" s="30">
        <f t="array" ref="G168">IF($I$245=0,0,G$19*I168/$I$245)</f>
        <v>49.98906752</v>
      </c>
      <c r="H168" s="30">
        <f t="array" ref="H168">H$143*$L168</f>
        <v>1160.115534</v>
      </c>
      <c r="I168" s="30">
        <f t="array" ref="I168">I$143*$L168</f>
        <v>571.7596801</v>
      </c>
      <c r="J168" s="29"/>
      <c r="K168" s="29"/>
      <c r="L168" s="13">
        <v>0.020463839660522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21" t="s">
        <v>284</v>
      </c>
      <c r="B169" s="22" t="s">
        <v>95</v>
      </c>
      <c r="C169" s="30">
        <f t="array" ref="C169">D169+E169+F169+G169</f>
        <v>1947.560823</v>
      </c>
      <c r="D169" s="30">
        <f t="array" ref="D169">IF($H$245=0,0,D$19*H169/$H$245)</f>
        <v>892.0940647</v>
      </c>
      <c r="E169" s="30">
        <f t="array" ref="E169">IF($H$245=0,0,E$19*H169/$H$245)</f>
        <v>945.6616296</v>
      </c>
      <c r="F169" s="30">
        <f t="array" ref="F169">IF($I$245=0,0,F$19*I169/$I$245)</f>
        <v>53.72367835</v>
      </c>
      <c r="G169" s="30">
        <f t="array" ref="G169">IF($I$245=0,0,G$19*I169/$I$245)</f>
        <v>56.08145014</v>
      </c>
      <c r="H169" s="30">
        <f t="array" ref="H169">H$143*$L169</f>
        <v>1301.503803</v>
      </c>
      <c r="I169" s="30">
        <f t="array" ref="I169">I$143*$L169</f>
        <v>641.4424909</v>
      </c>
      <c r="J169" s="29"/>
      <c r="K169" s="29"/>
      <c r="L169" s="13">
        <v>0.0229578557950625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21" t="s">
        <v>285</v>
      </c>
      <c r="B170" s="22" t="s">
        <v>97</v>
      </c>
      <c r="C170" s="30">
        <f t="array" ref="C170">D170+E170+F170+G170</f>
        <v>2163.177989</v>
      </c>
      <c r="D170" s="30">
        <f t="array" ref="D170">IF($H$245=0,0,D$19*H170/$H$245)</f>
        <v>990.8590386</v>
      </c>
      <c r="E170" s="30">
        <f t="array" ref="E170">IF($H$245=0,0,E$19*H170/$H$245)</f>
        <v>1050.357143</v>
      </c>
      <c r="F170" s="30">
        <f t="array" ref="F170">IF($I$245=0,0,F$19*I170/$I$245)</f>
        <v>59.67150145</v>
      </c>
      <c r="G170" s="30">
        <f t="array" ref="G170">IF($I$245=0,0,G$19*I170/$I$245)</f>
        <v>62.29030543</v>
      </c>
      <c r="H170" s="30">
        <f t="array" ref="H170">H$143*$L170</f>
        <v>1445.595098</v>
      </c>
      <c r="I170" s="30">
        <f t="array" ref="I170">I$143*$L170</f>
        <v>712.4574807</v>
      </c>
      <c r="J170" s="29"/>
      <c r="K170" s="29"/>
      <c r="L170" s="13">
        <v>0.0254995519211285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21" t="s">
        <v>286</v>
      </c>
      <c r="B171" s="22" t="s">
        <v>99</v>
      </c>
      <c r="C171" s="30">
        <f t="array" ref="C171">D171+E171+F171+G171</f>
        <v>2378.759341</v>
      </c>
      <c r="D171" s="30">
        <f t="array" ref="D171">IF($H$245=0,0,D$19*H171/$H$245)</f>
        <v>1089.607608</v>
      </c>
      <c r="E171" s="30">
        <f t="array" ref="E171">IF($H$245=0,0,E$19*H171/$H$245)</f>
        <v>1155.035267</v>
      </c>
      <c r="F171" s="30">
        <f t="array" ref="F171">IF($I$245=0,0,F$19*I171/$I$245)</f>
        <v>65.61833664</v>
      </c>
      <c r="G171" s="30">
        <f t="array" ref="G171">IF($I$245=0,0,G$19*I171/$I$245)</f>
        <v>68.49812946</v>
      </c>
      <c r="H171" s="30">
        <f t="array" ref="H171">H$143*$L171</f>
        <v>1589.66246</v>
      </c>
      <c r="I171" s="30">
        <f t="array" ref="I171">I$143*$L171</f>
        <v>783.4606751</v>
      </c>
      <c r="J171" s="29"/>
      <c r="K171" s="29"/>
      <c r="L171" s="13">
        <v>0.0280408258796095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21" t="s">
        <v>287</v>
      </c>
      <c r="B172" s="22" t="s">
        <v>101</v>
      </c>
      <c r="C172" s="30">
        <f t="array" ref="C172">D172+E172+F172+G172</f>
        <v>2589.797364</v>
      </c>
      <c r="D172" s="30">
        <f t="array" ref="D172">IF($H$245=0,0,D$19*H172/$H$245)</f>
        <v>1186.275073</v>
      </c>
      <c r="E172" s="30">
        <f t="array" ref="E172">IF($H$245=0,0,E$19*H172/$H$245)</f>
        <v>1257.507322</v>
      </c>
      <c r="F172" s="30">
        <f t="array" ref="F172">IF($I$245=0,0,F$19*I172/$I$245)</f>
        <v>71.43984358</v>
      </c>
      <c r="G172" s="30">
        <f t="array" ref="G172">IF($I$245=0,0,G$19*I172/$I$245)</f>
        <v>74.57512495</v>
      </c>
      <c r="H172" s="30">
        <f t="array" ref="H172">H$143*$L172</f>
        <v>1730.693634</v>
      </c>
      <c r="I172" s="30">
        <f t="array" ref="I172">I$143*$L172</f>
        <v>852.9674927</v>
      </c>
      <c r="J172" s="29"/>
      <c r="K172" s="29"/>
      <c r="L172" s="13">
        <v>0.0305285430463022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21" t="s">
        <v>288</v>
      </c>
      <c r="B173" s="22" t="s">
        <v>103</v>
      </c>
      <c r="C173" s="30">
        <f t="array" ref="C173">D173+E173+F173+G173</f>
        <v>2791.502932</v>
      </c>
      <c r="D173" s="30">
        <f t="array" ref="D173">IF($H$245=0,0,D$19*H173/$H$245)</f>
        <v>1278.667741</v>
      </c>
      <c r="E173" s="30">
        <f t="array" ref="E173">IF($H$245=0,0,E$19*H173/$H$245)</f>
        <v>1355.447892</v>
      </c>
      <c r="F173" s="30">
        <f t="array" ref="F173">IF($I$245=0,0,F$19*I173/$I$245)</f>
        <v>77.00391375</v>
      </c>
      <c r="G173" s="30">
        <f t="array" ref="G173">IF($I$245=0,0,G$19*I173/$I$245)</f>
        <v>80.38338554</v>
      </c>
      <c r="H173" s="30">
        <f t="array" ref="H173">H$143*$L173</f>
        <v>1865.488173</v>
      </c>
      <c r="I173" s="30">
        <f t="array" ref="I173">I$143*$L173</f>
        <v>919.4006026</v>
      </c>
      <c r="J173" s="29"/>
      <c r="K173" s="29"/>
      <c r="L173" s="13">
        <v>0.0329062491973627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21" t="s">
        <v>289</v>
      </c>
      <c r="B174" s="22" t="s">
        <v>105</v>
      </c>
      <c r="C174" s="30">
        <f t="array" ref="C174">D174+E174+F174+G174</f>
        <v>2978.97884</v>
      </c>
      <c r="D174" s="30">
        <f t="array" ref="D174">IF($H$245=0,0,D$19*H174/$H$245)</f>
        <v>1364.542412</v>
      </c>
      <c r="E174" s="30">
        <f t="array" ref="E174">IF($H$245=0,0,E$19*H174/$H$245)</f>
        <v>1446.479078</v>
      </c>
      <c r="F174" s="30">
        <f t="array" ref="F174">IF($I$245=0,0,F$19*I174/$I$245)</f>
        <v>82.17545717</v>
      </c>
      <c r="G174" s="30">
        <f t="array" ref="G174">IF($I$245=0,0,G$19*I174/$I$245)</f>
        <v>85.78189256</v>
      </c>
      <c r="H174" s="30">
        <f t="array" ref="H174">H$143*$L174</f>
        <v>1990.773404</v>
      </c>
      <c r="I174" s="30">
        <f t="array" ref="I174">I$143*$L174</f>
        <v>981.1470764</v>
      </c>
      <c r="J174" s="29"/>
      <c r="K174" s="29"/>
      <c r="L174" s="13">
        <v>0.0351162160482748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21" t="s">
        <v>290</v>
      </c>
      <c r="B175" s="22" t="s">
        <v>107</v>
      </c>
      <c r="C175" s="30">
        <f t="array" ref="C175">D175+E175+F175+G175</f>
        <v>3147.413292</v>
      </c>
      <c r="D175" s="30">
        <f t="array" ref="D175">IF($H$245=0,0,D$19*H175/$H$245)</f>
        <v>1441.695008</v>
      </c>
      <c r="E175" s="30">
        <f t="array" ref="E175">IF($H$245=0,0,E$19*H175/$H$245)</f>
        <v>1528.264457</v>
      </c>
      <c r="F175" s="30">
        <f t="array" ref="F175">IF($I$245=0,0,F$19*I175/$I$245)</f>
        <v>86.82173996</v>
      </c>
      <c r="G175" s="30">
        <f t="array" ref="G175">IF($I$245=0,0,G$19*I175/$I$245)</f>
        <v>90.63208682</v>
      </c>
      <c r="H175" s="30">
        <f t="array" ref="H175">H$143*$L175</f>
        <v>2103.333729</v>
      </c>
      <c r="I175" s="30">
        <f t="array" ref="I175">I$143*$L175</f>
        <v>1036.622116</v>
      </c>
      <c r="J175" s="29"/>
      <c r="K175" s="29"/>
      <c r="L175" s="13">
        <v>0.0371017221299194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21" t="s">
        <v>291</v>
      </c>
      <c r="B176" s="22" t="s">
        <v>109</v>
      </c>
      <c r="C176" s="30">
        <f t="array" ref="C176">D176+E176+F176+G176</f>
        <v>3292.28298</v>
      </c>
      <c r="D176" s="30">
        <f t="array" ref="D176">IF($H$245=0,0,D$19*H176/$H$245)</f>
        <v>1508.053598</v>
      </c>
      <c r="E176" s="30">
        <f t="array" ref="E176">IF($H$245=0,0,E$19*H176/$H$245)</f>
        <v>1598.60768</v>
      </c>
      <c r="F176" s="30">
        <f t="array" ref="F176">IF($I$245=0,0,F$19*I176/$I$245)</f>
        <v>90.81798616</v>
      </c>
      <c r="G176" s="30">
        <f t="array" ref="G176">IF($I$245=0,0,G$19*I176/$I$245)</f>
        <v>94.80371633</v>
      </c>
      <c r="H176" s="30">
        <f t="array" ref="H176">H$143*$L176</f>
        <v>2200.146341</v>
      </c>
      <c r="I176" s="30">
        <f t="array" ref="I176">I$143*$L176</f>
        <v>1084.33594</v>
      </c>
      <c r="J176" s="29"/>
      <c r="K176" s="29"/>
      <c r="L176" s="13">
        <v>0.0388094466731873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21" t="s">
        <v>292</v>
      </c>
      <c r="B177" s="22" t="s">
        <v>111</v>
      </c>
      <c r="C177" s="30">
        <f t="array" ref="C177">D177+E177+F177+G177</f>
        <v>3409.553939</v>
      </c>
      <c r="D177" s="30">
        <f t="array" ref="D177">IF($H$245=0,0,D$19*H177/$H$245)</f>
        <v>1561.770393</v>
      </c>
      <c r="E177" s="30">
        <f t="array" ref="E177">IF($H$245=0,0,E$19*H177/$H$245)</f>
        <v>1655.550007</v>
      </c>
      <c r="F177" s="30">
        <f t="array" ref="F177">IF($I$245=0,0,F$19*I177/$I$245)</f>
        <v>94.05291839</v>
      </c>
      <c r="G177" s="30">
        <f t="array" ref="G177">IF($I$245=0,0,G$19*I177/$I$245)</f>
        <v>98.18062007</v>
      </c>
      <c r="H177" s="30">
        <f t="array" ref="H177">H$143*$L177</f>
        <v>2278.515446</v>
      </c>
      <c r="I177" s="30">
        <f t="array" ref="I177">I$143*$L177</f>
        <v>1122.959933</v>
      </c>
      <c r="J177" s="29"/>
      <c r="K177" s="29"/>
      <c r="L177" s="13">
        <v>0.0401918372661238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21" t="s">
        <v>293</v>
      </c>
      <c r="B178" s="22" t="s">
        <v>113</v>
      </c>
      <c r="C178" s="30">
        <f t="array" ref="C178">D178+E178+F178+G178</f>
        <v>3495.867792</v>
      </c>
      <c r="D178" s="30">
        <f t="array" ref="D178">IF($H$245=0,0,D$19*H178/$H$245)</f>
        <v>1601.307067</v>
      </c>
      <c r="E178" s="30">
        <f t="array" ref="E178">IF($H$245=0,0,E$19*H178/$H$245)</f>
        <v>1697.460739</v>
      </c>
      <c r="F178" s="30">
        <f t="array" ref="F178">IF($I$245=0,0,F$19*I178/$I$245)</f>
        <v>96.43389547</v>
      </c>
      <c r="G178" s="30">
        <f t="array" ref="G178">IF($I$245=0,0,G$19*I178/$I$245)</f>
        <v>100.6660911</v>
      </c>
      <c r="H178" s="30">
        <f t="array" ref="H178">H$143*$L178</f>
        <v>2336.19673</v>
      </c>
      <c r="I178" s="30">
        <f t="array" ref="I178">I$143*$L178</f>
        <v>1151.387992</v>
      </c>
      <c r="J178" s="29"/>
      <c r="K178" s="29"/>
      <c r="L178" s="13">
        <v>0.0412093053576299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21" t="s">
        <v>294</v>
      </c>
      <c r="B179" s="22" t="s">
        <v>115</v>
      </c>
      <c r="C179" s="30">
        <f t="array" ref="C179">D179+E179+F179+G179</f>
        <v>3548.701424</v>
      </c>
      <c r="D179" s="30">
        <f t="array" ref="D179">IF($H$245=0,0,D$19*H179/$H$245)</f>
        <v>1625.507887</v>
      </c>
      <c r="E179" s="30">
        <f t="array" ref="E179">IF($H$245=0,0,E$19*H179/$H$245)</f>
        <v>1723.114745</v>
      </c>
      <c r="F179" s="30">
        <f t="array" ref="F179">IF($I$245=0,0,F$19*I179/$I$245)</f>
        <v>97.89131698</v>
      </c>
      <c r="G179" s="30">
        <f t="array" ref="G179">IF($I$245=0,0,G$19*I179/$I$245)</f>
        <v>102.1874745</v>
      </c>
      <c r="H179" s="30">
        <f t="array" ref="H179">H$143*$L179</f>
        <v>2371.50406</v>
      </c>
      <c r="I179" s="30">
        <f t="array" ref="I179">I$143*$L179</f>
        <v>1168.78911</v>
      </c>
      <c r="J179" s="29"/>
      <c r="K179" s="29"/>
      <c r="L179" s="13">
        <v>0.0418321084469291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21" t="s">
        <v>295</v>
      </c>
      <c r="B180" s="22" t="s">
        <v>117</v>
      </c>
      <c r="C180" s="30">
        <f t="array" ref="C180">D180+E180+F180+G180</f>
        <v>3566.489483</v>
      </c>
      <c r="D180" s="30">
        <f t="array" ref="D180">IF($H$245=0,0,D$19*H180/$H$245)</f>
        <v>1633.655834</v>
      </c>
      <c r="E180" s="30">
        <f t="array" ref="E180">IF($H$245=0,0,E$19*H180/$H$245)</f>
        <v>1731.751952</v>
      </c>
      <c r="F180" s="30">
        <f t="array" ref="F180">IF($I$245=0,0,F$19*I180/$I$245)</f>
        <v>98.38200253</v>
      </c>
      <c r="G180" s="30">
        <f t="array" ref="G180">IF($I$245=0,0,G$19*I180/$I$245)</f>
        <v>102.6996948</v>
      </c>
      <c r="H180" s="30">
        <f t="array" ref="H180">H$143*$L180</f>
        <v>2383.391353</v>
      </c>
      <c r="I180" s="30">
        <f t="array" ref="I180">I$143*$L180</f>
        <v>1174.647729</v>
      </c>
      <c r="J180" s="29"/>
      <c r="K180" s="29"/>
      <c r="L180" s="13">
        <v>0.042041794168341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21" t="s">
        <v>296</v>
      </c>
      <c r="B181" s="22" t="s">
        <v>119</v>
      </c>
      <c r="C181" s="30">
        <f t="array" ref="C181">D181+E181+F181+G181</f>
        <v>3548.701424</v>
      </c>
      <c r="D181" s="30">
        <f t="array" ref="D181">IF($H$245=0,0,D$19*H181/$H$245)</f>
        <v>1625.507887</v>
      </c>
      <c r="E181" s="30">
        <f t="array" ref="E181">IF($H$245=0,0,E$19*H181/$H$245)</f>
        <v>1723.114745</v>
      </c>
      <c r="F181" s="30">
        <f t="array" ref="F181">IF($I$245=0,0,F$19*I181/$I$245)</f>
        <v>97.89131698</v>
      </c>
      <c r="G181" s="30">
        <f t="array" ref="G181">IF($I$245=0,0,G$19*I181/$I$245)</f>
        <v>102.1874745</v>
      </c>
      <c r="H181" s="30">
        <f t="array" ref="H181">H$143*$L181</f>
        <v>2371.50406</v>
      </c>
      <c r="I181" s="30">
        <f t="array" ref="I181">I$143*$L181</f>
        <v>1168.78911</v>
      </c>
      <c r="J181" s="29"/>
      <c r="K181" s="29"/>
      <c r="L181" s="13">
        <v>0.0418321084469291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21" t="s">
        <v>297</v>
      </c>
      <c r="B182" s="22" t="s">
        <v>121</v>
      </c>
      <c r="C182" s="30">
        <f t="array" ref="C182">D182+E182+F182+G182</f>
        <v>3495.867792</v>
      </c>
      <c r="D182" s="30">
        <f t="array" ref="D182">IF($H$245=0,0,D$19*H182/$H$245)</f>
        <v>1601.307067</v>
      </c>
      <c r="E182" s="30">
        <f t="array" ref="E182">IF($H$245=0,0,E$19*H182/$H$245)</f>
        <v>1697.460739</v>
      </c>
      <c r="F182" s="30">
        <f t="array" ref="F182">IF($I$245=0,0,F$19*I182/$I$245)</f>
        <v>96.43389547</v>
      </c>
      <c r="G182" s="30">
        <f t="array" ref="G182">IF($I$245=0,0,G$19*I182/$I$245)</f>
        <v>100.6660911</v>
      </c>
      <c r="H182" s="30">
        <f t="array" ref="H182">H$143*$L182</f>
        <v>2336.19673</v>
      </c>
      <c r="I182" s="30">
        <f t="array" ref="I182">I$143*$L182</f>
        <v>1151.387992</v>
      </c>
      <c r="J182" s="29"/>
      <c r="K182" s="29"/>
      <c r="L182" s="13">
        <v>0.0412093053576299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21" t="s">
        <v>298</v>
      </c>
      <c r="B183" s="22" t="s">
        <v>123</v>
      </c>
      <c r="C183" s="30">
        <f t="array" ref="C183">D183+E183+F183+G183</f>
        <v>3409.553939</v>
      </c>
      <c r="D183" s="30">
        <f t="array" ref="D183">IF($H$245=0,0,D$19*H183/$H$245)</f>
        <v>1561.770393</v>
      </c>
      <c r="E183" s="30">
        <f t="array" ref="E183">IF($H$245=0,0,E$19*H183/$H$245)</f>
        <v>1655.550007</v>
      </c>
      <c r="F183" s="30">
        <f t="array" ref="F183">IF($I$245=0,0,F$19*I183/$I$245)</f>
        <v>94.05291839</v>
      </c>
      <c r="G183" s="30">
        <f t="array" ref="G183">IF($I$245=0,0,G$19*I183/$I$245)</f>
        <v>98.18062007</v>
      </c>
      <c r="H183" s="30">
        <f t="array" ref="H183">H$143*$L183</f>
        <v>2278.515446</v>
      </c>
      <c r="I183" s="30">
        <f t="array" ref="I183">I$143*$L183</f>
        <v>1122.959933</v>
      </c>
      <c r="J183" s="29"/>
      <c r="K183" s="29"/>
      <c r="L183" s="13">
        <v>0.0401918372661238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21" t="s">
        <v>299</v>
      </c>
      <c r="B184" s="22" t="s">
        <v>125</v>
      </c>
      <c r="C184" s="30">
        <f t="array" ref="C184">D184+E184+F184+G184</f>
        <v>3292.28298</v>
      </c>
      <c r="D184" s="30">
        <f t="array" ref="D184">IF($H$245=0,0,D$19*H184/$H$245)</f>
        <v>1508.053598</v>
      </c>
      <c r="E184" s="30">
        <f t="array" ref="E184">IF($H$245=0,0,E$19*H184/$H$245)</f>
        <v>1598.60768</v>
      </c>
      <c r="F184" s="30">
        <f t="array" ref="F184">IF($I$245=0,0,F$19*I184/$I$245)</f>
        <v>90.81798616</v>
      </c>
      <c r="G184" s="30">
        <f t="array" ref="G184">IF($I$245=0,0,G$19*I184/$I$245)</f>
        <v>94.80371633</v>
      </c>
      <c r="H184" s="30">
        <f t="array" ref="H184">H$143*$L184</f>
        <v>2200.146341</v>
      </c>
      <c r="I184" s="30">
        <f t="array" ref="I184">I$143*$L184</f>
        <v>1084.33594</v>
      </c>
      <c r="J184" s="29"/>
      <c r="K184" s="29"/>
      <c r="L184" s="13">
        <v>0.0388094466731873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21" t="s">
        <v>300</v>
      </c>
      <c r="B185" s="22" t="s">
        <v>127</v>
      </c>
      <c r="C185" s="30">
        <f t="array" ref="C185">D185+E185+F185+G185</f>
        <v>3147.413292</v>
      </c>
      <c r="D185" s="30">
        <f t="array" ref="D185">IF($H$245=0,0,D$19*H185/$H$245)</f>
        <v>1441.695008</v>
      </c>
      <c r="E185" s="30">
        <f t="array" ref="E185">IF($H$245=0,0,E$19*H185/$H$245)</f>
        <v>1528.264457</v>
      </c>
      <c r="F185" s="30">
        <f t="array" ref="F185">IF($I$245=0,0,F$19*I185/$I$245)</f>
        <v>86.82173996</v>
      </c>
      <c r="G185" s="30">
        <f t="array" ref="G185">IF($I$245=0,0,G$19*I185/$I$245)</f>
        <v>90.63208682</v>
      </c>
      <c r="H185" s="30">
        <f t="array" ref="H185">H$143*$L185</f>
        <v>2103.333729</v>
      </c>
      <c r="I185" s="30">
        <f t="array" ref="I185">I$143*$L185</f>
        <v>1036.622116</v>
      </c>
      <c r="J185" s="29"/>
      <c r="K185" s="29"/>
      <c r="L185" s="13">
        <v>0.0371017221299194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21" t="s">
        <v>301</v>
      </c>
      <c r="B186" s="22" t="s">
        <v>129</v>
      </c>
      <c r="C186" s="30">
        <f t="array" ref="C186">D186+E186+F186+G186</f>
        <v>2978.97884</v>
      </c>
      <c r="D186" s="30">
        <f t="array" ref="D186">IF($H$245=0,0,D$19*H186/$H$245)</f>
        <v>1364.542412</v>
      </c>
      <c r="E186" s="30">
        <f t="array" ref="E186">IF($H$245=0,0,E$19*H186/$H$245)</f>
        <v>1446.479078</v>
      </c>
      <c r="F186" s="30">
        <f t="array" ref="F186">IF($I$245=0,0,F$19*I186/$I$245)</f>
        <v>82.17545717</v>
      </c>
      <c r="G186" s="30">
        <f t="array" ref="G186">IF($I$245=0,0,G$19*I186/$I$245)</f>
        <v>85.78189256</v>
      </c>
      <c r="H186" s="30">
        <f t="array" ref="H186">H$143*$L186</f>
        <v>1990.773404</v>
      </c>
      <c r="I186" s="30">
        <f t="array" ref="I186">I$143*$L186</f>
        <v>981.1470764</v>
      </c>
      <c r="J186" s="29"/>
      <c r="K186" s="29"/>
      <c r="L186" s="13">
        <v>0.0351162160482748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21" t="s">
        <v>302</v>
      </c>
      <c r="B187" s="22" t="s">
        <v>131</v>
      </c>
      <c r="C187" s="30">
        <f t="array" ref="C187">D187+E187+F187+G187</f>
        <v>2791.502932</v>
      </c>
      <c r="D187" s="30">
        <f t="array" ref="D187">IF($H$245=0,0,D$19*H187/$H$245)</f>
        <v>1278.667741</v>
      </c>
      <c r="E187" s="30">
        <f t="array" ref="E187">IF($H$245=0,0,E$19*H187/$H$245)</f>
        <v>1355.447892</v>
      </c>
      <c r="F187" s="30">
        <f t="array" ref="F187">IF($I$245=0,0,F$19*I187/$I$245)</f>
        <v>77.00391375</v>
      </c>
      <c r="G187" s="30">
        <f t="array" ref="G187">IF($I$245=0,0,G$19*I187/$I$245)</f>
        <v>80.38338554</v>
      </c>
      <c r="H187" s="30">
        <f t="array" ref="H187">H$143*$L187</f>
        <v>1865.488173</v>
      </c>
      <c r="I187" s="30">
        <f t="array" ref="I187">I$143*$L187</f>
        <v>919.4006026</v>
      </c>
      <c r="J187" s="29"/>
      <c r="K187" s="29"/>
      <c r="L187" s="13">
        <v>0.0329062491973627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21" t="s">
        <v>303</v>
      </c>
      <c r="B188" s="22" t="s">
        <v>133</v>
      </c>
      <c r="C188" s="30">
        <f t="array" ref="C188">D188+E188+F188+G188</f>
        <v>2589.797364</v>
      </c>
      <c r="D188" s="30">
        <f t="array" ref="D188">IF($H$245=0,0,D$19*H188/$H$245)</f>
        <v>1186.275073</v>
      </c>
      <c r="E188" s="30">
        <f t="array" ref="E188">IF($H$245=0,0,E$19*H188/$H$245)</f>
        <v>1257.507322</v>
      </c>
      <c r="F188" s="30">
        <f t="array" ref="F188">IF($I$245=0,0,F$19*I188/$I$245)</f>
        <v>71.43984358</v>
      </c>
      <c r="G188" s="30">
        <f t="array" ref="G188">IF($I$245=0,0,G$19*I188/$I$245)</f>
        <v>74.57512495</v>
      </c>
      <c r="H188" s="30">
        <f t="array" ref="H188">H$143*$L188</f>
        <v>1730.693634</v>
      </c>
      <c r="I188" s="30">
        <f t="array" ref="I188">I$143*$L188</f>
        <v>852.9674927</v>
      </c>
      <c r="J188" s="29"/>
      <c r="K188" s="29"/>
      <c r="L188" s="13">
        <v>0.0305285430463022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21" t="s">
        <v>304</v>
      </c>
      <c r="B189" s="22" t="s">
        <v>135</v>
      </c>
      <c r="C189" s="30">
        <f t="array" ref="C189">D189+E189+F189+G189</f>
        <v>2378.759341</v>
      </c>
      <c r="D189" s="30">
        <f t="array" ref="D189">IF($H$245=0,0,D$19*H189/$H$245)</f>
        <v>1089.607608</v>
      </c>
      <c r="E189" s="30">
        <f t="array" ref="E189">IF($H$245=0,0,E$19*H189/$H$245)</f>
        <v>1155.035267</v>
      </c>
      <c r="F189" s="30">
        <f t="array" ref="F189">IF($I$245=0,0,F$19*I189/$I$245)</f>
        <v>65.61833664</v>
      </c>
      <c r="G189" s="30">
        <f t="array" ref="G189">IF($I$245=0,0,G$19*I189/$I$245)</f>
        <v>68.49812946</v>
      </c>
      <c r="H189" s="30">
        <f t="array" ref="H189">H$143*$L189</f>
        <v>1589.66246</v>
      </c>
      <c r="I189" s="30">
        <f t="array" ref="I189">I$143*$L189</f>
        <v>783.4606751</v>
      </c>
      <c r="J189" s="29"/>
      <c r="K189" s="29"/>
      <c r="L189" s="13">
        <v>0.0280408258796095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21" t="s">
        <v>305</v>
      </c>
      <c r="B190" s="22" t="s">
        <v>137</v>
      </c>
      <c r="C190" s="30">
        <f t="array" ref="C190">D190+E190+F190+G190</f>
        <v>2163.177989</v>
      </c>
      <c r="D190" s="30">
        <f t="array" ref="D190">IF($H$245=0,0,D$19*H190/$H$245)</f>
        <v>990.8590386</v>
      </c>
      <c r="E190" s="30">
        <f t="array" ref="E190">IF($H$245=0,0,E$19*H190/$H$245)</f>
        <v>1050.357143</v>
      </c>
      <c r="F190" s="30">
        <f t="array" ref="F190">IF($I$245=0,0,F$19*I190/$I$245)</f>
        <v>59.67150145</v>
      </c>
      <c r="G190" s="30">
        <f t="array" ref="G190">IF($I$245=0,0,G$19*I190/$I$245)</f>
        <v>62.29030543</v>
      </c>
      <c r="H190" s="30">
        <f t="array" ref="H190">H$143*$L190</f>
        <v>1445.595098</v>
      </c>
      <c r="I190" s="30">
        <f t="array" ref="I190">I$143*$L190</f>
        <v>712.4574807</v>
      </c>
      <c r="J190" s="29"/>
      <c r="K190" s="29"/>
      <c r="L190" s="13">
        <v>0.0254995519211285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21" t="s">
        <v>306</v>
      </c>
      <c r="B191" s="22" t="s">
        <v>139</v>
      </c>
      <c r="C191" s="30">
        <f t="array" ref="C191">D191+E191+F191+G191</f>
        <v>1947.560823</v>
      </c>
      <c r="D191" s="30">
        <f t="array" ref="D191">IF($H$245=0,0,D$19*H191/$H$245)</f>
        <v>892.0940647</v>
      </c>
      <c r="E191" s="30">
        <f t="array" ref="E191">IF($H$245=0,0,E$19*H191/$H$245)</f>
        <v>945.6616296</v>
      </c>
      <c r="F191" s="30">
        <f t="array" ref="F191">IF($I$245=0,0,F$19*I191/$I$245)</f>
        <v>53.72367835</v>
      </c>
      <c r="G191" s="30">
        <f t="array" ref="G191">IF($I$245=0,0,G$19*I191/$I$245)</f>
        <v>56.08145014</v>
      </c>
      <c r="H191" s="30">
        <f t="array" ref="H191">H$143*$L191</f>
        <v>1301.503803</v>
      </c>
      <c r="I191" s="30">
        <f t="array" ref="I191">I$143*$L191</f>
        <v>641.4424909</v>
      </c>
      <c r="J191" s="29"/>
      <c r="K191" s="29"/>
      <c r="L191" s="13">
        <v>0.0229578557950625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21" t="s">
        <v>307</v>
      </c>
      <c r="B192" s="22" t="s">
        <v>141</v>
      </c>
      <c r="C192" s="30">
        <f t="array" ref="C192">D192+E192+F192+G192</f>
        <v>1735.988446</v>
      </c>
      <c r="D192" s="30">
        <f t="array" ref="D192">IF($H$245=0,0,D$19*H192/$H$245)</f>
        <v>795.1818351</v>
      </c>
      <c r="E192" s="30">
        <f t="array" ref="E192">IF($H$245=0,0,E$19*H192/$H$245)</f>
        <v>842.9301122</v>
      </c>
      <c r="F192" s="30">
        <f t="array" ref="F192">IF($I$245=0,0,F$19*I192/$I$245)</f>
        <v>47.88743119</v>
      </c>
      <c r="G192" s="30">
        <f t="array" ref="G192">IF($I$245=0,0,G$19*I192/$I$245)</f>
        <v>49.98906752</v>
      </c>
      <c r="H192" s="30">
        <f t="array" ref="H192">H$143*$L192</f>
        <v>1160.115534</v>
      </c>
      <c r="I192" s="30">
        <f t="array" ref="I192">I$143*$L192</f>
        <v>571.7596801</v>
      </c>
      <c r="J192" s="29"/>
      <c r="K192" s="29"/>
      <c r="L192" s="13">
        <v>0.020463839660522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21" t="s">
        <v>308</v>
      </c>
      <c r="B193" s="22" t="s">
        <v>143</v>
      </c>
      <c r="C193" s="30">
        <f t="array" ref="C193">D193+E193+F193+G193</f>
        <v>1532.003146</v>
      </c>
      <c r="D193" s="30">
        <f t="array" ref="D193">IF($H$245=0,0,D$19*H193/$H$245)</f>
        <v>701.7449201</v>
      </c>
      <c r="E193" s="30">
        <f t="array" ref="E193">IF($H$245=0,0,E$19*H193/$H$245)</f>
        <v>743.8825915</v>
      </c>
      <c r="F193" s="30">
        <f t="array" ref="F193">IF($I$245=0,0,F$19*I193/$I$245)</f>
        <v>42.26047438</v>
      </c>
      <c r="G193" s="30">
        <f t="array" ref="G193">IF($I$245=0,0,G$19*I193/$I$245)</f>
        <v>44.11516039</v>
      </c>
      <c r="H193" s="30">
        <f t="array" ref="H193">H$143*$L193</f>
        <v>1023.79751</v>
      </c>
      <c r="I193" s="30">
        <f t="array" ref="I193">I$143*$L193</f>
        <v>504.5757251</v>
      </c>
      <c r="J193" s="29"/>
      <c r="K193" s="29"/>
      <c r="L193" s="13">
        <v>0.0180592600248171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21" t="s">
        <v>309</v>
      </c>
      <c r="B194" s="22" t="s">
        <v>145</v>
      </c>
      <c r="C194" s="30">
        <f t="array" ref="C194">D194+E194+F194+G194</f>
        <v>1338.534318</v>
      </c>
      <c r="D194" s="30">
        <f t="array" ref="D194">IF($H$245=0,0,D$19*H194/$H$245)</f>
        <v>613.1251493</v>
      </c>
      <c r="E194" s="30">
        <f t="array" ref="E194">IF($H$245=0,0,E$19*H194/$H$245)</f>
        <v>649.9414701</v>
      </c>
      <c r="F194" s="30">
        <f t="array" ref="F194">IF($I$245=0,0,F$19*I194/$I$245)</f>
        <v>36.92361558</v>
      </c>
      <c r="G194" s="30">
        <f t="array" ref="G194">IF($I$245=0,0,G$19*I194/$I$245)</f>
        <v>38.54408279</v>
      </c>
      <c r="H194" s="30">
        <f t="array" ref="H194">H$143*$L194</f>
        <v>894.5073676</v>
      </c>
      <c r="I194" s="30">
        <f t="array" ref="I194">I$143*$L194</f>
        <v>440.8554418</v>
      </c>
      <c r="J194" s="29"/>
      <c r="K194" s="29"/>
      <c r="L194" s="13">
        <v>0.0157786485973353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21" t="s">
        <v>310</v>
      </c>
      <c r="B195" s="22" t="s">
        <v>147</v>
      </c>
      <c r="C195" s="30">
        <f t="array" ref="C195">D195+E195+F195+G195</f>
        <v>1157.860903</v>
      </c>
      <c r="D195" s="30">
        <f t="array" ref="D195">IF($H$245=0,0,D$19*H195/$H$245)</f>
        <v>530.3664085</v>
      </c>
      <c r="E195" s="30">
        <f t="array" ref="E195">IF($H$245=0,0,E$19*H195/$H$245)</f>
        <v>562.2133159</v>
      </c>
      <c r="F195" s="30">
        <f t="array" ref="F195">IF($I$245=0,0,F$19*I195/$I$245)</f>
        <v>31.93971966</v>
      </c>
      <c r="G195" s="30">
        <f t="array" ref="G195">IF($I$245=0,0,G$19*I195/$I$245)</f>
        <v>33.34145857</v>
      </c>
      <c r="H195" s="30">
        <f t="array" ref="H195">H$143*$L195</f>
        <v>773.7680643</v>
      </c>
      <c r="I195" s="30">
        <f t="array" ref="I195">I$143*$L195</f>
        <v>381.3494156</v>
      </c>
      <c r="J195" s="29"/>
      <c r="K195" s="29"/>
      <c r="L195" s="13">
        <v>0.0136488695618289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21" t="s">
        <v>311</v>
      </c>
      <c r="B196" s="22" t="s">
        <v>149</v>
      </c>
      <c r="C196" s="30">
        <f t="array" ref="C196">D196+E196+F196+G196</f>
        <v>991.608623</v>
      </c>
      <c r="D196" s="30">
        <f t="array" ref="D196">IF($H$245=0,0,D$19*H196/$H$245)</f>
        <v>454.2133713</v>
      </c>
      <c r="E196" s="30">
        <f t="array" ref="E196">IF($H$245=0,0,E$19*H196/$H$245)</f>
        <v>481.4875178</v>
      </c>
      <c r="F196" s="30">
        <f t="array" ref="F196">IF($I$245=0,0,F$19*I196/$I$245)</f>
        <v>27.35363234</v>
      </c>
      <c r="G196" s="30">
        <f t="array" ref="G196">IF($I$245=0,0,G$19*I196/$I$245)</f>
        <v>28.55410157</v>
      </c>
      <c r="H196" s="30">
        <f t="array" ref="H196">H$143*$L196</f>
        <v>662.6660275</v>
      </c>
      <c r="I196" s="30">
        <f t="array" ref="I196">I$143*$L196</f>
        <v>326.593089</v>
      </c>
      <c r="J196" s="29"/>
      <c r="K196" s="29"/>
      <c r="L196" s="13">
        <v>0.0116890869364543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21" t="s">
        <v>312</v>
      </c>
      <c r="B197" s="22" t="s">
        <v>151</v>
      </c>
      <c r="C197" s="30">
        <f t="array" ref="C197">D197+E197+F197+G197</f>
        <v>840.777781</v>
      </c>
      <c r="D197" s="30">
        <f t="array" ref="D197">IF($H$245=0,0,D$19*H197/$H$245)</f>
        <v>385.124233</v>
      </c>
      <c r="E197" s="30">
        <f t="array" ref="E197">IF($H$245=0,0,E$19*H197/$H$245)</f>
        <v>408.2497846</v>
      </c>
      <c r="F197" s="30">
        <f t="array" ref="F197">IF($I$245=0,0,F$19*I197/$I$245)</f>
        <v>23.19294706</v>
      </c>
      <c r="G197" s="30">
        <f t="array" ref="G197">IF($I$245=0,0,G$19*I197/$I$245)</f>
        <v>24.21081624</v>
      </c>
      <c r="H197" s="30">
        <f t="array" ref="H197">H$143*$L197</f>
        <v>561.8697329</v>
      </c>
      <c r="I197" s="30">
        <f t="array" ref="I197">I$143*$L197</f>
        <v>276.9159185</v>
      </c>
      <c r="J197" s="29"/>
      <c r="K197" s="29"/>
      <c r="L197" s="13">
        <v>0.00991109228790794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21" t="s">
        <v>313</v>
      </c>
      <c r="B198" s="22" t="s">
        <v>153</v>
      </c>
      <c r="C198" s="30">
        <f t="array" ref="C198">D198+E198+F198+G198</f>
        <v>705.7959855</v>
      </c>
      <c r="D198" s="30">
        <f t="array" ref="D198">IF($H$245=0,0,D$19*H198/$H$245)</f>
        <v>323.2948631</v>
      </c>
      <c r="E198" s="30">
        <f t="array" ref="E198">IF($H$245=0,0,E$19*H198/$H$245)</f>
        <v>342.707747</v>
      </c>
      <c r="F198" s="30">
        <f t="array" ref="F198">IF($I$245=0,0,F$19*I198/$I$245)</f>
        <v>19.46945947</v>
      </c>
      <c r="G198" s="30">
        <f t="array" ref="G198">IF($I$245=0,0,G$19*I198/$I$245)</f>
        <v>20.3239159</v>
      </c>
      <c r="H198" s="30">
        <f t="array" ref="H198">H$143*$L198</f>
        <v>471.6649403</v>
      </c>
      <c r="I198" s="30">
        <f t="array" ref="I198">I$143*$L198</f>
        <v>232.45874</v>
      </c>
      <c r="J198" s="29"/>
      <c r="K198" s="29"/>
      <c r="L198" s="13">
        <v>0.00831992627142165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21" t="s">
        <v>314</v>
      </c>
      <c r="B199" s="22" t="s">
        <v>155</v>
      </c>
      <c r="C199" s="30">
        <f t="array" ref="C199">D199+E199+F199+G199</f>
        <v>586.5893416</v>
      </c>
      <c r="D199" s="30">
        <f t="array" ref="D199">IF($H$245=0,0,D$19*H199/$H$245)</f>
        <v>268.6914133</v>
      </c>
      <c r="E199" s="30">
        <f t="array" ref="E199">IF($H$245=0,0,E$19*H199/$H$245)</f>
        <v>284.8255244</v>
      </c>
      <c r="F199" s="30">
        <f t="array" ref="F199">IF($I$245=0,0,F$19*I199/$I$245)</f>
        <v>16.18113116</v>
      </c>
      <c r="G199" s="30">
        <f t="array" ref="G199">IF($I$245=0,0,G$19*I199/$I$245)</f>
        <v>16.89127268</v>
      </c>
      <c r="H199" s="30">
        <f t="array" ref="H199">H$143*$L199</f>
        <v>392.0022676</v>
      </c>
      <c r="I199" s="30">
        <f t="array" ref="I199">I$143*$L199</f>
        <v>193.1972157</v>
      </c>
      <c r="J199" s="29"/>
      <c r="K199" s="29"/>
      <c r="L199" s="13">
        <v>0.00691471781401273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21" t="s">
        <v>315</v>
      </c>
      <c r="B200" s="22" t="s">
        <v>157</v>
      </c>
      <c r="C200" s="30">
        <f t="array" ref="C200">D200+E200+F200+G200</f>
        <v>0</v>
      </c>
      <c r="D200" s="30">
        <f t="array" ref="D200">IF($H$245=0,0,D$19*H200/$H$245)</f>
        <v>0</v>
      </c>
      <c r="E200" s="30">
        <f t="array" ref="E200">IF($H$245=0,0,E$19*H200/$H$245)</f>
        <v>0</v>
      </c>
      <c r="F200" s="30">
        <f t="array" ref="F200">IF($I$245=0,0,F$19*I200/$I$245)</f>
        <v>0</v>
      </c>
      <c r="G200" s="30">
        <f t="array" ref="G200">IF($I$245=0,0,G$19*I200/$I$245)</f>
        <v>0</v>
      </c>
      <c r="H200" s="30">
        <f t="array" ref="H200">H$143*$L200</f>
        <v>0</v>
      </c>
      <c r="I200" s="30">
        <f t="array" ref="I200">I$143*$L200</f>
        <v>0</v>
      </c>
      <c r="J200" s="29"/>
      <c r="K200" s="29"/>
      <c r="L200" s="1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21" t="s">
        <v>316</v>
      </c>
      <c r="B201" s="22" t="s">
        <v>159</v>
      </c>
      <c r="C201" s="30">
        <f t="array" ref="C201">D201+E201+F201+G201</f>
        <v>0</v>
      </c>
      <c r="D201" s="30">
        <f t="array" ref="D201">IF($H$245=0,0,D$19*H201/$H$245)</f>
        <v>0</v>
      </c>
      <c r="E201" s="30">
        <f t="array" ref="E201">IF($H$245=0,0,E$19*H201/$H$245)</f>
        <v>0</v>
      </c>
      <c r="F201" s="30">
        <f t="array" ref="F201">IF($I$245=0,0,F$19*I201/$I$245)</f>
        <v>0</v>
      </c>
      <c r="G201" s="30">
        <f t="array" ref="G201">IF($I$245=0,0,G$19*I201/$I$245)</f>
        <v>0</v>
      </c>
      <c r="H201" s="30">
        <f t="array" ref="H201">H$143*$L201</f>
        <v>0</v>
      </c>
      <c r="I201" s="30">
        <f t="array" ref="I201">I$143*$L201</f>
        <v>0</v>
      </c>
      <c r="J201" s="29"/>
      <c r="K201" s="29"/>
      <c r="L201" s="1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21" t="s">
        <v>317</v>
      </c>
      <c r="B202" s="22" t="s">
        <v>161</v>
      </c>
      <c r="C202" s="30">
        <f t="array" ref="C202">D202+E202+F202+G202</f>
        <v>0</v>
      </c>
      <c r="D202" s="30">
        <f t="array" ref="D202">IF($H$245=0,0,D$19*H202/$H$245)</f>
        <v>0</v>
      </c>
      <c r="E202" s="30">
        <f t="array" ref="E202">IF($H$245=0,0,E$19*H202/$H$245)</f>
        <v>0</v>
      </c>
      <c r="F202" s="30">
        <f t="array" ref="F202">IF($I$245=0,0,F$19*I202/$I$245)</f>
        <v>0</v>
      </c>
      <c r="G202" s="30">
        <f t="array" ref="G202">IF($I$245=0,0,G$19*I202/$I$245)</f>
        <v>0</v>
      </c>
      <c r="H202" s="30">
        <f t="array" ref="H202">H$143*$L202</f>
        <v>0</v>
      </c>
      <c r="I202" s="30">
        <f t="array" ref="I202">I$143*$L202</f>
        <v>0</v>
      </c>
      <c r="J202" s="29"/>
      <c r="K202" s="29"/>
      <c r="L202" s="1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21" t="s">
        <v>318</v>
      </c>
      <c r="B203" s="22" t="s">
        <v>163</v>
      </c>
      <c r="C203" s="30">
        <f t="array" ref="C203">D203+E203+F203+G203</f>
        <v>0</v>
      </c>
      <c r="D203" s="30">
        <f t="array" ref="D203">IF($H$245=0,0,D$19*H203/$H$245)</f>
        <v>0</v>
      </c>
      <c r="E203" s="30">
        <f t="array" ref="E203">IF($H$245=0,0,E$19*H203/$H$245)</f>
        <v>0</v>
      </c>
      <c r="F203" s="30">
        <f t="array" ref="F203">IF($I$245=0,0,F$19*I203/$I$245)</f>
        <v>0</v>
      </c>
      <c r="G203" s="30">
        <f t="array" ref="G203">IF($I$245=0,0,G$19*I203/$I$245)</f>
        <v>0</v>
      </c>
      <c r="H203" s="30">
        <f t="array" ref="H203">H$143*$L203</f>
        <v>0</v>
      </c>
      <c r="I203" s="30">
        <f t="array" ref="I203">I$143*$L203</f>
        <v>0</v>
      </c>
      <c r="J203" s="29"/>
      <c r="K203" s="29"/>
      <c r="L203" s="1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21" t="s">
        <v>319</v>
      </c>
      <c r="B204" s="22" t="s">
        <v>165</v>
      </c>
      <c r="C204" s="30">
        <f t="array" ref="C204">D204+E204+F204+G204</f>
        <v>0</v>
      </c>
      <c r="D204" s="30">
        <f t="array" ref="D204">IF($H$245=0,0,D$19*H204/$H$245)</f>
        <v>0</v>
      </c>
      <c r="E204" s="30">
        <f t="array" ref="E204">IF($H$245=0,0,E$19*H204/$H$245)</f>
        <v>0</v>
      </c>
      <c r="F204" s="30">
        <f t="array" ref="F204">IF($I$245=0,0,F$19*I204/$I$245)</f>
        <v>0</v>
      </c>
      <c r="G204" s="30">
        <f t="array" ref="G204">IF($I$245=0,0,G$19*I204/$I$245)</f>
        <v>0</v>
      </c>
      <c r="H204" s="30">
        <f t="array" ref="H204">H$143*$L204</f>
        <v>0</v>
      </c>
      <c r="I204" s="30">
        <f t="array" ref="I204">I$143*$L204</f>
        <v>0</v>
      </c>
      <c r="J204" s="29"/>
      <c r="K204" s="29"/>
      <c r="L204" s="1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21" t="s">
        <v>320</v>
      </c>
      <c r="B205" s="22" t="s">
        <v>167</v>
      </c>
      <c r="C205" s="30">
        <f t="array" ref="C205">D205+E205+F205+G205</f>
        <v>0</v>
      </c>
      <c r="D205" s="30">
        <f t="array" ref="D205">IF($H$245=0,0,D$19*H205/$H$245)</f>
        <v>0</v>
      </c>
      <c r="E205" s="30">
        <f t="array" ref="E205">IF($H$245=0,0,E$19*H205/$H$245)</f>
        <v>0</v>
      </c>
      <c r="F205" s="30">
        <f t="array" ref="F205">IF($I$245=0,0,F$19*I205/$I$245)</f>
        <v>0</v>
      </c>
      <c r="G205" s="30">
        <f t="array" ref="G205">IF($I$245=0,0,G$19*I205/$I$245)</f>
        <v>0</v>
      </c>
      <c r="H205" s="30">
        <f t="array" ref="H205">H$143*$L205</f>
        <v>0</v>
      </c>
      <c r="I205" s="30">
        <f t="array" ref="I205">I$143*$L205</f>
        <v>0</v>
      </c>
      <c r="J205" s="29"/>
      <c r="K205" s="29"/>
      <c r="L205" s="1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21" t="s">
        <v>321</v>
      </c>
      <c r="B206" s="22" t="s">
        <v>169</v>
      </c>
      <c r="C206" s="30">
        <f t="array" ref="C206">D206+E206+F206+G206</f>
        <v>0</v>
      </c>
      <c r="D206" s="30">
        <f t="array" ref="D206">IF($H$245=0,0,D$19*H206/$H$245)</f>
        <v>0</v>
      </c>
      <c r="E206" s="30">
        <f t="array" ref="E206">IF($H$245=0,0,E$19*H206/$H$245)</f>
        <v>0</v>
      </c>
      <c r="F206" s="30">
        <f t="array" ref="F206">IF($I$245=0,0,F$19*I206/$I$245)</f>
        <v>0</v>
      </c>
      <c r="G206" s="30">
        <f t="array" ref="G206">IF($I$245=0,0,G$19*I206/$I$245)</f>
        <v>0</v>
      </c>
      <c r="H206" s="30">
        <f t="array" ref="H206">H$143*$L206</f>
        <v>0</v>
      </c>
      <c r="I206" s="30">
        <f t="array" ref="I206">I$143*$L206</f>
        <v>0</v>
      </c>
      <c r="J206" s="29"/>
      <c r="K206" s="29"/>
      <c r="L206" s="1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21" t="s">
        <v>322</v>
      </c>
      <c r="B207" s="22" t="s">
        <v>171</v>
      </c>
      <c r="C207" s="30">
        <f t="array" ref="C207">D207+E207+F207+G207</f>
        <v>0</v>
      </c>
      <c r="D207" s="30">
        <f t="array" ref="D207">IF($H$245=0,0,D$19*H207/$H$245)</f>
        <v>0</v>
      </c>
      <c r="E207" s="30">
        <f t="array" ref="E207">IF($H$245=0,0,E$19*H207/$H$245)</f>
        <v>0</v>
      </c>
      <c r="F207" s="30">
        <f t="array" ref="F207">IF($I$245=0,0,F$19*I207/$I$245)</f>
        <v>0</v>
      </c>
      <c r="G207" s="30">
        <f t="array" ref="G207">IF($I$245=0,0,G$19*I207/$I$245)</f>
        <v>0</v>
      </c>
      <c r="H207" s="30">
        <f t="array" ref="H207">H$143*$L207</f>
        <v>0</v>
      </c>
      <c r="I207" s="30">
        <f t="array" ref="I207">I$143*$L207</f>
        <v>0</v>
      </c>
      <c r="J207" s="29"/>
      <c r="K207" s="29"/>
      <c r="L207" s="1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21" t="s">
        <v>323</v>
      </c>
      <c r="B208" s="22" t="s">
        <v>173</v>
      </c>
      <c r="C208" s="30">
        <f t="array" ref="C208">D208+E208+F208+G208</f>
        <v>0</v>
      </c>
      <c r="D208" s="30">
        <f t="array" ref="D208">IF($H$245=0,0,D$19*H208/$H$245)</f>
        <v>0</v>
      </c>
      <c r="E208" s="30">
        <f t="array" ref="E208">IF($H$245=0,0,E$19*H208/$H$245)</f>
        <v>0</v>
      </c>
      <c r="F208" s="30">
        <f t="array" ref="F208">IF($I$245=0,0,F$19*I208/$I$245)</f>
        <v>0</v>
      </c>
      <c r="G208" s="30">
        <f t="array" ref="G208">IF($I$245=0,0,G$19*I208/$I$245)</f>
        <v>0</v>
      </c>
      <c r="H208" s="30">
        <f t="array" ref="H208">H$143*$L208</f>
        <v>0</v>
      </c>
      <c r="I208" s="30">
        <f t="array" ref="I208">I$143*$L208</f>
        <v>0</v>
      </c>
      <c r="J208" s="29"/>
      <c r="K208" s="29"/>
      <c r="L208" s="1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21" t="s">
        <v>324</v>
      </c>
      <c r="B209" s="22" t="s">
        <v>175</v>
      </c>
      <c r="C209" s="30">
        <f t="array" ref="C209">D209+E209+F209+G209</f>
        <v>0</v>
      </c>
      <c r="D209" s="30">
        <f t="array" ref="D209">IF($H$245=0,0,D$19*H209/$H$245)</f>
        <v>0</v>
      </c>
      <c r="E209" s="30">
        <f t="array" ref="E209">IF($H$245=0,0,E$19*H209/$H$245)</f>
        <v>0</v>
      </c>
      <c r="F209" s="30">
        <f t="array" ref="F209">IF($I$245=0,0,F$19*I209/$I$245)</f>
        <v>0</v>
      </c>
      <c r="G209" s="30">
        <f t="array" ref="G209">IF($I$245=0,0,G$19*I209/$I$245)</f>
        <v>0</v>
      </c>
      <c r="H209" s="30">
        <f t="array" ref="H209">H$143*$L209</f>
        <v>0</v>
      </c>
      <c r="I209" s="30">
        <f t="array" ref="I209">I$143*$L209</f>
        <v>0</v>
      </c>
      <c r="J209" s="29"/>
      <c r="K209" s="29"/>
      <c r="L209" s="1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21" t="s">
        <v>325</v>
      </c>
      <c r="B210" s="22" t="s">
        <v>177</v>
      </c>
      <c r="C210" s="30">
        <f t="array" ref="C210">D210+E210+F210+G210</f>
        <v>0</v>
      </c>
      <c r="D210" s="30">
        <f t="array" ref="D210">IF($H$245=0,0,D$19*H210/$H$245)</f>
        <v>0</v>
      </c>
      <c r="E210" s="30">
        <f t="array" ref="E210">IF($H$245=0,0,E$19*H210/$H$245)</f>
        <v>0</v>
      </c>
      <c r="F210" s="30">
        <f t="array" ref="F210">IF($I$245=0,0,F$19*I210/$I$245)</f>
        <v>0</v>
      </c>
      <c r="G210" s="30">
        <f t="array" ref="G210">IF($I$245=0,0,G$19*I210/$I$245)</f>
        <v>0</v>
      </c>
      <c r="H210" s="30">
        <f t="array" ref="H210">H$143*$L210</f>
        <v>0</v>
      </c>
      <c r="I210" s="30">
        <f t="array" ref="I210">I$143*$L210</f>
        <v>0</v>
      </c>
      <c r="J210" s="29"/>
      <c r="K210" s="29"/>
      <c r="L210" s="1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21" t="s">
        <v>326</v>
      </c>
      <c r="B211" s="22" t="s">
        <v>179</v>
      </c>
      <c r="C211" s="30">
        <f t="array" ref="C211">D211+E211+F211+G211</f>
        <v>0</v>
      </c>
      <c r="D211" s="30">
        <f t="array" ref="D211">IF($H$245=0,0,D$19*H211/$H$245)</f>
        <v>0</v>
      </c>
      <c r="E211" s="30">
        <f t="array" ref="E211">IF($H$245=0,0,E$19*H211/$H$245)</f>
        <v>0</v>
      </c>
      <c r="F211" s="30">
        <f t="array" ref="F211">IF($I$245=0,0,F$19*I211/$I$245)</f>
        <v>0</v>
      </c>
      <c r="G211" s="30">
        <f t="array" ref="G211">IF($I$245=0,0,G$19*I211/$I$245)</f>
        <v>0</v>
      </c>
      <c r="H211" s="30">
        <f t="array" ref="H211">H$143*$L211</f>
        <v>0</v>
      </c>
      <c r="I211" s="30">
        <f t="array" ref="I211">I$143*$L211</f>
        <v>0</v>
      </c>
      <c r="J211" s="29"/>
      <c r="K211" s="29"/>
      <c r="L211" s="1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21" t="s">
        <v>327</v>
      </c>
      <c r="B212" s="22" t="s">
        <v>181</v>
      </c>
      <c r="C212" s="30">
        <f t="array" ref="C212">D212+E212+F212+G212</f>
        <v>0</v>
      </c>
      <c r="D212" s="30">
        <f t="array" ref="D212">IF($H$245=0,0,D$19*H212/$H$245)</f>
        <v>0</v>
      </c>
      <c r="E212" s="30">
        <f t="array" ref="E212">IF($H$245=0,0,E$19*H212/$H$245)</f>
        <v>0</v>
      </c>
      <c r="F212" s="30">
        <f t="array" ref="F212">IF($I$245=0,0,F$19*I212/$I$245)</f>
        <v>0</v>
      </c>
      <c r="G212" s="30">
        <f t="array" ref="G212">IF($I$245=0,0,G$19*I212/$I$245)</f>
        <v>0</v>
      </c>
      <c r="H212" s="30">
        <f t="array" ref="H212">H$143*$L212</f>
        <v>0</v>
      </c>
      <c r="I212" s="30">
        <f t="array" ref="I212">I$143*$L212</f>
        <v>0</v>
      </c>
      <c r="J212" s="29"/>
      <c r="K212" s="29"/>
      <c r="L212" s="1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21" t="s">
        <v>328</v>
      </c>
      <c r="B213" s="22" t="s">
        <v>183</v>
      </c>
      <c r="C213" s="30">
        <f t="array" ref="C213">D213+E213+F213+G213</f>
        <v>0</v>
      </c>
      <c r="D213" s="30">
        <f t="array" ref="D213">IF($H$245=0,0,D$19*H213/$H$245)</f>
        <v>0</v>
      </c>
      <c r="E213" s="30">
        <f t="array" ref="E213">IF($H$245=0,0,E$19*H213/$H$245)</f>
        <v>0</v>
      </c>
      <c r="F213" s="30">
        <f t="array" ref="F213">IF($I$245=0,0,F$19*I213/$I$245)</f>
        <v>0</v>
      </c>
      <c r="G213" s="30">
        <f t="array" ref="G213">IF($I$245=0,0,G$19*I213/$I$245)</f>
        <v>0</v>
      </c>
      <c r="H213" s="30">
        <f t="array" ref="H213">H$143*$L213</f>
        <v>0</v>
      </c>
      <c r="I213" s="30">
        <f t="array" ref="I213">I$143*$L213</f>
        <v>0</v>
      </c>
      <c r="J213" s="29"/>
      <c r="K213" s="29"/>
      <c r="L213" s="1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21" t="s">
        <v>329</v>
      </c>
      <c r="B214" s="22" t="s">
        <v>185</v>
      </c>
      <c r="C214" s="30">
        <f t="array" ref="C214">D214+E214+F214+G214</f>
        <v>0</v>
      </c>
      <c r="D214" s="30">
        <f t="array" ref="D214">IF($H$245=0,0,D$19*H214/$H$245)</f>
        <v>0</v>
      </c>
      <c r="E214" s="30">
        <f t="array" ref="E214">IF($H$245=0,0,E$19*H214/$H$245)</f>
        <v>0</v>
      </c>
      <c r="F214" s="30">
        <f t="array" ref="F214">IF($I$245=0,0,F$19*I214/$I$245)</f>
        <v>0</v>
      </c>
      <c r="G214" s="30">
        <f t="array" ref="G214">IF($I$245=0,0,G$19*I214/$I$245)</f>
        <v>0</v>
      </c>
      <c r="H214" s="30">
        <f t="array" ref="H214">H$143*$L214</f>
        <v>0</v>
      </c>
      <c r="I214" s="30">
        <f t="array" ref="I214">I$143*$L214</f>
        <v>0</v>
      </c>
      <c r="J214" s="29"/>
      <c r="K214" s="29"/>
      <c r="L214" s="1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21" t="s">
        <v>330</v>
      </c>
      <c r="B215" s="22" t="s">
        <v>187</v>
      </c>
      <c r="C215" s="30">
        <f t="array" ref="C215">D215+E215+F215+G215</f>
        <v>0</v>
      </c>
      <c r="D215" s="30">
        <f t="array" ref="D215">IF($H$245=0,0,D$19*H215/$H$245)</f>
        <v>0</v>
      </c>
      <c r="E215" s="30">
        <f t="array" ref="E215">IF($H$245=0,0,E$19*H215/$H$245)</f>
        <v>0</v>
      </c>
      <c r="F215" s="30">
        <f t="array" ref="F215">IF($I$245=0,0,F$19*I215/$I$245)</f>
        <v>0</v>
      </c>
      <c r="G215" s="30">
        <f t="array" ref="G215">IF($I$245=0,0,G$19*I215/$I$245)</f>
        <v>0</v>
      </c>
      <c r="H215" s="30">
        <f t="array" ref="H215">H$143*$L215</f>
        <v>0</v>
      </c>
      <c r="I215" s="30">
        <f t="array" ref="I215">I$143*$L215</f>
        <v>0</v>
      </c>
      <c r="J215" s="29"/>
      <c r="K215" s="29"/>
      <c r="L215" s="1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21" t="s">
        <v>331</v>
      </c>
      <c r="B216" s="22" t="s">
        <v>189</v>
      </c>
      <c r="C216" s="30">
        <f t="array" ref="C216">D216+E216+F216+G216</f>
        <v>0</v>
      </c>
      <c r="D216" s="30">
        <f t="array" ref="D216">IF($H$245=0,0,D$19*H216/$H$245)</f>
        <v>0</v>
      </c>
      <c r="E216" s="30">
        <f t="array" ref="E216">IF($H$245=0,0,E$19*H216/$H$245)</f>
        <v>0</v>
      </c>
      <c r="F216" s="30">
        <f t="array" ref="F216">IF($I$245=0,0,F$19*I216/$I$245)</f>
        <v>0</v>
      </c>
      <c r="G216" s="30">
        <f t="array" ref="G216">IF($I$245=0,0,G$19*I216/$I$245)</f>
        <v>0</v>
      </c>
      <c r="H216" s="30">
        <f t="array" ref="H216">H$143*$L216</f>
        <v>0</v>
      </c>
      <c r="I216" s="30">
        <f t="array" ref="I216">I$143*$L216</f>
        <v>0</v>
      </c>
      <c r="J216" s="29"/>
      <c r="K216" s="29"/>
      <c r="L216" s="1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21" t="s">
        <v>332</v>
      </c>
      <c r="B217" s="22" t="s">
        <v>191</v>
      </c>
      <c r="C217" s="30">
        <f t="array" ref="C217">D217+E217+F217+G217</f>
        <v>0</v>
      </c>
      <c r="D217" s="30">
        <f t="array" ref="D217">IF($H$245=0,0,D$19*H217/$H$245)</f>
        <v>0</v>
      </c>
      <c r="E217" s="30">
        <f t="array" ref="E217">IF($H$245=0,0,E$19*H217/$H$245)</f>
        <v>0</v>
      </c>
      <c r="F217" s="30">
        <f t="array" ref="F217">IF($I$245=0,0,F$19*I217/$I$245)</f>
        <v>0</v>
      </c>
      <c r="G217" s="30">
        <f t="array" ref="G217">IF($I$245=0,0,G$19*I217/$I$245)</f>
        <v>0</v>
      </c>
      <c r="H217" s="30">
        <f t="array" ref="H217">H$143*$L217</f>
        <v>0</v>
      </c>
      <c r="I217" s="30">
        <f t="array" ref="I217">I$143*$L217</f>
        <v>0</v>
      </c>
      <c r="J217" s="29"/>
      <c r="K217" s="29"/>
      <c r="L217" s="1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21" t="s">
        <v>333</v>
      </c>
      <c r="B218" s="22" t="s">
        <v>193</v>
      </c>
      <c r="C218" s="30">
        <f t="array" ref="C218">D218+E218+F218+G218</f>
        <v>0</v>
      </c>
      <c r="D218" s="30">
        <f t="array" ref="D218">IF($H$245=0,0,D$19*H218/$H$245)</f>
        <v>0</v>
      </c>
      <c r="E218" s="30">
        <f t="array" ref="E218">IF($H$245=0,0,E$19*H218/$H$245)</f>
        <v>0</v>
      </c>
      <c r="F218" s="30">
        <f t="array" ref="F218">IF($I$245=0,0,F$19*I218/$I$245)</f>
        <v>0</v>
      </c>
      <c r="G218" s="30">
        <f t="array" ref="G218">IF($I$245=0,0,G$19*I218/$I$245)</f>
        <v>0</v>
      </c>
      <c r="H218" s="30">
        <f t="array" ref="H218">H$143*$L218</f>
        <v>0</v>
      </c>
      <c r="I218" s="30">
        <f t="array" ref="I218">I$143*$L218</f>
        <v>0</v>
      </c>
      <c r="J218" s="29"/>
      <c r="K218" s="29"/>
      <c r="L218" s="1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21" t="s">
        <v>334</v>
      </c>
      <c r="B219" s="22" t="s">
        <v>195</v>
      </c>
      <c r="C219" s="30">
        <f t="array" ref="C219">D219+E219+F219+G219</f>
        <v>0</v>
      </c>
      <c r="D219" s="30">
        <f t="array" ref="D219">IF($H$245=0,0,D$19*H219/$H$245)</f>
        <v>0</v>
      </c>
      <c r="E219" s="30">
        <f t="array" ref="E219">IF($H$245=0,0,E$19*H219/$H$245)</f>
        <v>0</v>
      </c>
      <c r="F219" s="30">
        <f t="array" ref="F219">IF($I$245=0,0,F$19*I219/$I$245)</f>
        <v>0</v>
      </c>
      <c r="G219" s="30">
        <f t="array" ref="G219">IF($I$245=0,0,G$19*I219/$I$245)</f>
        <v>0</v>
      </c>
      <c r="H219" s="30">
        <f t="array" ref="H219">H$143*$L219</f>
        <v>0</v>
      </c>
      <c r="I219" s="30">
        <f t="array" ref="I219">I$143*$L219</f>
        <v>0</v>
      </c>
      <c r="J219" s="29"/>
      <c r="K219" s="29"/>
      <c r="L219" s="1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21" t="s">
        <v>335</v>
      </c>
      <c r="B220" s="22" t="s">
        <v>197</v>
      </c>
      <c r="C220" s="30">
        <f t="array" ref="C220">D220+E220+F220+G220</f>
        <v>0</v>
      </c>
      <c r="D220" s="30">
        <f t="array" ref="D220">IF($H$245=0,0,D$19*H220/$H$245)</f>
        <v>0</v>
      </c>
      <c r="E220" s="30">
        <f t="array" ref="E220">IF($H$245=0,0,E$19*H220/$H$245)</f>
        <v>0</v>
      </c>
      <c r="F220" s="30">
        <f t="array" ref="F220">IF($I$245=0,0,F$19*I220/$I$245)</f>
        <v>0</v>
      </c>
      <c r="G220" s="30">
        <f t="array" ref="G220">IF($I$245=0,0,G$19*I220/$I$245)</f>
        <v>0</v>
      </c>
      <c r="H220" s="30">
        <f t="array" ref="H220">H$143*$L220</f>
        <v>0</v>
      </c>
      <c r="I220" s="30">
        <f t="array" ref="I220">I$143*$L220</f>
        <v>0</v>
      </c>
      <c r="J220" s="29"/>
      <c r="K220" s="29"/>
      <c r="L220" s="1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21" t="s">
        <v>336</v>
      </c>
      <c r="B221" s="22" t="s">
        <v>199</v>
      </c>
      <c r="C221" s="30">
        <f t="array" ref="C221">D221+E221+F221+G221</f>
        <v>0</v>
      </c>
      <c r="D221" s="30">
        <f t="array" ref="D221">IF($H$245=0,0,D$19*H221/$H$245)</f>
        <v>0</v>
      </c>
      <c r="E221" s="30">
        <f t="array" ref="E221">IF($H$245=0,0,E$19*H221/$H$245)</f>
        <v>0</v>
      </c>
      <c r="F221" s="30">
        <f t="array" ref="F221">IF($I$245=0,0,F$19*I221/$I$245)</f>
        <v>0</v>
      </c>
      <c r="G221" s="30">
        <f t="array" ref="G221">IF($I$245=0,0,G$19*I221/$I$245)</f>
        <v>0</v>
      </c>
      <c r="H221" s="30">
        <f t="array" ref="H221">H$143*$L221</f>
        <v>0</v>
      </c>
      <c r="I221" s="30">
        <f t="array" ref="I221">I$143*$L221</f>
        <v>0</v>
      </c>
      <c r="J221" s="29"/>
      <c r="K221" s="29"/>
      <c r="L221" s="1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21" t="s">
        <v>337</v>
      </c>
      <c r="B222" s="22" t="s">
        <v>201</v>
      </c>
      <c r="C222" s="30">
        <f t="array" ref="C222">D222+E222+F222+G222</f>
        <v>0</v>
      </c>
      <c r="D222" s="30">
        <f t="array" ref="D222">IF($H$245=0,0,D$19*H222/$H$245)</f>
        <v>0</v>
      </c>
      <c r="E222" s="30">
        <f t="array" ref="E222">IF($H$245=0,0,E$19*H222/$H$245)</f>
        <v>0</v>
      </c>
      <c r="F222" s="30">
        <f t="array" ref="F222">IF($I$245=0,0,F$19*I222/$I$245)</f>
        <v>0</v>
      </c>
      <c r="G222" s="30">
        <f t="array" ref="G222">IF($I$245=0,0,G$19*I222/$I$245)</f>
        <v>0</v>
      </c>
      <c r="H222" s="30">
        <f t="array" ref="H222">H$143*$L222</f>
        <v>0</v>
      </c>
      <c r="I222" s="30">
        <f t="array" ref="I222">I$143*$L222</f>
        <v>0</v>
      </c>
      <c r="J222" s="29"/>
      <c r="K222" s="29"/>
      <c r="L222" s="1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21" t="s">
        <v>338</v>
      </c>
      <c r="B223" s="22" t="s">
        <v>203</v>
      </c>
      <c r="C223" s="30">
        <f t="array" ref="C223">D223+E223+F223+G223</f>
        <v>0</v>
      </c>
      <c r="D223" s="30">
        <f t="array" ref="D223">IF($H$245=0,0,D$19*H223/$H$245)</f>
        <v>0</v>
      </c>
      <c r="E223" s="30">
        <f t="array" ref="E223">IF($H$245=0,0,E$19*H223/$H$245)</f>
        <v>0</v>
      </c>
      <c r="F223" s="30">
        <f t="array" ref="F223">IF($I$245=0,0,F$19*I223/$I$245)</f>
        <v>0</v>
      </c>
      <c r="G223" s="30">
        <f t="array" ref="G223">IF($I$245=0,0,G$19*I223/$I$245)</f>
        <v>0</v>
      </c>
      <c r="H223" s="30">
        <f t="array" ref="H223">H$143*$L223</f>
        <v>0</v>
      </c>
      <c r="I223" s="30">
        <f t="array" ref="I223">I$143*$L223</f>
        <v>0</v>
      </c>
      <c r="J223" s="29"/>
      <c r="K223" s="29"/>
      <c r="L223" s="1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21" t="s">
        <v>339</v>
      </c>
      <c r="B224" s="22" t="s">
        <v>205</v>
      </c>
      <c r="C224" s="30">
        <f t="array" ref="C224">D224+E224+F224+G224</f>
        <v>0</v>
      </c>
      <c r="D224" s="30">
        <f t="array" ref="D224">IF($H$245=0,0,D$19*H224/$H$245)</f>
        <v>0</v>
      </c>
      <c r="E224" s="30">
        <f t="array" ref="E224">IF($H$245=0,0,E$19*H224/$H$245)</f>
        <v>0</v>
      </c>
      <c r="F224" s="30">
        <f t="array" ref="F224">IF($I$245=0,0,F$19*I224/$I$245)</f>
        <v>0</v>
      </c>
      <c r="G224" s="30">
        <f t="array" ref="G224">IF($I$245=0,0,G$19*I224/$I$245)</f>
        <v>0</v>
      </c>
      <c r="H224" s="30">
        <f t="array" ref="H224">H$143*$L224</f>
        <v>0</v>
      </c>
      <c r="I224" s="30">
        <f t="array" ref="I224">I$143*$L224</f>
        <v>0</v>
      </c>
      <c r="J224" s="29"/>
      <c r="K224" s="29"/>
      <c r="L224" s="1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21" t="s">
        <v>340</v>
      </c>
      <c r="B225" s="22" t="s">
        <v>207</v>
      </c>
      <c r="C225" s="30">
        <f t="array" ref="C225">D225+E225+F225+G225</f>
        <v>0</v>
      </c>
      <c r="D225" s="30">
        <f t="array" ref="D225">IF($H$245=0,0,D$19*H225/$H$245)</f>
        <v>0</v>
      </c>
      <c r="E225" s="30">
        <f t="array" ref="E225">IF($H$245=0,0,E$19*H225/$H$245)</f>
        <v>0</v>
      </c>
      <c r="F225" s="30">
        <f t="array" ref="F225">IF($I$245=0,0,F$19*I225/$I$245)</f>
        <v>0</v>
      </c>
      <c r="G225" s="30">
        <f t="array" ref="G225">IF($I$245=0,0,G$19*I225/$I$245)</f>
        <v>0</v>
      </c>
      <c r="H225" s="30">
        <f t="array" ref="H225">H$143*$L225</f>
        <v>0</v>
      </c>
      <c r="I225" s="30">
        <f t="array" ref="I225">I$143*$L225</f>
        <v>0</v>
      </c>
      <c r="J225" s="29"/>
      <c r="K225" s="29"/>
      <c r="L225" s="1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21" t="s">
        <v>341</v>
      </c>
      <c r="B226" s="22" t="s">
        <v>209</v>
      </c>
      <c r="C226" s="30">
        <f t="array" ref="C226">D226+E226+F226+G226</f>
        <v>0</v>
      </c>
      <c r="D226" s="30">
        <f t="array" ref="D226">IF($H$245=0,0,D$19*H226/$H$245)</f>
        <v>0</v>
      </c>
      <c r="E226" s="30">
        <f t="array" ref="E226">IF($H$245=0,0,E$19*H226/$H$245)</f>
        <v>0</v>
      </c>
      <c r="F226" s="30">
        <f t="array" ref="F226">IF($I$245=0,0,F$19*I226/$I$245)</f>
        <v>0</v>
      </c>
      <c r="G226" s="30">
        <f t="array" ref="G226">IF($I$245=0,0,G$19*I226/$I$245)</f>
        <v>0</v>
      </c>
      <c r="H226" s="30">
        <f t="array" ref="H226">H$143*$L226</f>
        <v>0</v>
      </c>
      <c r="I226" s="30">
        <f t="array" ref="I226">I$143*$L226</f>
        <v>0</v>
      </c>
      <c r="J226" s="29"/>
      <c r="K226" s="29"/>
      <c r="L226" s="1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21" t="s">
        <v>342</v>
      </c>
      <c r="B227" s="22" t="s">
        <v>211</v>
      </c>
      <c r="C227" s="30">
        <f t="array" ref="C227">D227+E227+F227+G227</f>
        <v>0</v>
      </c>
      <c r="D227" s="30">
        <f t="array" ref="D227">IF($H$245=0,0,D$19*H227/$H$245)</f>
        <v>0</v>
      </c>
      <c r="E227" s="30">
        <f t="array" ref="E227">IF($H$245=0,0,E$19*H227/$H$245)</f>
        <v>0</v>
      </c>
      <c r="F227" s="30">
        <f t="array" ref="F227">IF($I$245=0,0,F$19*I227/$I$245)</f>
        <v>0</v>
      </c>
      <c r="G227" s="30">
        <f t="array" ref="G227">IF($I$245=0,0,G$19*I227/$I$245)</f>
        <v>0</v>
      </c>
      <c r="H227" s="30">
        <f t="array" ref="H227">H$143*$L227</f>
        <v>0</v>
      </c>
      <c r="I227" s="30">
        <f t="array" ref="I227">I$143*$L227</f>
        <v>0</v>
      </c>
      <c r="J227" s="29"/>
      <c r="K227" s="29"/>
      <c r="L227" s="1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21" t="s">
        <v>343</v>
      </c>
      <c r="B228" s="22" t="s">
        <v>213</v>
      </c>
      <c r="C228" s="30">
        <f t="array" ref="C228">D228+E228+F228+G228</f>
        <v>0</v>
      </c>
      <c r="D228" s="30">
        <f t="array" ref="D228">IF($H$245=0,0,D$19*H228/$H$245)</f>
        <v>0</v>
      </c>
      <c r="E228" s="30">
        <f t="array" ref="E228">IF($H$245=0,0,E$19*H228/$H$245)</f>
        <v>0</v>
      </c>
      <c r="F228" s="30">
        <f t="array" ref="F228">IF($I$245=0,0,F$19*I228/$I$245)</f>
        <v>0</v>
      </c>
      <c r="G228" s="30">
        <f t="array" ref="G228">IF($I$245=0,0,G$19*I228/$I$245)</f>
        <v>0</v>
      </c>
      <c r="H228" s="30">
        <f t="array" ref="H228">H$143*$L228</f>
        <v>0</v>
      </c>
      <c r="I228" s="30">
        <f t="array" ref="I228">I$143*$L228</f>
        <v>0</v>
      </c>
      <c r="J228" s="29"/>
      <c r="K228" s="29"/>
      <c r="L228" s="1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21" t="s">
        <v>344</v>
      </c>
      <c r="B229" s="22" t="s">
        <v>215</v>
      </c>
      <c r="C229" s="30">
        <f t="array" ref="C229">D229+E229+F229+G229</f>
        <v>0</v>
      </c>
      <c r="D229" s="30">
        <f t="array" ref="D229">IF($H$245=0,0,D$19*H229/$H$245)</f>
        <v>0</v>
      </c>
      <c r="E229" s="30">
        <f t="array" ref="E229">IF($H$245=0,0,E$19*H229/$H$245)</f>
        <v>0</v>
      </c>
      <c r="F229" s="30">
        <f t="array" ref="F229">IF($I$245=0,0,F$19*I229/$I$245)</f>
        <v>0</v>
      </c>
      <c r="G229" s="30">
        <f t="array" ref="G229">IF($I$245=0,0,G$19*I229/$I$245)</f>
        <v>0</v>
      </c>
      <c r="H229" s="30">
        <f t="array" ref="H229">H$143*$L229</f>
        <v>0</v>
      </c>
      <c r="I229" s="30">
        <f t="array" ref="I229">I$143*$L229</f>
        <v>0</v>
      </c>
      <c r="J229" s="29"/>
      <c r="K229" s="29"/>
      <c r="L229" s="1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21" t="s">
        <v>345</v>
      </c>
      <c r="B230" s="22" t="s">
        <v>217</v>
      </c>
      <c r="C230" s="30">
        <f t="array" ref="C230">D230+E230+F230+G230</f>
        <v>0</v>
      </c>
      <c r="D230" s="30">
        <f t="array" ref="D230">IF($H$245=0,0,D$19*H230/$H$245)</f>
        <v>0</v>
      </c>
      <c r="E230" s="30">
        <f t="array" ref="E230">IF($H$245=0,0,E$19*H230/$H$245)</f>
        <v>0</v>
      </c>
      <c r="F230" s="30">
        <f t="array" ref="F230">IF($I$245=0,0,F$19*I230/$I$245)</f>
        <v>0</v>
      </c>
      <c r="G230" s="30">
        <f t="array" ref="G230">IF($I$245=0,0,G$19*I230/$I$245)</f>
        <v>0</v>
      </c>
      <c r="H230" s="30">
        <f t="array" ref="H230">H$143*$L230</f>
        <v>0</v>
      </c>
      <c r="I230" s="30">
        <f t="array" ref="I230">I$143*$L230</f>
        <v>0</v>
      </c>
      <c r="J230" s="29"/>
      <c r="K230" s="29"/>
      <c r="L230" s="1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21" t="s">
        <v>346</v>
      </c>
      <c r="B231" s="22" t="s">
        <v>219</v>
      </c>
      <c r="C231" s="30">
        <f t="array" ref="C231">D231+E231+F231+G231</f>
        <v>0</v>
      </c>
      <c r="D231" s="30">
        <f t="array" ref="D231">IF($H$245=0,0,D$19*H231/$H$245)</f>
        <v>0</v>
      </c>
      <c r="E231" s="30">
        <f t="array" ref="E231">IF($H$245=0,0,E$19*H231/$H$245)</f>
        <v>0</v>
      </c>
      <c r="F231" s="30">
        <f t="array" ref="F231">IF($I$245=0,0,F$19*I231/$I$245)</f>
        <v>0</v>
      </c>
      <c r="G231" s="30">
        <f t="array" ref="G231">IF($I$245=0,0,G$19*I231/$I$245)</f>
        <v>0</v>
      </c>
      <c r="H231" s="30">
        <f t="array" ref="H231">H$143*$L231</f>
        <v>0</v>
      </c>
      <c r="I231" s="30">
        <f t="array" ref="I231">I$143*$L231</f>
        <v>0</v>
      </c>
      <c r="J231" s="29"/>
      <c r="K231" s="29"/>
      <c r="L231" s="1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21" t="s">
        <v>347</v>
      </c>
      <c r="B232" s="22" t="s">
        <v>221</v>
      </c>
      <c r="C232" s="30">
        <f t="array" ref="C232">D232+E232+F232+G232</f>
        <v>0</v>
      </c>
      <c r="D232" s="30">
        <f t="array" ref="D232">IF($H$245=0,0,D$19*H232/$H$245)</f>
        <v>0</v>
      </c>
      <c r="E232" s="30">
        <f t="array" ref="E232">IF($H$245=0,0,E$19*H232/$H$245)</f>
        <v>0</v>
      </c>
      <c r="F232" s="30">
        <f t="array" ref="F232">IF($I$245=0,0,F$19*I232/$I$245)</f>
        <v>0</v>
      </c>
      <c r="G232" s="30">
        <f t="array" ref="G232">IF($I$245=0,0,G$19*I232/$I$245)</f>
        <v>0</v>
      </c>
      <c r="H232" s="30">
        <f t="array" ref="H232">H$143*$L232</f>
        <v>0</v>
      </c>
      <c r="I232" s="30">
        <f t="array" ref="I232">I$143*$L232</f>
        <v>0</v>
      </c>
      <c r="J232" s="29"/>
      <c r="K232" s="29"/>
      <c r="L232" s="1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21" t="s">
        <v>348</v>
      </c>
      <c r="B233" s="22" t="s">
        <v>223</v>
      </c>
      <c r="C233" s="30">
        <f t="array" ref="C233">D233+E233+F233+G233</f>
        <v>0</v>
      </c>
      <c r="D233" s="30">
        <f t="array" ref="D233">IF($H$245=0,0,D$19*H233/$H$245)</f>
        <v>0</v>
      </c>
      <c r="E233" s="30">
        <f t="array" ref="E233">IF($H$245=0,0,E$19*H233/$H$245)</f>
        <v>0</v>
      </c>
      <c r="F233" s="30">
        <f t="array" ref="F233">IF($I$245=0,0,F$19*I233/$I$245)</f>
        <v>0</v>
      </c>
      <c r="G233" s="30">
        <f t="array" ref="G233">IF($I$245=0,0,G$19*I233/$I$245)</f>
        <v>0</v>
      </c>
      <c r="H233" s="30">
        <f t="array" ref="H233">H$143*$L233</f>
        <v>0</v>
      </c>
      <c r="I233" s="30">
        <f t="array" ref="I233">I$143*$L233</f>
        <v>0</v>
      </c>
      <c r="J233" s="29"/>
      <c r="K233" s="29"/>
      <c r="L233" s="1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21" t="s">
        <v>349</v>
      </c>
      <c r="B234" s="22" t="s">
        <v>225</v>
      </c>
      <c r="C234" s="30">
        <f t="array" ref="C234">D234+E234+F234+G234</f>
        <v>0</v>
      </c>
      <c r="D234" s="30">
        <f t="array" ref="D234">IF($H$245=0,0,D$19*H234/$H$245)</f>
        <v>0</v>
      </c>
      <c r="E234" s="30">
        <f t="array" ref="E234">IF($H$245=0,0,E$19*H234/$H$245)</f>
        <v>0</v>
      </c>
      <c r="F234" s="30">
        <f t="array" ref="F234">IF($I$245=0,0,F$19*I234/$I$245)</f>
        <v>0</v>
      </c>
      <c r="G234" s="30">
        <f t="array" ref="G234">IF($I$245=0,0,G$19*I234/$I$245)</f>
        <v>0</v>
      </c>
      <c r="H234" s="30">
        <f t="array" ref="H234">H$143*$L234</f>
        <v>0</v>
      </c>
      <c r="I234" s="30">
        <f t="array" ref="I234">I$143*$L234</f>
        <v>0</v>
      </c>
      <c r="J234" s="29"/>
      <c r="K234" s="29"/>
      <c r="L234" s="1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21" t="s">
        <v>350</v>
      </c>
      <c r="B235" s="22" t="s">
        <v>227</v>
      </c>
      <c r="C235" s="30">
        <f t="array" ref="C235">D235+E235+F235+G235</f>
        <v>0</v>
      </c>
      <c r="D235" s="30">
        <f t="array" ref="D235">IF($H$245=0,0,D$19*H235/$H$245)</f>
        <v>0</v>
      </c>
      <c r="E235" s="30">
        <f t="array" ref="E235">IF($H$245=0,0,E$19*H235/$H$245)</f>
        <v>0</v>
      </c>
      <c r="F235" s="30">
        <f t="array" ref="F235">IF($I$245=0,0,F$19*I235/$I$245)</f>
        <v>0</v>
      </c>
      <c r="G235" s="30">
        <f t="array" ref="G235">IF($I$245=0,0,G$19*I235/$I$245)</f>
        <v>0</v>
      </c>
      <c r="H235" s="30">
        <f t="array" ref="H235">H$143*$L235</f>
        <v>0</v>
      </c>
      <c r="I235" s="30">
        <f t="array" ref="I235">I$143*$L235</f>
        <v>0</v>
      </c>
      <c r="J235" s="29"/>
      <c r="K235" s="29"/>
      <c r="L235" s="1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21" t="s">
        <v>351</v>
      </c>
      <c r="B236" s="22" t="s">
        <v>229</v>
      </c>
      <c r="C236" s="30">
        <f t="array" ref="C236">D236+E236+F236+G236</f>
        <v>0</v>
      </c>
      <c r="D236" s="30">
        <f t="array" ref="D236">IF($H$245=0,0,D$19*H236/$H$245)</f>
        <v>0</v>
      </c>
      <c r="E236" s="30">
        <f t="array" ref="E236">IF($H$245=0,0,E$19*H236/$H$245)</f>
        <v>0</v>
      </c>
      <c r="F236" s="30">
        <f t="array" ref="F236">IF($I$245=0,0,F$19*I236/$I$245)</f>
        <v>0</v>
      </c>
      <c r="G236" s="30">
        <f t="array" ref="G236">IF($I$245=0,0,G$19*I236/$I$245)</f>
        <v>0</v>
      </c>
      <c r="H236" s="30">
        <f t="array" ref="H236">H$143*$L236</f>
        <v>0</v>
      </c>
      <c r="I236" s="30">
        <f t="array" ref="I236">I$143*$L236</f>
        <v>0</v>
      </c>
      <c r="J236" s="29"/>
      <c r="K236" s="29"/>
      <c r="L236" s="1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21" t="s">
        <v>352</v>
      </c>
      <c r="B237" s="22" t="s">
        <v>231</v>
      </c>
      <c r="C237" s="30">
        <f t="array" ref="C237">D237+E237+F237+G237</f>
        <v>0</v>
      </c>
      <c r="D237" s="30">
        <f t="array" ref="D237">IF($H$245=0,0,D$19*H237/$H$245)</f>
        <v>0</v>
      </c>
      <c r="E237" s="30">
        <f t="array" ref="E237">IF($H$245=0,0,E$19*H237/$H$245)</f>
        <v>0</v>
      </c>
      <c r="F237" s="30">
        <f t="array" ref="F237">IF($I$245=0,0,F$19*I237/$I$245)</f>
        <v>0</v>
      </c>
      <c r="G237" s="30">
        <f t="array" ref="G237">IF($I$245=0,0,G$19*I237/$I$245)</f>
        <v>0</v>
      </c>
      <c r="H237" s="30">
        <f t="array" ref="H237">H$143*$L237</f>
        <v>0</v>
      </c>
      <c r="I237" s="30">
        <f t="array" ref="I237">I$143*$L237</f>
        <v>0</v>
      </c>
      <c r="J237" s="29"/>
      <c r="K237" s="29"/>
      <c r="L237" s="1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21" t="s">
        <v>353</v>
      </c>
      <c r="B238" s="22" t="s">
        <v>233</v>
      </c>
      <c r="C238" s="30">
        <f t="array" ref="C238">D238+E238+F238+G238</f>
        <v>0</v>
      </c>
      <c r="D238" s="30">
        <f t="array" ref="D238">IF($H$245=0,0,D$19*H238/$H$245)</f>
        <v>0</v>
      </c>
      <c r="E238" s="30">
        <f t="array" ref="E238">IF($H$245=0,0,E$19*H238/$H$245)</f>
        <v>0</v>
      </c>
      <c r="F238" s="30">
        <f t="array" ref="F238">IF($I$245=0,0,F$19*I238/$I$245)</f>
        <v>0</v>
      </c>
      <c r="G238" s="30">
        <f t="array" ref="G238">IF($I$245=0,0,G$19*I238/$I$245)</f>
        <v>0</v>
      </c>
      <c r="H238" s="30">
        <f t="array" ref="H238">H$143*$L238</f>
        <v>0</v>
      </c>
      <c r="I238" s="30">
        <f t="array" ref="I238">I$143*$L238</f>
        <v>0</v>
      </c>
      <c r="J238" s="29"/>
      <c r="K238" s="29"/>
      <c r="L238" s="1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21" t="s">
        <v>354</v>
      </c>
      <c r="B239" s="22" t="s">
        <v>235</v>
      </c>
      <c r="C239" s="30">
        <f t="array" ref="C239">D239+E239+F239+G239</f>
        <v>0</v>
      </c>
      <c r="D239" s="30">
        <f t="array" ref="D239">IF($H$245=0,0,D$19*H239/$H$245)</f>
        <v>0</v>
      </c>
      <c r="E239" s="30">
        <f t="array" ref="E239">IF($H$245=0,0,E$19*H239/$H$245)</f>
        <v>0</v>
      </c>
      <c r="F239" s="30">
        <f t="array" ref="F239">IF($I$245=0,0,F$19*I239/$I$245)</f>
        <v>0</v>
      </c>
      <c r="G239" s="30">
        <f t="array" ref="G239">IF($I$245=0,0,G$19*I239/$I$245)</f>
        <v>0</v>
      </c>
      <c r="H239" s="30">
        <f t="array" ref="H239">H$143*$L239</f>
        <v>0</v>
      </c>
      <c r="I239" s="30">
        <f t="array" ref="I239">I$143*$L239</f>
        <v>0</v>
      </c>
      <c r="J239" s="29"/>
      <c r="K239" s="29"/>
      <c r="L239" s="1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21" t="s">
        <v>355</v>
      </c>
      <c r="B240" s="22" t="s">
        <v>237</v>
      </c>
      <c r="C240" s="30">
        <f t="array" ref="C240">D240+E240+F240+G240</f>
        <v>0</v>
      </c>
      <c r="D240" s="30">
        <f t="array" ref="D240">IF($H$245=0,0,D$19*H240/$H$245)</f>
        <v>0</v>
      </c>
      <c r="E240" s="30">
        <f t="array" ref="E240">IF($H$245=0,0,E$19*H240/$H$245)</f>
        <v>0</v>
      </c>
      <c r="F240" s="30">
        <f t="array" ref="F240">IF($I$245=0,0,F$19*I240/$I$245)</f>
        <v>0</v>
      </c>
      <c r="G240" s="30">
        <f t="array" ref="G240">IF($I$245=0,0,G$19*I240/$I$245)</f>
        <v>0</v>
      </c>
      <c r="H240" s="30">
        <f t="array" ref="H240">H$143*$L240</f>
        <v>0</v>
      </c>
      <c r="I240" s="30">
        <f t="array" ref="I240">I$143*$L240</f>
        <v>0</v>
      </c>
      <c r="J240" s="29"/>
      <c r="K240" s="29"/>
      <c r="L240" s="1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21" t="s">
        <v>356</v>
      </c>
      <c r="B241" s="22" t="s">
        <v>239</v>
      </c>
      <c r="C241" s="30">
        <f t="array" ref="C241">D241+E241+F241+G241</f>
        <v>0</v>
      </c>
      <c r="D241" s="30">
        <f t="array" ref="D241">IF($H$245=0,0,D$19*H241/$H$245)</f>
        <v>0</v>
      </c>
      <c r="E241" s="30">
        <f t="array" ref="E241">IF($H$245=0,0,E$19*H241/$H$245)</f>
        <v>0</v>
      </c>
      <c r="F241" s="30">
        <f t="array" ref="F241">IF($I$245=0,0,F$19*I241/$I$245)</f>
        <v>0</v>
      </c>
      <c r="G241" s="30">
        <f t="array" ref="G241">IF($I$245=0,0,G$19*I241/$I$245)</f>
        <v>0</v>
      </c>
      <c r="H241" s="30">
        <f t="array" ref="H241">H$143*$L241</f>
        <v>0</v>
      </c>
      <c r="I241" s="30">
        <f t="array" ref="I241">I$143*$L241</f>
        <v>0</v>
      </c>
      <c r="J241" s="29"/>
      <c r="K241" s="29"/>
      <c r="L241" s="1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21" t="s">
        <v>357</v>
      </c>
      <c r="B242" s="22" t="s">
        <v>241</v>
      </c>
      <c r="C242" s="30">
        <f t="array" ref="C242">D242+E242+F242+G242</f>
        <v>0</v>
      </c>
      <c r="D242" s="30">
        <f t="array" ref="D242">IF($H$245=0,0,D$19*H242/$H$245)</f>
        <v>0</v>
      </c>
      <c r="E242" s="30">
        <f t="array" ref="E242">IF($H$245=0,0,E$19*H242/$H$245)</f>
        <v>0</v>
      </c>
      <c r="F242" s="30">
        <f t="array" ref="F242">IF($I$245=0,0,F$19*I242/$I$245)</f>
        <v>0</v>
      </c>
      <c r="G242" s="30">
        <f t="array" ref="G242">IF($I$245=0,0,G$19*I242/$I$245)</f>
        <v>0</v>
      </c>
      <c r="H242" s="30">
        <f t="array" ref="H242">H$143*$L242</f>
        <v>0</v>
      </c>
      <c r="I242" s="30">
        <f t="array" ref="I242">I$143*$L242</f>
        <v>0</v>
      </c>
      <c r="J242" s="29"/>
      <c r="K242" s="29"/>
      <c r="L242" s="1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21" t="s">
        <v>358</v>
      </c>
      <c r="B243" s="22" t="s">
        <v>243</v>
      </c>
      <c r="C243" s="30">
        <f t="array" ref="C243">D243+E243+F243+G243</f>
        <v>0</v>
      </c>
      <c r="D243" s="30">
        <f t="array" ref="D243">IF($H$245=0,0,D$19*H243/$H$245)</f>
        <v>0</v>
      </c>
      <c r="E243" s="30">
        <f t="array" ref="E243">IF($H$245=0,0,E$19*H243/$H$245)</f>
        <v>0</v>
      </c>
      <c r="F243" s="30">
        <f t="array" ref="F243">IF($I$245=0,0,F$19*I243/$I$245)</f>
        <v>0</v>
      </c>
      <c r="G243" s="30">
        <f t="array" ref="G243">IF($I$245=0,0,G$19*I243/$I$245)</f>
        <v>0</v>
      </c>
      <c r="H243" s="30">
        <f t="array" ref="H243">H$143*$L243</f>
        <v>0</v>
      </c>
      <c r="I243" s="30">
        <f t="array" ref="I243">I$143*$L243</f>
        <v>0</v>
      </c>
      <c r="J243" s="29"/>
      <c r="K243" s="29"/>
      <c r="L243" s="1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21" t="s">
        <v>359</v>
      </c>
      <c r="B244" s="22" t="s">
        <v>245</v>
      </c>
      <c r="C244" s="30">
        <f t="array" ref="C244">D244+E244+F244+G244</f>
        <v>0</v>
      </c>
      <c r="D244" s="30">
        <f t="array" ref="D244">IF($H$245=0,0,D$19*H244/$H$245)</f>
        <v>0</v>
      </c>
      <c r="E244" s="30">
        <f t="array" ref="E244">IF($H$245=0,0,E$19*H244/$H$245)</f>
        <v>0</v>
      </c>
      <c r="F244" s="30">
        <f t="array" ref="F244">IF($I$245=0,0,F$19*I244/$I$245)</f>
        <v>0</v>
      </c>
      <c r="G244" s="30">
        <f t="array" ref="G244">IF($I$245=0,0,G$19*I244/$I$245)</f>
        <v>0</v>
      </c>
      <c r="H244" s="30">
        <f t="array" ref="H244">H$143*$L244</f>
        <v>0</v>
      </c>
      <c r="I244" s="30">
        <f t="array" ref="I244">I$143*$L244</f>
        <v>0</v>
      </c>
      <c r="J244" s="29"/>
      <c r="K244" s="29"/>
      <c r="L244" s="1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21" t="s">
        <v>360</v>
      </c>
      <c r="B245" s="22" t="s">
        <v>247</v>
      </c>
      <c r="C245" s="30">
        <f t="array" ref="C245">SUM(C145:C244)</f>
        <v>84832</v>
      </c>
      <c r="D245" s="30">
        <f t="array" ref="D245">SUM(D145:D244)</f>
        <v>38857.9</v>
      </c>
      <c r="E245" s="30">
        <f t="array" ref="E245">SUM(E145:E244)</f>
        <v>41191.2</v>
      </c>
      <c r="F245" s="30">
        <f t="array" ref="F245">SUM(F145:F244)</f>
        <v>2340.1</v>
      </c>
      <c r="G245" s="30">
        <f t="array" ref="G245">SUM(G145:G244)</f>
        <v>2442.8</v>
      </c>
      <c r="H245" s="30">
        <f t="array" ref="H245">SUM(H145:H244)</f>
        <v>56691</v>
      </c>
      <c r="I245" s="30">
        <f t="array" ref="I245">SUM(I145:I244)</f>
        <v>27940</v>
      </c>
      <c r="J245" s="30">
        <f t="array" ref="J245">SUM(J145:J244)</f>
        <v>0</v>
      </c>
      <c r="K245" s="13"/>
      <c r="L245" s="13">
        <f t="array" ref="L245">SUM(L145:L244)</f>
        <v>1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11"/>
      <c r="B246" s="12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79.5" customHeight="1">
      <c r="A247" s="21" t="s">
        <v>361</v>
      </c>
      <c r="B247" s="22" t="s">
        <v>39</v>
      </c>
      <c r="C247" s="26" t="str">
        <f t="array" ref="C247">IF(C248="","?",C248)&amp;IF(C249="","","; downloaded "&amp;C249)&amp;IF(C250="","","; "&amp;C250)</f>
        <v>https://www.ine.pt/xportal/xmain?xpid=INE&amp;xpgid=ine_indicadores&amp;indOcorrCod=0012094&amp;contexto=bd&amp;selTab=tab2; downloaded 46122; no age-related data available; the number of births is binomially distributed between the age of 16 and 54 (μ=25, σ=10)</v>
      </c>
      <c r="D247" s="25"/>
      <c r="E247" s="25"/>
      <c r="F247" s="25"/>
      <c r="G247" s="25"/>
      <c r="H247" s="25"/>
      <c r="I247" s="25"/>
      <c r="J247" s="25"/>
      <c r="K247" s="25"/>
      <c r="L247" s="25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3.5" customHeight="1">
      <c r="A248" s="11"/>
      <c r="B248" s="22" t="s">
        <v>40</v>
      </c>
      <c r="C248" s="23" t="s">
        <v>362</v>
      </c>
      <c r="D248" s="25"/>
      <c r="E248" s="25"/>
      <c r="F248" s="25"/>
      <c r="G248" s="25"/>
      <c r="H248" s="25"/>
      <c r="I248" s="25"/>
      <c r="J248" s="25"/>
      <c r="K248" s="25"/>
      <c r="L248" s="25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11"/>
      <c r="B249" s="22" t="s">
        <v>42</v>
      </c>
      <c r="C249" s="27">
        <v>46122.0</v>
      </c>
      <c r="D249" s="13"/>
      <c r="E249" s="13"/>
      <c r="F249" s="13"/>
      <c r="G249" s="13"/>
      <c r="H249" s="13"/>
      <c r="I249" s="13"/>
      <c r="J249" s="13"/>
      <c r="K249" s="13"/>
      <c r="L249" s="1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3.5" customHeight="1">
      <c r="A250" s="11"/>
      <c r="B250" s="22" t="s">
        <v>43</v>
      </c>
      <c r="C250" s="23" t="s">
        <v>363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11"/>
      <c r="B251" s="12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11"/>
      <c r="B252" s="22" t="s">
        <v>364</v>
      </c>
      <c r="C252" s="13"/>
      <c r="D252" s="35">
        <f t="array" ref="D252">D245/$D127*1000000</f>
        <v>7879.46085</v>
      </c>
      <c r="E252" s="35">
        <f t="array" ref="E252">E245/$D127*1000000</f>
        <v>8352.598771</v>
      </c>
      <c r="F252" s="35">
        <f t="array" ref="F252">F245/$F127*1000000</f>
        <v>1756.527209</v>
      </c>
      <c r="G252" s="35">
        <f t="array" ref="G252">G245/$F127*1000000</f>
        <v>1833.615942</v>
      </c>
      <c r="H252" s="35">
        <f t="array" ref="H252">H245/$D127*1000000</f>
        <v>11495.59073</v>
      </c>
      <c r="I252" s="35">
        <f t="array" ref="I252">I245/$F127*1000000</f>
        <v>20972.33888</v>
      </c>
      <c r="J252" s="13"/>
      <c r="K252" s="13"/>
      <c r="L252" s="1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11"/>
      <c r="B253" s="22" t="s">
        <v>365</v>
      </c>
      <c r="C253" s="32">
        <f t="array" ref="C253">C19/C$127</f>
        <v>0.007891616785</v>
      </c>
      <c r="D253" s="32">
        <f t="array" ref="D253">D19/D$127</f>
        <v>0.00787946085</v>
      </c>
      <c r="E253" s="32">
        <f t="array" ref="E253">E19/E$127</f>
        <v>0.009636741234</v>
      </c>
      <c r="F253" s="32">
        <f t="array" ref="F253">F19/F$127</f>
        <v>0.001756527209</v>
      </c>
      <c r="G253" s="32">
        <f t="array" ref="G253">G19/G$127</f>
        <v>0.001430761968</v>
      </c>
      <c r="H253" s="32">
        <f t="array" ref="H253">H19/H$127</f>
        <v>0.00869538061</v>
      </c>
      <c r="I253" s="32">
        <f t="array" ref="I253">I19/I$127</f>
        <v>0.003098333162</v>
      </c>
      <c r="J253" s="32">
        <f t="array" ref="J253">J19/J$127</f>
        <v>0.006577184937</v>
      </c>
      <c r="K253" s="32">
        <f t="array" ref="K253">K19/K$127</f>
        <v>0.007294541565</v>
      </c>
      <c r="L253" s="1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11"/>
      <c r="B254" s="12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6.25" customHeight="1">
      <c r="A255" s="17"/>
      <c r="B255" s="18" t="s">
        <v>366</v>
      </c>
      <c r="C255" s="24" t="s">
        <v>367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1.5" customHeight="1">
      <c r="A256" s="11"/>
      <c r="B256" s="12"/>
      <c r="C256" s="25"/>
      <c r="D256" s="36"/>
      <c r="E256" s="36"/>
      <c r="F256" s="36"/>
      <c r="G256" s="36"/>
      <c r="H256" s="37" t="s">
        <v>368</v>
      </c>
      <c r="I256" s="37" t="s">
        <v>368</v>
      </c>
      <c r="J256" s="36"/>
      <c r="K256" s="36"/>
      <c r="L256" s="38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21" t="s">
        <v>369</v>
      </c>
      <c r="B257" s="22" t="s">
        <v>370</v>
      </c>
      <c r="C257" s="39"/>
      <c r="D257" s="30">
        <f t="array" ref="D257">H257*D19/(D19+E19)</f>
        <v>0</v>
      </c>
      <c r="E257" s="30">
        <f t="array" ref="E257">H257*E19/(D19+E19)</f>
        <v>0</v>
      </c>
      <c r="F257" s="30">
        <f t="array" ref="F257">I257*F19/(F19+G19)</f>
        <v>0</v>
      </c>
      <c r="G257" s="30">
        <f t="array" ref="G257">I257*G19/(F19+G19)</f>
        <v>0</v>
      </c>
      <c r="H257" s="40"/>
      <c r="I257" s="40"/>
      <c r="J257" s="39">
        <f t="array" ref="J257">D257+F257</f>
        <v>0</v>
      </c>
      <c r="K257" s="39">
        <f t="array" ref="K257">E257+G257</f>
        <v>0</v>
      </c>
      <c r="L257" s="1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21" t="s">
        <v>371</v>
      </c>
      <c r="B258" s="22" t="s">
        <v>372</v>
      </c>
      <c r="C258" s="39"/>
      <c r="D258" s="26">
        <f t="array" ref="D258">IF($D$127=0,0,D$19*$D$629/$D$127)</f>
        <v>0.6729059566</v>
      </c>
      <c r="E258" s="26">
        <f t="array" ref="E258">IF($D$127=0,0,E$19*$D$629/$D$127)</f>
        <v>0.713311935</v>
      </c>
      <c r="F258" s="26">
        <f t="array" ref="F258">IF($F$127=0,0,F$19*$F$629/$F$127)</f>
        <v>0.1500074236</v>
      </c>
      <c r="G258" s="26">
        <f t="array" ref="G258">IF($F$127=0,0,G$19*$F$629/$F$127)</f>
        <v>0.1565908014</v>
      </c>
      <c r="H258" s="26">
        <f t="array" ref="H258">IF($D$127=0,0,H$19*$D$629/$D$127)</f>
        <v>1.386217892</v>
      </c>
      <c r="I258" s="26">
        <f t="array" ref="I258">IF($F$127=0,0,I$19*$F$629/$F$127)</f>
        <v>0.3065982251</v>
      </c>
      <c r="J258" s="13"/>
      <c r="K258" s="13"/>
      <c r="L258" s="1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11"/>
      <c r="B259" s="12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21" t="s">
        <v>373</v>
      </c>
      <c r="B260" s="22" t="s">
        <v>39</v>
      </c>
      <c r="C260" s="26" t="str">
        <f t="array" ref="C260">IF(C261="","?",C261)&amp;IF(C262="","","; downloaded "&amp;C262)&amp;IF(C263="","","; "&amp;C263)</f>
        <v>?</v>
      </c>
      <c r="D260" s="25"/>
      <c r="E260" s="25"/>
      <c r="F260" s="25"/>
      <c r="G260" s="25"/>
      <c r="H260" s="25"/>
      <c r="I260" s="25"/>
      <c r="J260" s="25"/>
      <c r="K260" s="25"/>
      <c r="L260" s="25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11"/>
      <c r="B261" s="22" t="s">
        <v>40</v>
      </c>
      <c r="C261" s="23"/>
      <c r="D261" s="13"/>
      <c r="E261" s="13"/>
      <c r="F261" s="13"/>
      <c r="G261" s="13"/>
      <c r="H261" s="13"/>
      <c r="I261" s="13"/>
      <c r="J261" s="13"/>
      <c r="K261" s="13"/>
      <c r="L261" s="1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11"/>
      <c r="B262" s="22" t="s">
        <v>42</v>
      </c>
      <c r="C262" s="27"/>
      <c r="D262" s="13"/>
      <c r="E262" s="13"/>
      <c r="F262" s="13"/>
      <c r="G262" s="13"/>
      <c r="H262" s="13"/>
      <c r="I262" s="13"/>
      <c r="J262" s="13"/>
      <c r="K262" s="13"/>
      <c r="L262" s="1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11"/>
      <c r="B263" s="22" t="s">
        <v>43</v>
      </c>
      <c r="C263" s="23"/>
      <c r="D263" s="13"/>
      <c r="E263" s="13"/>
      <c r="F263" s="13"/>
      <c r="G263" s="13"/>
      <c r="H263" s="13"/>
      <c r="I263" s="13"/>
      <c r="J263" s="13"/>
      <c r="K263" s="13"/>
      <c r="L263" s="1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11"/>
      <c r="B264" s="12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11"/>
      <c r="B265" s="12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6.25" customHeight="1">
      <c r="A266" s="17"/>
      <c r="B266" s="18" t="s">
        <v>374</v>
      </c>
      <c r="C266" s="24" t="s">
        <v>375</v>
      </c>
      <c r="D266" s="20"/>
      <c r="E266" s="20"/>
      <c r="F266" s="20"/>
      <c r="G266" s="20"/>
      <c r="H266" s="20"/>
      <c r="I266" s="20"/>
      <c r="J266" s="20"/>
      <c r="K266" s="20"/>
      <c r="L266" s="20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1.5" customHeight="1">
      <c r="A267" s="11"/>
      <c r="B267" s="33" t="s">
        <v>376</v>
      </c>
      <c r="C267" s="30">
        <f t="array" ref="C267">D267+E267+F267+G267</f>
        <v>0</v>
      </c>
      <c r="D267" s="34"/>
      <c r="E267" s="34"/>
      <c r="F267" s="34"/>
      <c r="G267" s="34"/>
      <c r="H267" s="29">
        <f t="array" ref="H267">E267+D267</f>
        <v>0</v>
      </c>
      <c r="I267" s="29">
        <f t="array" ref="I267">G267+F267</f>
        <v>0</v>
      </c>
      <c r="J267" s="29">
        <f t="array" ref="J267">D267+F267</f>
        <v>0</v>
      </c>
      <c r="K267" s="29">
        <f t="array" ref="K267">E267+G267</f>
        <v>0</v>
      </c>
      <c r="L267" s="1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1.5" customHeight="1">
      <c r="A268" s="11"/>
      <c r="B268" s="33" t="s">
        <v>377</v>
      </c>
      <c r="C268" s="30">
        <f t="array" ref="C268">D268+E268+F268+G268</f>
        <v>0</v>
      </c>
      <c r="D268" s="30">
        <f t="array" ref="D268">IF($J15=0,0,$J268*D15/$J15)</f>
        <v>0</v>
      </c>
      <c r="E268" s="30">
        <f t="array" ref="E268">IF($K15=0,0,$K268*E15/$K15)</f>
        <v>0</v>
      </c>
      <c r="F268" s="30">
        <f t="array" ref="F268">IF($J15=0,0,$J268*F15/$J15)</f>
        <v>0</v>
      </c>
      <c r="G268" s="30">
        <f t="array" ref="G268">IF($K15=0,0,$K268*G15/$K15)</f>
        <v>0</v>
      </c>
      <c r="H268" s="29">
        <f t="array" ref="H268">E268+D268</f>
        <v>0</v>
      </c>
      <c r="I268" s="29">
        <f t="array" ref="I268">G268+F268</f>
        <v>0</v>
      </c>
      <c r="J268" s="28"/>
      <c r="K268" s="28"/>
      <c r="L268" s="1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1.5" customHeight="1">
      <c r="A269" s="11"/>
      <c r="B269" s="33" t="s">
        <v>378</v>
      </c>
      <c r="C269" s="28"/>
      <c r="D269" s="30">
        <f t="array" ref="D269">IF($C16=0,0,$C269*D16/$C16)</f>
        <v>0</v>
      </c>
      <c r="E269" s="30">
        <f t="array" ref="E269">IF($C16=0,0,$C269*E16/$C16)</f>
        <v>0</v>
      </c>
      <c r="F269" s="30">
        <f t="array" ref="F269">IF($C16=0,0,$C269*F16/$C16)</f>
        <v>0</v>
      </c>
      <c r="G269" s="30">
        <f t="array" ref="G269">IF($C16=0,0,$C269*G16/$C16)</f>
        <v>0</v>
      </c>
      <c r="H269" s="29">
        <f t="array" ref="H269">E269+D269</f>
        <v>0</v>
      </c>
      <c r="I269" s="29">
        <f t="array" ref="I269">G269+F269</f>
        <v>0</v>
      </c>
      <c r="J269" s="29">
        <f t="array" ref="J269">D269+F269</f>
        <v>0</v>
      </c>
      <c r="K269" s="29">
        <f t="array" ref="K269">E269+G269</f>
        <v>0</v>
      </c>
      <c r="L269" s="1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11"/>
      <c r="B270" s="12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21" t="s">
        <v>379</v>
      </c>
      <c r="B271" s="22" t="s">
        <v>47</v>
      </c>
      <c r="C271" s="30">
        <f t="array" ref="C271">D271+E271+F271+G271</f>
        <v>0</v>
      </c>
      <c r="D271" s="30">
        <f t="array" ref="D271">IF($J18=0,0,$J271*D18/$J18)</f>
        <v>0</v>
      </c>
      <c r="E271" s="30">
        <f t="array" ref="E271">IF($K18=0,0,$K271*E18/$K18)</f>
        <v>0</v>
      </c>
      <c r="F271" s="30">
        <f t="array" ref="F271">IF($J18=0,0,$J271*F18/$J18)</f>
        <v>0</v>
      </c>
      <c r="G271" s="30">
        <f t="array" ref="G271">IF($K18=0,0,$K271*G18/$K18)</f>
        <v>0</v>
      </c>
      <c r="H271" s="29">
        <f t="array" ref="H271">E271+D271</f>
        <v>0</v>
      </c>
      <c r="I271" s="29">
        <f t="array" ref="I271">G271+F271</f>
        <v>0</v>
      </c>
      <c r="J271" s="28">
        <v>108.0</v>
      </c>
      <c r="K271" s="28">
        <v>144.0</v>
      </c>
      <c r="L271" s="1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21" t="s">
        <v>380</v>
      </c>
      <c r="B272" s="22" t="s">
        <v>49</v>
      </c>
      <c r="C272" s="30">
        <f t="array" ref="C272">D272+E272+F272+G272</f>
        <v>11</v>
      </c>
      <c r="D272" s="30">
        <f t="array" ref="D272">IF($J19=0,0,$J272*D19/$J19)</f>
        <v>3.772794796</v>
      </c>
      <c r="E272" s="30">
        <f t="array" ref="E272">IF($K19=0,0,$K272*E19/$K19)</f>
        <v>6.608112939</v>
      </c>
      <c r="F272" s="30">
        <f t="array" ref="F272">IF($J19=0,0,$J272*F19/$J19)</f>
        <v>0.2272052041</v>
      </c>
      <c r="G272" s="30">
        <f t="array" ref="G272">IF($K19=0,0,$K272*G19/$K19)</f>
        <v>0.3918870605</v>
      </c>
      <c r="H272" s="29">
        <f t="array" ref="H272">E272+D272</f>
        <v>10.38090774</v>
      </c>
      <c r="I272" s="29">
        <f t="array" ref="I272">G272+F272</f>
        <v>0.6190922647</v>
      </c>
      <c r="J272" s="28">
        <v>4.0</v>
      </c>
      <c r="K272" s="28">
        <v>7.0</v>
      </c>
      <c r="L272" s="1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21" t="s">
        <v>381</v>
      </c>
      <c r="B273" s="22" t="s">
        <v>51</v>
      </c>
      <c r="C273" s="30">
        <f t="array" ref="C273">D273+E273+F273+G273</f>
        <v>7</v>
      </c>
      <c r="D273" s="30">
        <f t="array" ref="D273">IF($J20=0,0,$J273*D20/$J20)</f>
        <v>2.833807585</v>
      </c>
      <c r="E273" s="30">
        <f t="array" ref="E273">IF($K20=0,0,$K273*E20/$K20)</f>
        <v>3.780210091</v>
      </c>
      <c r="F273" s="30">
        <f t="array" ref="F273">IF($J20=0,0,$J273*F20/$J20)</f>
        <v>0.1661924151</v>
      </c>
      <c r="G273" s="30">
        <f t="array" ref="G273">IF($K20=0,0,$K273*G20/$K20)</f>
        <v>0.2197899094</v>
      </c>
      <c r="H273" s="29">
        <f t="array" ref="H273">E273+D273</f>
        <v>6.614017676</v>
      </c>
      <c r="I273" s="29">
        <f t="array" ref="I273">G273+F273</f>
        <v>0.3859823245</v>
      </c>
      <c r="J273" s="28">
        <v>3.0</v>
      </c>
      <c r="K273" s="28">
        <v>4.0</v>
      </c>
      <c r="L273" s="1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21" t="s">
        <v>382</v>
      </c>
      <c r="B274" s="22" t="s">
        <v>53</v>
      </c>
      <c r="C274" s="30">
        <f t="array" ref="C274">D274+E274+F274+G274</f>
        <v>11</v>
      </c>
      <c r="D274" s="30">
        <f t="array" ref="D274">IF($J21=0,0,$J274*D21/$J21)</f>
        <v>2.830337377</v>
      </c>
      <c r="E274" s="30">
        <f t="array" ref="E274">IF($K21=0,0,$K274*E21/$K21)</f>
        <v>7.555814165</v>
      </c>
      <c r="F274" s="30">
        <f t="array" ref="F274">IF($J21=0,0,$J274*F21/$J21)</f>
        <v>0.1696626226</v>
      </c>
      <c r="G274" s="30">
        <f t="array" ref="G274">IF($K21=0,0,$K274*G21/$K21)</f>
        <v>0.4441858351</v>
      </c>
      <c r="H274" s="29">
        <f t="array" ref="H274">E274+D274</f>
        <v>10.38615154</v>
      </c>
      <c r="I274" s="29">
        <f t="array" ref="I274">G274+F274</f>
        <v>0.6138484577</v>
      </c>
      <c r="J274" s="28">
        <v>3.0</v>
      </c>
      <c r="K274" s="28">
        <v>8.0</v>
      </c>
      <c r="L274" s="1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21" t="s">
        <v>383</v>
      </c>
      <c r="B275" s="22" t="s">
        <v>55</v>
      </c>
      <c r="C275" s="30">
        <f t="array" ref="C275">D275+E275+F275+G275</f>
        <v>3</v>
      </c>
      <c r="D275" s="30">
        <f t="array" ref="D275">IF($J22=0,0,$J275*D22/$J22)</f>
        <v>0.9413699797</v>
      </c>
      <c r="E275" s="30">
        <f t="array" ref="E275">IF($K22=0,0,$K275*E22/$K22)</f>
        <v>1.885009532</v>
      </c>
      <c r="F275" s="30">
        <f t="array" ref="F275">IF($J22=0,0,$J275*F22/$J22)</f>
        <v>0.05863002029</v>
      </c>
      <c r="G275" s="30">
        <f t="array" ref="G275">IF($K22=0,0,$K275*G22/$K22)</f>
        <v>0.1149904677</v>
      </c>
      <c r="H275" s="29">
        <f t="array" ref="H275">E275+D275</f>
        <v>2.826379512</v>
      </c>
      <c r="I275" s="29">
        <f t="array" ref="I275">G275+F275</f>
        <v>0.173620488</v>
      </c>
      <c r="J275" s="28">
        <v>1.0</v>
      </c>
      <c r="K275" s="28">
        <v>2.0</v>
      </c>
      <c r="L275" s="1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21" t="s">
        <v>384</v>
      </c>
      <c r="B276" s="22" t="s">
        <v>57</v>
      </c>
      <c r="C276" s="30">
        <f t="array" ref="C276">D276+E276+F276+G276</f>
        <v>6</v>
      </c>
      <c r="D276" s="30">
        <f t="array" ref="D276">IF($J23=0,0,$J276*D23/$J23)</f>
        <v>2.835381982</v>
      </c>
      <c r="E276" s="30">
        <f t="array" ref="E276">IF($K23=0,0,$K276*E23/$K23)</f>
        <v>2.838978731</v>
      </c>
      <c r="F276" s="30">
        <f t="array" ref="F276">IF($J23=0,0,$J276*F23/$J23)</f>
        <v>0.1646180181</v>
      </c>
      <c r="G276" s="30">
        <f t="array" ref="G276">IF($K23=0,0,$K276*G23/$K23)</f>
        <v>0.1610212691</v>
      </c>
      <c r="H276" s="29">
        <f t="array" ref="H276">E276+D276</f>
        <v>5.674360713</v>
      </c>
      <c r="I276" s="29">
        <f t="array" ref="I276">G276+F276</f>
        <v>0.3256392872</v>
      </c>
      <c r="J276" s="28">
        <v>3.0</v>
      </c>
      <c r="K276" s="28">
        <v>3.0</v>
      </c>
      <c r="L276" s="1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21" t="s">
        <v>385</v>
      </c>
      <c r="B277" s="22" t="s">
        <v>59</v>
      </c>
      <c r="C277" s="30">
        <f t="array" ref="C277">D277+E277+F277+G277</f>
        <v>7</v>
      </c>
      <c r="D277" s="30">
        <f t="array" ref="D277">IF($J24=0,0,$J277*D24/$J24)</f>
        <v>3.786987689</v>
      </c>
      <c r="E277" s="30">
        <f t="array" ref="E277">IF($K24=0,0,$K277*E24/$K24)</f>
        <v>2.84363745</v>
      </c>
      <c r="F277" s="30">
        <f t="array" ref="F277">IF($J24=0,0,$J277*F24/$J24)</f>
        <v>0.2130123114</v>
      </c>
      <c r="G277" s="30">
        <f t="array" ref="G277">IF($K24=0,0,$K277*G24/$K24)</f>
        <v>0.1563625501</v>
      </c>
      <c r="H277" s="29">
        <f t="array" ref="H277">E277+D277</f>
        <v>6.630625138</v>
      </c>
      <c r="I277" s="29">
        <f t="array" ref="I277">G277+F277</f>
        <v>0.3693748615</v>
      </c>
      <c r="J277" s="28">
        <v>4.0</v>
      </c>
      <c r="K277" s="28">
        <v>3.0</v>
      </c>
      <c r="L277" s="1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21" t="s">
        <v>386</v>
      </c>
      <c r="B278" s="22" t="s">
        <v>61</v>
      </c>
      <c r="C278" s="30">
        <f t="array" ref="C278">D278+E278+F278+G278</f>
        <v>9</v>
      </c>
      <c r="D278" s="30">
        <f t="array" ref="D278">IF($J25=0,0,$J278*D25/$J25)</f>
        <v>4.73855384</v>
      </c>
      <c r="E278" s="30">
        <f t="array" ref="E278">IF($K25=0,0,$K278*E25/$K25)</f>
        <v>3.790146471</v>
      </c>
      <c r="F278" s="30">
        <f t="array" ref="F278">IF($J25=0,0,$J278*F25/$J25)</f>
        <v>0.26144616</v>
      </c>
      <c r="G278" s="30">
        <f t="array" ref="G278">IF($K25=0,0,$K278*G25/$K25)</f>
        <v>0.2098535286</v>
      </c>
      <c r="H278" s="29">
        <f t="array" ref="H278">E278+D278</f>
        <v>8.528700311</v>
      </c>
      <c r="I278" s="29">
        <f t="array" ref="I278">G278+F278</f>
        <v>0.4712996887</v>
      </c>
      <c r="J278" s="28">
        <v>5.0</v>
      </c>
      <c r="K278" s="28">
        <v>4.0</v>
      </c>
      <c r="L278" s="1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21" t="s">
        <v>387</v>
      </c>
      <c r="B279" s="22" t="s">
        <v>63</v>
      </c>
      <c r="C279" s="30">
        <f t="array" ref="C279">D279+E279+F279+G279</f>
        <v>5</v>
      </c>
      <c r="D279" s="30">
        <f t="array" ref="D279">IF($J26=0,0,$J279*D26/$J26)</f>
        <v>1.894506931</v>
      </c>
      <c r="E279" s="30">
        <f t="array" ref="E279">IF($K26=0,0,$K279*E26/$K26)</f>
        <v>2.842636891</v>
      </c>
      <c r="F279" s="30">
        <f t="array" ref="F279">IF($J26=0,0,$J279*F26/$J26)</f>
        <v>0.1054930689</v>
      </c>
      <c r="G279" s="30">
        <f t="array" ref="G279">IF($K26=0,0,$K279*G26/$K26)</f>
        <v>0.1573631093</v>
      </c>
      <c r="H279" s="29">
        <f t="array" ref="H279">E279+D279</f>
        <v>4.737143822</v>
      </c>
      <c r="I279" s="29">
        <f t="array" ref="I279">G279+F279</f>
        <v>0.2628561782</v>
      </c>
      <c r="J279" s="28">
        <v>2.0</v>
      </c>
      <c r="K279" s="28">
        <v>3.0</v>
      </c>
      <c r="L279" s="1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21" t="s">
        <v>388</v>
      </c>
      <c r="B280" s="22" t="s">
        <v>65</v>
      </c>
      <c r="C280" s="30">
        <f t="array" ref="C280">D280+E280+F280+G280</f>
        <v>5</v>
      </c>
      <c r="D280" s="30">
        <f t="array" ref="D280">IF($J27=0,0,$J280*D27/$J27)</f>
        <v>3.790604447</v>
      </c>
      <c r="E280" s="30">
        <f t="array" ref="E280">IF($K27=0,0,$K280*E27/$K27)</f>
        <v>0.9484543479</v>
      </c>
      <c r="F280" s="30">
        <f t="array" ref="F280">IF($J27=0,0,$J280*F27/$J27)</f>
        <v>0.2093955528</v>
      </c>
      <c r="G280" s="30">
        <f t="array" ref="G280">IF($K27=0,0,$K280*G27/$K27)</f>
        <v>0.05154565213</v>
      </c>
      <c r="H280" s="29">
        <f t="array" ref="H280">E280+D280</f>
        <v>4.739058795</v>
      </c>
      <c r="I280" s="29">
        <f t="array" ref="I280">G280+F280</f>
        <v>0.2609412049</v>
      </c>
      <c r="J280" s="28">
        <v>4.0</v>
      </c>
      <c r="K280" s="28">
        <v>1.0</v>
      </c>
      <c r="L280" s="1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21" t="s">
        <v>389</v>
      </c>
      <c r="B281" s="22" t="s">
        <v>67</v>
      </c>
      <c r="C281" s="30">
        <f t="array" ref="C281">D281+E281+F281+G281</f>
        <v>9</v>
      </c>
      <c r="D281" s="30">
        <f t="array" ref="D281">IF($J28=0,0,$J281*D28/$J28)</f>
        <v>5.681763373</v>
      </c>
      <c r="E281" s="30">
        <f t="array" ref="E281">IF($K28=0,0,$K281*E28/$K28)</f>
        <v>2.841489845</v>
      </c>
      <c r="F281" s="30">
        <f t="array" ref="F281">IF($J28=0,0,$J281*F28/$J28)</f>
        <v>0.3182366274</v>
      </c>
      <c r="G281" s="30">
        <f t="array" ref="G281">IF($K28=0,0,$K281*G28/$K28)</f>
        <v>0.1585101551</v>
      </c>
      <c r="H281" s="29">
        <f t="array" ref="H281">E281+D281</f>
        <v>8.523253218</v>
      </c>
      <c r="I281" s="29">
        <f t="array" ref="I281">G281+F281</f>
        <v>0.4767467825</v>
      </c>
      <c r="J281" s="28">
        <v>6.0</v>
      </c>
      <c r="K281" s="28">
        <v>3.0</v>
      </c>
      <c r="L281" s="1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21" t="s">
        <v>390</v>
      </c>
      <c r="B282" s="22" t="s">
        <v>69</v>
      </c>
      <c r="C282" s="30">
        <f t="array" ref="C282">D282+E282+F282+G282</f>
        <v>0</v>
      </c>
      <c r="D282" s="30">
        <f t="array" ref="D282">IF($J29=0,0,$J282*D29/$J29)</f>
        <v>0</v>
      </c>
      <c r="E282" s="30">
        <f t="array" ref="E282">IF($K29=0,0,$K282*E29/$K29)</f>
        <v>0</v>
      </c>
      <c r="F282" s="30">
        <f t="array" ref="F282">IF($J29=0,0,$J282*F29/$J29)</f>
        <v>0</v>
      </c>
      <c r="G282" s="30">
        <f t="array" ref="G282">IF($K29=0,0,$K282*G29/$K29)</f>
        <v>0</v>
      </c>
      <c r="H282" s="29">
        <f t="array" ref="H282">E282+D282</f>
        <v>0</v>
      </c>
      <c r="I282" s="29">
        <f t="array" ref="I282">G282+F282</f>
        <v>0</v>
      </c>
      <c r="J282" s="28">
        <v>5.0</v>
      </c>
      <c r="K282" s="28">
        <v>8.0</v>
      </c>
      <c r="L282" s="1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21" t="s">
        <v>391</v>
      </c>
      <c r="B283" s="22" t="s">
        <v>71</v>
      </c>
      <c r="C283" s="30">
        <f t="array" ref="C283">D283+E283+F283+G283</f>
        <v>4</v>
      </c>
      <c r="D283" s="30">
        <f t="array" ref="D283">IF($J30=0,0,$J283*D30/$J30)</f>
        <v>1.77301979</v>
      </c>
      <c r="E283" s="30">
        <f t="array" ref="E283">IF($K30=0,0,$K283*E30/$K30)</f>
        <v>1.772656649</v>
      </c>
      <c r="F283" s="30">
        <f t="array" ref="F283">IF($J30=0,0,$J283*F30/$J30)</f>
        <v>0.2269802097</v>
      </c>
      <c r="G283" s="30">
        <f t="array" ref="G283">IF($K30=0,0,$K283*G30/$K30)</f>
        <v>0.2273433512</v>
      </c>
      <c r="H283" s="29">
        <f t="array" ref="H283">E283+D283</f>
        <v>3.545676439</v>
      </c>
      <c r="I283" s="29">
        <f t="array" ref="I283">G283+F283</f>
        <v>0.4543235609</v>
      </c>
      <c r="J283" s="28">
        <v>2.0</v>
      </c>
      <c r="K283" s="28">
        <v>2.0</v>
      </c>
      <c r="L283" s="1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21" t="s">
        <v>392</v>
      </c>
      <c r="B284" s="22" t="s">
        <v>73</v>
      </c>
      <c r="C284" s="30">
        <f t="array" ref="C284">D284+E284+F284+G284</f>
        <v>3</v>
      </c>
      <c r="D284" s="30">
        <f t="array" ref="D284">IF($J31=0,0,$J284*D31/$J31)</f>
        <v>0.8880825124</v>
      </c>
      <c r="E284" s="30">
        <f t="array" ref="E284">IF($K31=0,0,$K284*E31/$K31)</f>
        <v>1.771209346</v>
      </c>
      <c r="F284" s="30">
        <f t="array" ref="F284">IF($J31=0,0,$J284*F31/$J31)</f>
        <v>0.1119174876</v>
      </c>
      <c r="G284" s="30">
        <f t="array" ref="G284">IF($K31=0,0,$K284*G31/$K31)</f>
        <v>0.228790654</v>
      </c>
      <c r="H284" s="29">
        <f t="array" ref="H284">E284+D284</f>
        <v>2.659291858</v>
      </c>
      <c r="I284" s="29">
        <f t="array" ref="I284">G284+F284</f>
        <v>0.3407081416</v>
      </c>
      <c r="J284" s="28">
        <v>1.0</v>
      </c>
      <c r="K284" s="28">
        <v>2.0</v>
      </c>
      <c r="L284" s="1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21" t="s">
        <v>393</v>
      </c>
      <c r="B285" s="22" t="s">
        <v>75</v>
      </c>
      <c r="C285" s="30">
        <f t="array" ref="C285">D285+E285+F285+G285</f>
        <v>9</v>
      </c>
      <c r="D285" s="30">
        <f t="array" ref="D285">IF($J32=0,0,$J285*D32/$J32)</f>
        <v>6.266316794</v>
      </c>
      <c r="E285" s="30">
        <f t="array" ref="E285">IF($K32=0,0,$K285*E32/$K32)</f>
        <v>1.78946557</v>
      </c>
      <c r="F285" s="30">
        <f t="array" ref="F285">IF($J32=0,0,$J285*F32/$J32)</f>
        <v>0.7336832061</v>
      </c>
      <c r="G285" s="30">
        <f t="array" ref="G285">IF($K32=0,0,$K285*G32/$K32)</f>
        <v>0.2105344296</v>
      </c>
      <c r="H285" s="29">
        <f t="array" ref="H285">E285+D285</f>
        <v>8.055782364</v>
      </c>
      <c r="I285" s="29">
        <f t="array" ref="I285">G285+F285</f>
        <v>0.9442176357</v>
      </c>
      <c r="J285" s="28">
        <v>7.0</v>
      </c>
      <c r="K285" s="28">
        <v>2.0</v>
      </c>
      <c r="L285" s="1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21" t="s">
        <v>394</v>
      </c>
      <c r="B286" s="22" t="s">
        <v>77</v>
      </c>
      <c r="C286" s="30">
        <f t="array" ref="C286">D286+E286+F286+G286</f>
        <v>12</v>
      </c>
      <c r="D286" s="30">
        <f t="array" ref="D286">IF($J33=0,0,$J286*D33/$J33)</f>
        <v>5.41812302</v>
      </c>
      <c r="E286" s="30">
        <f t="array" ref="E286">IF($K33=0,0,$K286*E33/$K33)</f>
        <v>5.40863164</v>
      </c>
      <c r="F286" s="30">
        <f t="array" ref="F286">IF($J33=0,0,$J286*F33/$J33)</f>
        <v>0.5818769802</v>
      </c>
      <c r="G286" s="30">
        <f t="array" ref="G286">IF($K33=0,0,$K286*G33/$K33)</f>
        <v>0.5913683603</v>
      </c>
      <c r="H286" s="29">
        <f t="array" ref="H286">E286+D286</f>
        <v>10.82675466</v>
      </c>
      <c r="I286" s="29">
        <f t="array" ref="I286">G286+F286</f>
        <v>1.17324534</v>
      </c>
      <c r="J286" s="28">
        <v>6.0</v>
      </c>
      <c r="K286" s="28">
        <v>6.0</v>
      </c>
      <c r="L286" s="1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21" t="s">
        <v>395</v>
      </c>
      <c r="B287" s="22" t="s">
        <v>79</v>
      </c>
      <c r="C287" s="30">
        <f t="array" ref="C287">D287+E287+F287+G287</f>
        <v>11</v>
      </c>
      <c r="D287" s="30">
        <f t="array" ref="D287">IF($J34=0,0,$J287*D34/$J34)</f>
        <v>3.631992572</v>
      </c>
      <c r="E287" s="30">
        <f t="array" ref="E287">IF($K34=0,0,$K287*E34/$K34)</f>
        <v>6.325745749</v>
      </c>
      <c r="F287" s="30">
        <f t="array" ref="F287">IF($J34=0,0,$J287*F34/$J34)</f>
        <v>0.3680074281</v>
      </c>
      <c r="G287" s="30">
        <f t="array" ref="G287">IF($K34=0,0,$K287*G34/$K34)</f>
        <v>0.6742542507</v>
      </c>
      <c r="H287" s="29">
        <f t="array" ref="H287">E287+D287</f>
        <v>9.957738321</v>
      </c>
      <c r="I287" s="29">
        <f t="array" ref="I287">G287+F287</f>
        <v>1.042261679</v>
      </c>
      <c r="J287" s="28">
        <v>4.0</v>
      </c>
      <c r="K287" s="28">
        <v>7.0</v>
      </c>
      <c r="L287" s="1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21" t="s">
        <v>396</v>
      </c>
      <c r="B288" s="22" t="s">
        <v>81</v>
      </c>
      <c r="C288" s="30">
        <f t="array" ref="C288">D288+E288+F288+G288</f>
        <v>22</v>
      </c>
      <c r="D288" s="30">
        <f t="array" ref="D288">IF($J35=0,0,$J288*D35/$J35)</f>
        <v>7.234894921</v>
      </c>
      <c r="E288" s="30">
        <f t="array" ref="E288">IF($K35=0,0,$K288*E35/$K35)</f>
        <v>12.61089046</v>
      </c>
      <c r="F288" s="30">
        <f t="array" ref="F288">IF($J35=0,0,$J288*F35/$J35)</f>
        <v>0.7651050788</v>
      </c>
      <c r="G288" s="30">
        <f t="array" ref="G288">IF($K35=0,0,$K288*G35/$K35)</f>
        <v>1.389109544</v>
      </c>
      <c r="H288" s="29">
        <f t="array" ref="H288">E288+D288</f>
        <v>19.84578538</v>
      </c>
      <c r="I288" s="29">
        <f t="array" ref="I288">G288+F288</f>
        <v>2.154214623</v>
      </c>
      <c r="J288" s="28">
        <v>8.0</v>
      </c>
      <c r="K288" s="28">
        <v>14.0</v>
      </c>
      <c r="L288" s="1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21" t="s">
        <v>397</v>
      </c>
      <c r="B289" s="22" t="s">
        <v>83</v>
      </c>
      <c r="C289" s="30">
        <f t="array" ref="C289">D289+E289+F289+G289</f>
        <v>31</v>
      </c>
      <c r="D289" s="30">
        <f t="array" ref="D289">IF($J36=0,0,$J289*D36/$J36)</f>
        <v>10.88601812</v>
      </c>
      <c r="E289" s="30">
        <f t="array" ref="E289">IF($K36=0,0,$K289*E36/$K36)</f>
        <v>17.19957905</v>
      </c>
      <c r="F289" s="30">
        <f t="array" ref="F289">IF($J36=0,0,$J289*F36/$J36)</f>
        <v>1.11398188</v>
      </c>
      <c r="G289" s="30">
        <f t="array" ref="G289">IF($K36=0,0,$K289*G36/$K36)</f>
        <v>1.800420946</v>
      </c>
      <c r="H289" s="29">
        <f t="array" ref="H289">E289+D289</f>
        <v>28.08559717</v>
      </c>
      <c r="I289" s="29">
        <f t="array" ref="I289">G289+F289</f>
        <v>2.914402826</v>
      </c>
      <c r="J289" s="28">
        <v>12.0</v>
      </c>
      <c r="K289" s="28">
        <v>19.0</v>
      </c>
      <c r="L289" s="1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21" t="s">
        <v>398</v>
      </c>
      <c r="B290" s="22" t="s">
        <v>85</v>
      </c>
      <c r="C290" s="30">
        <f t="array" ref="C290">D290+E290+F290+G290</f>
        <v>41</v>
      </c>
      <c r="D290" s="30">
        <f t="array" ref="D290">IF($J37=0,0,$J290*D37/$J37)</f>
        <v>13.58310811</v>
      </c>
      <c r="E290" s="30">
        <f t="array" ref="E290">IF($K37=0,0,$K290*E37/$K37)</f>
        <v>23.46192482</v>
      </c>
      <c r="F290" s="30">
        <f t="array" ref="F290">IF($J37=0,0,$J290*F37/$J37)</f>
        <v>1.416891892</v>
      </c>
      <c r="G290" s="30">
        <f t="array" ref="G290">IF($K37=0,0,$K290*G37/$K37)</f>
        <v>2.538075178</v>
      </c>
      <c r="H290" s="29">
        <f t="array" ref="H290">E290+D290</f>
        <v>37.04503293</v>
      </c>
      <c r="I290" s="29">
        <f t="array" ref="I290">G290+F290</f>
        <v>3.95496707</v>
      </c>
      <c r="J290" s="28">
        <v>15.0</v>
      </c>
      <c r="K290" s="28">
        <v>26.0</v>
      </c>
      <c r="L290" s="1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21" t="s">
        <v>399</v>
      </c>
      <c r="B291" s="22" t="s">
        <v>87</v>
      </c>
      <c r="C291" s="30">
        <f t="array" ref="C291">D291+E291+F291+G291</f>
        <v>0</v>
      </c>
      <c r="D291" s="30">
        <f t="array" ref="D291">IF($J38=0,0,$J291*D38/$J38)</f>
        <v>0</v>
      </c>
      <c r="E291" s="30">
        <f t="array" ref="E291">IF($K38=0,0,$K291*E38/$K38)</f>
        <v>0</v>
      </c>
      <c r="F291" s="30">
        <f t="array" ref="F291">IF($J38=0,0,$J291*F38/$J38)</f>
        <v>0</v>
      </c>
      <c r="G291" s="30">
        <f t="array" ref="G291">IF($K38=0,0,$K291*G38/$K38)</f>
        <v>0</v>
      </c>
      <c r="H291" s="29">
        <f t="array" ref="H291">E291+D291</f>
        <v>0</v>
      </c>
      <c r="I291" s="29">
        <f t="array" ref="I291">G291+F291</f>
        <v>0</v>
      </c>
      <c r="J291" s="28">
        <v>9.0</v>
      </c>
      <c r="K291" s="28">
        <v>28.0</v>
      </c>
      <c r="L291" s="1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21" t="s">
        <v>400</v>
      </c>
      <c r="B292" s="22" t="s">
        <v>89</v>
      </c>
      <c r="C292" s="30">
        <f t="array" ref="C292">D292+E292+F292+G292</f>
        <v>34</v>
      </c>
      <c r="D292" s="30">
        <f t="array" ref="D292">IF($J39=0,0,$J292*D39/$J39)</f>
        <v>4.240424588</v>
      </c>
      <c r="E292" s="30">
        <f t="array" ref="E292">IF($K39=0,0,$K292*E39/$K39)</f>
        <v>16.31763829</v>
      </c>
      <c r="F292" s="30">
        <f t="array" ref="F292">IF($J39=0,0,$J292*F39/$J39)</f>
        <v>1.759575412</v>
      </c>
      <c r="G292" s="30">
        <f t="array" ref="G292">IF($K39=0,0,$K292*G39/$K39)</f>
        <v>11.68236171</v>
      </c>
      <c r="H292" s="29">
        <f t="array" ref="H292">E292+D292</f>
        <v>20.55806288</v>
      </c>
      <c r="I292" s="29">
        <f t="array" ref="I292">G292+F292</f>
        <v>13.44193712</v>
      </c>
      <c r="J292" s="28">
        <v>6.0</v>
      </c>
      <c r="K292" s="28">
        <v>28.0</v>
      </c>
      <c r="L292" s="1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21" t="s">
        <v>401</v>
      </c>
      <c r="B293" s="22" t="s">
        <v>91</v>
      </c>
      <c r="C293" s="30">
        <f t="array" ref="C293">D293+E293+F293+G293</f>
        <v>38</v>
      </c>
      <c r="D293" s="30">
        <f t="array" ref="D293">IF($J40=0,0,$J293*D40/$J40)</f>
        <v>6.442911903</v>
      </c>
      <c r="E293" s="30">
        <f t="array" ref="E293">IF($K40=0,0,$K293*E40/$K40)</f>
        <v>17.48434861</v>
      </c>
      <c r="F293" s="30">
        <f t="array" ref="F293">IF($J40=0,0,$J293*F40/$J40)</f>
        <v>2.557088097</v>
      </c>
      <c r="G293" s="30">
        <f t="array" ref="G293">IF($K40=0,0,$K293*G40/$K40)</f>
        <v>11.51565139</v>
      </c>
      <c r="H293" s="29">
        <f t="array" ref="H293">E293+D293</f>
        <v>23.92726051</v>
      </c>
      <c r="I293" s="29">
        <f t="array" ref="I293">G293+F293</f>
        <v>14.07273949</v>
      </c>
      <c r="J293" s="28">
        <v>9.0</v>
      </c>
      <c r="K293" s="28">
        <v>29.0</v>
      </c>
      <c r="L293" s="1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21" t="s">
        <v>402</v>
      </c>
      <c r="B294" s="22" t="s">
        <v>93</v>
      </c>
      <c r="C294" s="30">
        <f t="array" ref="C294">D294+E294+F294+G294</f>
        <v>43</v>
      </c>
      <c r="D294" s="30">
        <f t="array" ref="D294">IF($J41=0,0,$J294*D41/$J41)</f>
        <v>10.03136485</v>
      </c>
      <c r="E294" s="30">
        <f t="array" ref="E294">IF($K41=0,0,$K294*E41/$K41)</f>
        <v>17.29247992</v>
      </c>
      <c r="F294" s="30">
        <f t="array" ref="F294">IF($J41=0,0,$J294*F41/$J41)</f>
        <v>3.968635146</v>
      </c>
      <c r="G294" s="30">
        <f t="array" ref="G294">IF($K41=0,0,$K294*G41/$K41)</f>
        <v>11.70752008</v>
      </c>
      <c r="H294" s="29">
        <f t="array" ref="H294">E294+D294</f>
        <v>27.32384477</v>
      </c>
      <c r="I294" s="29">
        <f t="array" ref="I294">G294+F294</f>
        <v>15.67615523</v>
      </c>
      <c r="J294" s="28">
        <v>14.0</v>
      </c>
      <c r="K294" s="28">
        <v>29.0</v>
      </c>
      <c r="L294" s="1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21" t="s">
        <v>403</v>
      </c>
      <c r="B295" s="22" t="s">
        <v>95</v>
      </c>
      <c r="C295" s="30">
        <f t="array" ref="C295">D295+E295+F295+G295</f>
        <v>50</v>
      </c>
      <c r="D295" s="30">
        <f t="array" ref="D295">IF($J42=0,0,$J295*D42/$J42)</f>
        <v>7.240211274</v>
      </c>
      <c r="E295" s="30">
        <f t="array" ref="E295">IF($K42=0,0,$K295*E42/$K42)</f>
        <v>24.19343987</v>
      </c>
      <c r="F295" s="30">
        <f t="array" ref="F295">IF($J42=0,0,$J295*F42/$J42)</f>
        <v>2.759788726</v>
      </c>
      <c r="G295" s="30">
        <f t="array" ref="G295">IF($K42=0,0,$K295*G42/$K42)</f>
        <v>15.80656013</v>
      </c>
      <c r="H295" s="29">
        <f t="array" ref="H295">E295+D295</f>
        <v>31.43365115</v>
      </c>
      <c r="I295" s="29">
        <f t="array" ref="I295">G295+F295</f>
        <v>18.56634885</v>
      </c>
      <c r="J295" s="28">
        <v>10.0</v>
      </c>
      <c r="K295" s="28">
        <v>40.0</v>
      </c>
      <c r="L295" s="1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21" t="s">
        <v>404</v>
      </c>
      <c r="B296" s="22" t="s">
        <v>97</v>
      </c>
      <c r="C296" s="30">
        <f t="array" ref="C296">D296+E296+F296+G296</f>
        <v>46</v>
      </c>
      <c r="D296" s="30">
        <f t="array" ref="D296">IF($J43=0,0,$J296*D43/$J43)</f>
        <v>6.531494843</v>
      </c>
      <c r="E296" s="30">
        <f t="array" ref="E296">IF($K43=0,0,$K296*E43/$K43)</f>
        <v>22.58752809</v>
      </c>
      <c r="F296" s="30">
        <f t="array" ref="F296">IF($J43=0,0,$J296*F43/$J43)</f>
        <v>2.468505157</v>
      </c>
      <c r="G296" s="30">
        <f t="array" ref="G296">IF($K43=0,0,$K296*G43/$K43)</f>
        <v>14.41247191</v>
      </c>
      <c r="H296" s="29">
        <f t="array" ref="H296">E296+D296</f>
        <v>29.11902294</v>
      </c>
      <c r="I296" s="29">
        <f t="array" ref="I296">G296+F296</f>
        <v>16.88097706</v>
      </c>
      <c r="J296" s="28">
        <v>9.0</v>
      </c>
      <c r="K296" s="28">
        <v>37.0</v>
      </c>
      <c r="L296" s="1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21" t="s">
        <v>405</v>
      </c>
      <c r="B297" s="22" t="s">
        <v>99</v>
      </c>
      <c r="C297" s="30">
        <f t="array" ref="C297">D297+E297+F297+G297</f>
        <v>50</v>
      </c>
      <c r="D297" s="30">
        <f t="array" ref="D297">IF($J44=0,0,$J297*D44/$J44)</f>
        <v>8.695519527</v>
      </c>
      <c r="E297" s="30">
        <f t="array" ref="E297">IF($K44=0,0,$K297*E44/$K44)</f>
        <v>23.22217045</v>
      </c>
      <c r="F297" s="30">
        <f t="array" ref="F297">IF($J44=0,0,$J297*F44/$J44)</f>
        <v>3.304480473</v>
      </c>
      <c r="G297" s="30">
        <f t="array" ref="G297">IF($K44=0,0,$K297*G44/$K44)</f>
        <v>14.77782955</v>
      </c>
      <c r="H297" s="29">
        <f t="array" ref="H297">E297+D297</f>
        <v>31.91768998</v>
      </c>
      <c r="I297" s="29">
        <f t="array" ref="I297">G297+F297</f>
        <v>18.08231002</v>
      </c>
      <c r="J297" s="28">
        <v>12.0</v>
      </c>
      <c r="K297" s="28">
        <v>38.0</v>
      </c>
      <c r="L297" s="1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21" t="s">
        <v>406</v>
      </c>
      <c r="B298" s="22" t="s">
        <v>101</v>
      </c>
      <c r="C298" s="30">
        <f t="array" ref="C298">D298+E298+F298+G298</f>
        <v>66</v>
      </c>
      <c r="D298" s="30">
        <f t="array" ref="D298">IF($J45=0,0,$J298*D45/$J45)</f>
        <v>11.93922748</v>
      </c>
      <c r="E298" s="30">
        <f t="array" ref="E298">IF($K45=0,0,$K298*E45/$K45)</f>
        <v>32.07894806</v>
      </c>
      <c r="F298" s="30">
        <f t="array" ref="F298">IF($J45=0,0,$J298*F45/$J45)</f>
        <v>4.060772516</v>
      </c>
      <c r="G298" s="30">
        <f t="array" ref="G298">IF($K45=0,0,$K298*G45/$K45)</f>
        <v>17.92105194</v>
      </c>
      <c r="H298" s="29">
        <f t="array" ref="H298">E298+D298</f>
        <v>44.01817555</v>
      </c>
      <c r="I298" s="29">
        <f t="array" ref="I298">G298+F298</f>
        <v>21.98182445</v>
      </c>
      <c r="J298" s="28">
        <v>16.0</v>
      </c>
      <c r="K298" s="28">
        <v>50.0</v>
      </c>
      <c r="L298" s="1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21" t="s">
        <v>407</v>
      </c>
      <c r="B299" s="22" t="s">
        <v>103</v>
      </c>
      <c r="C299" s="30">
        <f t="array" ref="C299">D299+E299+F299+G299</f>
        <v>46</v>
      </c>
      <c r="D299" s="30">
        <f t="array" ref="D299">IF($J46=0,0,$J299*D46/$J46)</f>
        <v>11.87342999</v>
      </c>
      <c r="E299" s="30">
        <f t="array" ref="E299">IF($K46=0,0,$K299*E46/$K46)</f>
        <v>19.05337039</v>
      </c>
      <c r="F299" s="30">
        <f t="array" ref="F299">IF($J46=0,0,$J299*F46/$J46)</f>
        <v>4.126570013</v>
      </c>
      <c r="G299" s="30">
        <f t="array" ref="G299">IF($K46=0,0,$K299*G46/$K46)</f>
        <v>10.94662961</v>
      </c>
      <c r="H299" s="29">
        <f t="array" ref="H299">E299+D299</f>
        <v>30.92680038</v>
      </c>
      <c r="I299" s="29">
        <f t="array" ref="I299">G299+F299</f>
        <v>15.07319962</v>
      </c>
      <c r="J299" s="28">
        <v>16.0</v>
      </c>
      <c r="K299" s="28">
        <v>30.0</v>
      </c>
      <c r="L299" s="1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21" t="s">
        <v>408</v>
      </c>
      <c r="B300" s="22" t="s">
        <v>105</v>
      </c>
      <c r="C300" s="30">
        <f t="array" ref="C300">D300+E300+F300+G300</f>
        <v>48</v>
      </c>
      <c r="D300" s="30">
        <f t="array" ref="D300">IF($J47=0,0,$J300*D47/$J47)</f>
        <v>6.623362434</v>
      </c>
      <c r="E300" s="30">
        <f t="array" ref="E300">IF($K47=0,0,$K300*E47/$K47)</f>
        <v>24.49756575</v>
      </c>
      <c r="F300" s="30">
        <f t="array" ref="F300">IF($J47=0,0,$J300*F47/$J47)</f>
        <v>2.376637566</v>
      </c>
      <c r="G300" s="30">
        <f t="array" ref="G300">IF($K47=0,0,$K300*G47/$K47)</f>
        <v>14.50243425</v>
      </c>
      <c r="H300" s="29">
        <f t="array" ref="H300">E300+D300</f>
        <v>31.12092819</v>
      </c>
      <c r="I300" s="29">
        <f t="array" ref="I300">G300+F300</f>
        <v>16.87907181</v>
      </c>
      <c r="J300" s="28">
        <v>9.0</v>
      </c>
      <c r="K300" s="28">
        <v>39.0</v>
      </c>
      <c r="L300" s="1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21" t="s">
        <v>409</v>
      </c>
      <c r="B301" s="22" t="s">
        <v>107</v>
      </c>
      <c r="C301" s="30">
        <f t="array" ref="C301">D301+E301+F301+G301</f>
        <v>56</v>
      </c>
      <c r="D301" s="30">
        <f t="array" ref="D301">IF($J48=0,0,$J301*D48/$J48)</f>
        <v>11.80194331</v>
      </c>
      <c r="E301" s="30">
        <f t="array" ref="E301">IF($K48=0,0,$K301*E48/$K48)</f>
        <v>25.08036001</v>
      </c>
      <c r="F301" s="30">
        <f t="array" ref="F301">IF($J48=0,0,$J301*F48/$J48)</f>
        <v>4.198056687</v>
      </c>
      <c r="G301" s="30">
        <f t="array" ref="G301">IF($K48=0,0,$K301*G48/$K48)</f>
        <v>14.91963999</v>
      </c>
      <c r="H301" s="29">
        <f t="array" ref="H301">E301+D301</f>
        <v>36.88230333</v>
      </c>
      <c r="I301" s="29">
        <f t="array" ref="I301">G301+F301</f>
        <v>19.11769667</v>
      </c>
      <c r="J301" s="28">
        <v>16.0</v>
      </c>
      <c r="K301" s="28">
        <v>40.0</v>
      </c>
      <c r="L301" s="1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21" t="s">
        <v>410</v>
      </c>
      <c r="B302" s="22" t="s">
        <v>109</v>
      </c>
      <c r="C302" s="30">
        <f t="array" ref="C302">D302+E302+F302+G302</f>
        <v>56</v>
      </c>
      <c r="D302" s="30">
        <f t="array" ref="D302">IF($J49=0,0,$J302*D49/$J49)</f>
        <v>12.47497697</v>
      </c>
      <c r="E302" s="30">
        <f t="array" ref="E302">IF($K49=0,0,$K302*E49/$K49)</f>
        <v>24.61416824</v>
      </c>
      <c r="F302" s="30">
        <f t="array" ref="F302">IF($J49=0,0,$J302*F49/$J49)</f>
        <v>4.525023033</v>
      </c>
      <c r="G302" s="30">
        <f t="array" ref="G302">IF($K49=0,0,$K302*G49/$K49)</f>
        <v>14.38583176</v>
      </c>
      <c r="H302" s="29">
        <f t="array" ref="H302">E302+D302</f>
        <v>37.0891452</v>
      </c>
      <c r="I302" s="29">
        <f t="array" ref="I302">G302+F302</f>
        <v>18.9108548</v>
      </c>
      <c r="J302" s="28">
        <v>17.0</v>
      </c>
      <c r="K302" s="28">
        <v>39.0</v>
      </c>
      <c r="L302" s="1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21" t="s">
        <v>411</v>
      </c>
      <c r="B303" s="22" t="s">
        <v>111</v>
      </c>
      <c r="C303" s="30">
        <f t="array" ref="C303">D303+E303+F303+G303</f>
        <v>67</v>
      </c>
      <c r="D303" s="30">
        <f t="array" ref="D303">IF($J50=0,0,$J303*D50/$J50)</f>
        <v>16.84527855</v>
      </c>
      <c r="E303" s="30">
        <f t="array" ref="E303">IF($K50=0,0,$K303*E50/$K50)</f>
        <v>27.64045308</v>
      </c>
      <c r="F303" s="30">
        <f t="array" ref="F303">IF($J50=0,0,$J303*F50/$J50)</f>
        <v>6.154721446</v>
      </c>
      <c r="G303" s="30">
        <f t="array" ref="G303">IF($K50=0,0,$K303*G50/$K50)</f>
        <v>16.35954692</v>
      </c>
      <c r="H303" s="29">
        <f t="array" ref="H303">E303+D303</f>
        <v>44.48573164</v>
      </c>
      <c r="I303" s="29">
        <f t="array" ref="I303">G303+F303</f>
        <v>22.51426836</v>
      </c>
      <c r="J303" s="28">
        <v>23.0</v>
      </c>
      <c r="K303" s="28">
        <v>44.0</v>
      </c>
      <c r="L303" s="1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21" t="s">
        <v>412</v>
      </c>
      <c r="B304" s="22" t="s">
        <v>113</v>
      </c>
      <c r="C304" s="30">
        <f t="array" ref="C304">D304+E304+F304+G304</f>
        <v>71</v>
      </c>
      <c r="D304" s="30">
        <f t="array" ref="D304">IF($J51=0,0,$J304*D51/$J51)</f>
        <v>14.65964086</v>
      </c>
      <c r="E304" s="30">
        <f t="array" ref="E304">IF($K51=0,0,$K304*E51/$K51)</f>
        <v>31.95429601</v>
      </c>
      <c r="F304" s="30">
        <f t="array" ref="F304">IF($J51=0,0,$J304*F51/$J51)</f>
        <v>5.340359141</v>
      </c>
      <c r="G304" s="30">
        <f t="array" ref="G304">IF($K51=0,0,$K304*G51/$K51)</f>
        <v>19.04570399</v>
      </c>
      <c r="H304" s="29">
        <f t="array" ref="H304">E304+D304</f>
        <v>46.61393687</v>
      </c>
      <c r="I304" s="29">
        <f t="array" ref="I304">G304+F304</f>
        <v>24.38606313</v>
      </c>
      <c r="J304" s="28">
        <v>20.0</v>
      </c>
      <c r="K304" s="28">
        <v>51.0</v>
      </c>
      <c r="L304" s="1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21" t="s">
        <v>413</v>
      </c>
      <c r="B305" s="22" t="s">
        <v>115</v>
      </c>
      <c r="C305" s="30">
        <f t="array" ref="C305">D305+E305+F305+G305</f>
        <v>91</v>
      </c>
      <c r="D305" s="30">
        <f t="array" ref="D305">IF($J52=0,0,$J305*D52/$J52)</f>
        <v>23.10069952</v>
      </c>
      <c r="E305" s="30">
        <f t="array" ref="E305">IF($K52=0,0,$K305*E52/$K52)</f>
        <v>38.26473301</v>
      </c>
      <c r="F305" s="30">
        <f t="array" ref="F305">IF($J52=0,0,$J305*F52/$J52)</f>
        <v>7.899300484</v>
      </c>
      <c r="G305" s="30">
        <f t="array" ref="G305">IF($K52=0,0,$K305*G52/$K52)</f>
        <v>21.73526699</v>
      </c>
      <c r="H305" s="29">
        <f t="array" ref="H305">E305+D305</f>
        <v>61.36543252</v>
      </c>
      <c r="I305" s="29">
        <f t="array" ref="I305">G305+F305</f>
        <v>29.63456748</v>
      </c>
      <c r="J305" s="28">
        <v>31.0</v>
      </c>
      <c r="K305" s="28">
        <v>60.0</v>
      </c>
      <c r="L305" s="1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21" t="s">
        <v>414</v>
      </c>
      <c r="B306" s="22" t="s">
        <v>117</v>
      </c>
      <c r="C306" s="30">
        <f t="array" ref="C306">D306+E306+F306+G306</f>
        <v>66</v>
      </c>
      <c r="D306" s="30">
        <f t="array" ref="D306">IF($J53=0,0,$J306*D53/$J53)</f>
        <v>14.98570225</v>
      </c>
      <c r="E306" s="30">
        <f t="array" ref="E306">IF($K53=0,0,$K306*E53/$K53)</f>
        <v>29.33198017</v>
      </c>
      <c r="F306" s="30">
        <f t="array" ref="F306">IF($J53=0,0,$J306*F53/$J53)</f>
        <v>5.014297753</v>
      </c>
      <c r="G306" s="30">
        <f t="array" ref="G306">IF($K53=0,0,$K306*G53/$K53)</f>
        <v>16.66801983</v>
      </c>
      <c r="H306" s="29">
        <f t="array" ref="H306">E306+D306</f>
        <v>44.31768242</v>
      </c>
      <c r="I306" s="29">
        <f t="array" ref="I306">G306+F306</f>
        <v>21.68231758</v>
      </c>
      <c r="J306" s="28">
        <v>20.0</v>
      </c>
      <c r="K306" s="28">
        <v>46.0</v>
      </c>
      <c r="L306" s="1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21" t="s">
        <v>415</v>
      </c>
      <c r="B307" s="22" t="s">
        <v>119</v>
      </c>
      <c r="C307" s="30">
        <f t="array" ref="C307">D307+E307+F307+G307</f>
        <v>88</v>
      </c>
      <c r="D307" s="30">
        <f t="array" ref="D307">IF($J54=0,0,$J307*D54/$J54)</f>
        <v>27.78090903</v>
      </c>
      <c r="E307" s="30">
        <f t="array" ref="E307">IF($K54=0,0,$K307*E54/$K54)</f>
        <v>32.76839433</v>
      </c>
      <c r="F307" s="30">
        <f t="array" ref="F307">IF($J54=0,0,$J307*F54/$J54)</f>
        <v>9.219090966</v>
      </c>
      <c r="G307" s="30">
        <f t="array" ref="G307">IF($K54=0,0,$K307*G54/$K54)</f>
        <v>18.23160567</v>
      </c>
      <c r="H307" s="29">
        <f t="array" ref="H307">E307+D307</f>
        <v>60.54930336</v>
      </c>
      <c r="I307" s="29">
        <f t="array" ref="I307">G307+F307</f>
        <v>27.45069664</v>
      </c>
      <c r="J307" s="28">
        <v>37.0</v>
      </c>
      <c r="K307" s="28">
        <v>51.0</v>
      </c>
      <c r="L307" s="1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21" t="s">
        <v>416</v>
      </c>
      <c r="B308" s="22" t="s">
        <v>121</v>
      </c>
      <c r="C308" s="30">
        <f t="array" ref="C308">D308+E308+F308+G308</f>
        <v>111</v>
      </c>
      <c r="D308" s="30">
        <f t="array" ref="D308">IF($J55=0,0,$J308*D55/$J55)</f>
        <v>32.33175026</v>
      </c>
      <c r="E308" s="30">
        <f t="array" ref="E308">IF($K55=0,0,$K308*E55/$K55)</f>
        <v>43.66399182</v>
      </c>
      <c r="F308" s="30">
        <f t="array" ref="F308">IF($J55=0,0,$J308*F55/$J55)</f>
        <v>10.66824974</v>
      </c>
      <c r="G308" s="30">
        <f t="array" ref="G308">IF($K55=0,0,$K308*G55/$K55)</f>
        <v>24.33600818</v>
      </c>
      <c r="H308" s="29">
        <f t="array" ref="H308">E308+D308</f>
        <v>75.99574207</v>
      </c>
      <c r="I308" s="29">
        <f t="array" ref="I308">G308+F308</f>
        <v>35.00425793</v>
      </c>
      <c r="J308" s="28">
        <v>43.0</v>
      </c>
      <c r="K308" s="28">
        <v>68.0</v>
      </c>
      <c r="L308" s="1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21" t="s">
        <v>417</v>
      </c>
      <c r="B309" s="22" t="s">
        <v>123</v>
      </c>
      <c r="C309" s="30">
        <f t="array" ref="C309">D309+E309+F309+G309</f>
        <v>0</v>
      </c>
      <c r="D309" s="30">
        <f t="array" ref="D309">IF($J56=0,0,$J309*D56/$J56)</f>
        <v>0</v>
      </c>
      <c r="E309" s="30">
        <f t="array" ref="E309">IF($K56=0,0,$K309*E56/$K56)</f>
        <v>0</v>
      </c>
      <c r="F309" s="30">
        <f t="array" ref="F309">IF($J56=0,0,$J309*F56/$J56)</f>
        <v>0</v>
      </c>
      <c r="G309" s="30">
        <f t="array" ref="G309">IF($K56=0,0,$K309*G56/$K56)</f>
        <v>0</v>
      </c>
      <c r="H309" s="29">
        <f t="array" ref="H309">E309+D309</f>
        <v>0</v>
      </c>
      <c r="I309" s="29">
        <f t="array" ref="I309">G309+F309</f>
        <v>0</v>
      </c>
      <c r="J309" s="28">
        <v>35.0</v>
      </c>
      <c r="K309" s="28">
        <v>68.0</v>
      </c>
      <c r="L309" s="1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21" t="s">
        <v>418</v>
      </c>
      <c r="B310" s="22" t="s">
        <v>125</v>
      </c>
      <c r="C310" s="30">
        <f t="array" ref="C310">D310+E310+F310+G310</f>
        <v>103</v>
      </c>
      <c r="D310" s="30">
        <f t="array" ref="D310">IF($J57=0,0,$J310*D57/$J57)</f>
        <v>33.35625824</v>
      </c>
      <c r="E310" s="30">
        <f t="array" ref="E310">IF($K57=0,0,$K310*E57/$K57)</f>
        <v>37.09237558</v>
      </c>
      <c r="F310" s="30">
        <f t="array" ref="F310">IF($J57=0,0,$J310*F57/$J57)</f>
        <v>11.64374176</v>
      </c>
      <c r="G310" s="30">
        <f t="array" ref="G310">IF($K57=0,0,$K310*G57/$K57)</f>
        <v>20.90762442</v>
      </c>
      <c r="H310" s="29">
        <f t="array" ref="H310">E310+D310</f>
        <v>70.44863381</v>
      </c>
      <c r="I310" s="29">
        <f t="array" ref="I310">G310+F310</f>
        <v>32.55136619</v>
      </c>
      <c r="J310" s="28">
        <v>45.0</v>
      </c>
      <c r="K310" s="28">
        <v>58.0</v>
      </c>
      <c r="L310" s="1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21" t="s">
        <v>419</v>
      </c>
      <c r="B311" s="22" t="s">
        <v>127</v>
      </c>
      <c r="C311" s="30">
        <f t="array" ref="C311">D311+E311+F311+G311</f>
        <v>121</v>
      </c>
      <c r="D311" s="30">
        <f t="array" ref="D311">IF($J58=0,0,$J311*D58/$J58)</f>
        <v>31.30756249</v>
      </c>
      <c r="E311" s="30">
        <f t="array" ref="E311">IF($K58=0,0,$K311*E58/$K58)</f>
        <v>50.75695347</v>
      </c>
      <c r="F311" s="30">
        <f t="array" ref="F311">IF($J58=0,0,$J311*F58/$J58)</f>
        <v>10.69243751</v>
      </c>
      <c r="G311" s="30">
        <f t="array" ref="G311">IF($K58=0,0,$K311*G58/$K58)</f>
        <v>28.24304653</v>
      </c>
      <c r="H311" s="29">
        <f t="array" ref="H311">E311+D311</f>
        <v>82.06451596</v>
      </c>
      <c r="I311" s="29">
        <f t="array" ref="I311">G311+F311</f>
        <v>38.93548404</v>
      </c>
      <c r="J311" s="28">
        <v>42.0</v>
      </c>
      <c r="K311" s="28">
        <v>79.0</v>
      </c>
      <c r="L311" s="1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21" t="s">
        <v>420</v>
      </c>
      <c r="B312" s="22" t="s">
        <v>129</v>
      </c>
      <c r="C312" s="30">
        <f t="array" ref="C312">D312+E312+F312+G312</f>
        <v>136</v>
      </c>
      <c r="D312" s="30">
        <f t="array" ref="D312">IF($J59=0,0,$J312*D59/$J59)</f>
        <v>34.33778642</v>
      </c>
      <c r="E312" s="30">
        <f t="array" ref="E312">IF($K59=0,0,$K312*E59/$K59)</f>
        <v>57.55976577</v>
      </c>
      <c r="F312" s="30">
        <f t="array" ref="F312">IF($J59=0,0,$J312*F59/$J59)</f>
        <v>11.66221358</v>
      </c>
      <c r="G312" s="30">
        <f t="array" ref="G312">IF($K59=0,0,$K312*G59/$K59)</f>
        <v>32.44023423</v>
      </c>
      <c r="H312" s="29">
        <f t="array" ref="H312">E312+D312</f>
        <v>91.89755219</v>
      </c>
      <c r="I312" s="29">
        <f t="array" ref="I312">G312+F312</f>
        <v>44.10244781</v>
      </c>
      <c r="J312" s="28">
        <v>46.0</v>
      </c>
      <c r="K312" s="28">
        <v>90.0</v>
      </c>
      <c r="L312" s="1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21" t="s">
        <v>421</v>
      </c>
      <c r="B313" s="22" t="s">
        <v>131</v>
      </c>
      <c r="C313" s="30">
        <f t="array" ref="C313">D313+E313+F313+G313</f>
        <v>139</v>
      </c>
      <c r="D313" s="30">
        <f t="array" ref="D313">IF($J60=0,0,$J313*D60/$J60)</f>
        <v>39.0710307</v>
      </c>
      <c r="E313" s="30">
        <f t="array" ref="E313">IF($K60=0,0,$K313*E60/$K60)</f>
        <v>55.97227599</v>
      </c>
      <c r="F313" s="30">
        <f t="array" ref="F313">IF($J60=0,0,$J313*F60/$J60)</f>
        <v>12.9289693</v>
      </c>
      <c r="G313" s="30">
        <f t="array" ref="G313">IF($K60=0,0,$K313*G60/$K60)</f>
        <v>31.02772401</v>
      </c>
      <c r="H313" s="29">
        <f t="array" ref="H313">E313+D313</f>
        <v>95.04330669</v>
      </c>
      <c r="I313" s="29">
        <f t="array" ref="I313">G313+F313</f>
        <v>43.95669331</v>
      </c>
      <c r="J313" s="28">
        <v>52.0</v>
      </c>
      <c r="K313" s="28">
        <v>87.0</v>
      </c>
      <c r="L313" s="1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21" t="s">
        <v>422</v>
      </c>
      <c r="B314" s="22" t="s">
        <v>133</v>
      </c>
      <c r="C314" s="30">
        <f t="array" ref="C314">D314+E314+F314+G314</f>
        <v>174</v>
      </c>
      <c r="D314" s="30">
        <f t="array" ref="D314">IF($J61=0,0,$J314*D61/$J61)</f>
        <v>53.07571357</v>
      </c>
      <c r="E314" s="30">
        <f t="array" ref="E314">IF($K61=0,0,$K314*E61/$K61)</f>
        <v>67.81761989</v>
      </c>
      <c r="F314" s="30">
        <f t="array" ref="F314">IF($J61=0,0,$J314*F61/$J61)</f>
        <v>16.92428643</v>
      </c>
      <c r="G314" s="30">
        <f t="array" ref="G314">IF($K61=0,0,$K314*G61/$K61)</f>
        <v>36.18238011</v>
      </c>
      <c r="H314" s="29">
        <f t="array" ref="H314">E314+D314</f>
        <v>120.8933335</v>
      </c>
      <c r="I314" s="29">
        <f t="array" ref="I314">G314+F314</f>
        <v>53.10666654</v>
      </c>
      <c r="J314" s="28">
        <v>70.0</v>
      </c>
      <c r="K314" s="28">
        <v>104.0</v>
      </c>
      <c r="L314" s="1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21" t="s">
        <v>423</v>
      </c>
      <c r="B315" s="22" t="s">
        <v>135</v>
      </c>
      <c r="C315" s="30">
        <f t="array" ref="C315">D315+E315+F315+G315</f>
        <v>218</v>
      </c>
      <c r="D315" s="30">
        <f t="array" ref="D315">IF($J62=0,0,$J315*D62/$J62)</f>
        <v>56.44473954</v>
      </c>
      <c r="E315" s="30">
        <f t="array" ref="E315">IF($K62=0,0,$K315*E62/$K62)</f>
        <v>97.44451988</v>
      </c>
      <c r="F315" s="30">
        <f t="array" ref="F315">IF($J62=0,0,$J315*F62/$J62)</f>
        <v>16.55526046</v>
      </c>
      <c r="G315" s="30">
        <f t="array" ref="G315">IF($K62=0,0,$K315*G62/$K62)</f>
        <v>47.55548012</v>
      </c>
      <c r="H315" s="29">
        <f t="array" ref="H315">E315+D315</f>
        <v>153.8892594</v>
      </c>
      <c r="I315" s="29">
        <f t="array" ref="I315">G315+F315</f>
        <v>64.11074057</v>
      </c>
      <c r="J315" s="28">
        <v>73.0</v>
      </c>
      <c r="K315" s="28">
        <v>145.0</v>
      </c>
      <c r="L315" s="1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21" t="s">
        <v>424</v>
      </c>
      <c r="B316" s="22" t="s">
        <v>137</v>
      </c>
      <c r="C316" s="30">
        <f t="array" ref="C316">D316+E316+F316+G316</f>
        <v>217</v>
      </c>
      <c r="D316" s="30">
        <f t="array" ref="D316">IF($J63=0,0,$J316*D63/$J63)</f>
        <v>63.79118994</v>
      </c>
      <c r="E316" s="30">
        <f t="array" ref="E316">IF($K63=0,0,$K316*E63/$K63)</f>
        <v>91.36564364</v>
      </c>
      <c r="F316" s="30">
        <f t="array" ref="F316">IF($J63=0,0,$J316*F63/$J63)</f>
        <v>18.20881006</v>
      </c>
      <c r="G316" s="30">
        <f t="array" ref="G316">IF($K63=0,0,$K316*G63/$K63)</f>
        <v>43.63435636</v>
      </c>
      <c r="H316" s="29">
        <f t="array" ref="H316">E316+D316</f>
        <v>155.1568336</v>
      </c>
      <c r="I316" s="29">
        <f t="array" ref="I316">G316+F316</f>
        <v>61.84316642</v>
      </c>
      <c r="J316" s="28">
        <v>82.0</v>
      </c>
      <c r="K316" s="28">
        <v>135.0</v>
      </c>
      <c r="L316" s="1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21" t="s">
        <v>425</v>
      </c>
      <c r="B317" s="22" t="s">
        <v>139</v>
      </c>
      <c r="C317" s="30">
        <f t="array" ref="C317">D317+E317+F317+G317</f>
        <v>259</v>
      </c>
      <c r="D317" s="30">
        <f t="array" ref="D317">IF($J64=0,0,$J317*D64/$J64)</f>
        <v>73.29052545</v>
      </c>
      <c r="E317" s="30">
        <f t="array" ref="E317">IF($K64=0,0,$K317*E64/$K64)</f>
        <v>114.1024917</v>
      </c>
      <c r="F317" s="30">
        <f t="array" ref="F317">IF($J64=0,0,$J317*F64/$J64)</f>
        <v>19.70947455</v>
      </c>
      <c r="G317" s="30">
        <f t="array" ref="G317">IF($K64=0,0,$K317*G64/$K64)</f>
        <v>51.89750834</v>
      </c>
      <c r="H317" s="29">
        <f t="array" ref="H317">E317+D317</f>
        <v>187.3930171</v>
      </c>
      <c r="I317" s="29">
        <f t="array" ref="I317">G317+F317</f>
        <v>71.60698289</v>
      </c>
      <c r="J317" s="28">
        <v>93.0</v>
      </c>
      <c r="K317" s="28">
        <v>166.0</v>
      </c>
      <c r="L317" s="1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21" t="s">
        <v>426</v>
      </c>
      <c r="B318" s="22" t="s">
        <v>141</v>
      </c>
      <c r="C318" s="30">
        <f t="array" ref="C318">D318+E318+F318+G318</f>
        <v>343</v>
      </c>
      <c r="D318" s="30">
        <f t="array" ref="D318">IF($J65=0,0,$J318*D65/$J65)</f>
        <v>102.7610074</v>
      </c>
      <c r="E318" s="30">
        <f t="array" ref="E318">IF($K65=0,0,$K318*E65/$K65)</f>
        <v>146.6503925</v>
      </c>
      <c r="F318" s="30">
        <f t="array" ref="F318">IF($J65=0,0,$J318*F65/$J65)</f>
        <v>27.23899263</v>
      </c>
      <c r="G318" s="30">
        <f t="array" ref="G318">IF($K65=0,0,$K318*G65/$K65)</f>
        <v>66.34960749</v>
      </c>
      <c r="H318" s="29">
        <f t="array" ref="H318">E318+D318</f>
        <v>249.4113999</v>
      </c>
      <c r="I318" s="29">
        <f t="array" ref="I318">G318+F318</f>
        <v>93.58860012</v>
      </c>
      <c r="J318" s="28">
        <v>130.0</v>
      </c>
      <c r="K318" s="28">
        <v>213.0</v>
      </c>
      <c r="L318" s="1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21" t="s">
        <v>427</v>
      </c>
      <c r="B319" s="22" t="s">
        <v>143</v>
      </c>
      <c r="C319" s="30">
        <f t="array" ref="C319">D319+E319+F319+G319</f>
        <v>355</v>
      </c>
      <c r="D319" s="30">
        <f t="array" ref="D319">IF($J66=0,0,$J319*D66/$J66)</f>
        <v>109.4387868</v>
      </c>
      <c r="E319" s="30">
        <f t="array" ref="E319">IF($K66=0,0,$K319*E66/$K66)</f>
        <v>152.2264549</v>
      </c>
      <c r="F319" s="30">
        <f t="array" ref="F319">IF($J66=0,0,$J319*F66/$J66)</f>
        <v>27.56121318</v>
      </c>
      <c r="G319" s="30">
        <f t="array" ref="G319">IF($K66=0,0,$K319*G66/$K66)</f>
        <v>65.77354515</v>
      </c>
      <c r="H319" s="29">
        <f t="array" ref="H319">E319+D319</f>
        <v>261.6652417</v>
      </c>
      <c r="I319" s="29">
        <f t="array" ref="I319">G319+F319</f>
        <v>93.33475833</v>
      </c>
      <c r="J319" s="28">
        <v>137.0</v>
      </c>
      <c r="K319" s="28">
        <v>218.0</v>
      </c>
      <c r="L319" s="1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21" t="s">
        <v>428</v>
      </c>
      <c r="B320" s="22" t="s">
        <v>145</v>
      </c>
      <c r="C320" s="30">
        <f t="array" ref="C320">D320+E320+F320+G320</f>
        <v>0</v>
      </c>
      <c r="D320" s="30">
        <f t="array" ref="D320">IF($J67=0,0,$J320*D67/$J67)</f>
        <v>0</v>
      </c>
      <c r="E320" s="30">
        <f t="array" ref="E320">IF($K67=0,0,$K320*E67/$K67)</f>
        <v>0</v>
      </c>
      <c r="F320" s="30">
        <f t="array" ref="F320">IF($J67=0,0,$J320*F67/$J67)</f>
        <v>0</v>
      </c>
      <c r="G320" s="30">
        <f t="array" ref="G320">IF($K67=0,0,$K320*G67/$K67)</f>
        <v>0</v>
      </c>
      <c r="H320" s="29">
        <f t="array" ref="H320">E320+D320</f>
        <v>0</v>
      </c>
      <c r="I320" s="29">
        <f t="array" ref="I320">G320+F320</f>
        <v>0</v>
      </c>
      <c r="J320" s="28">
        <v>142.0</v>
      </c>
      <c r="K320" s="28">
        <v>252.0</v>
      </c>
      <c r="L320" s="1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21" t="s">
        <v>429</v>
      </c>
      <c r="B321" s="22" t="s">
        <v>147</v>
      </c>
      <c r="C321" s="30">
        <f t="array" ref="C321">D321+E321+F321+G321</f>
        <v>387</v>
      </c>
      <c r="D321" s="30">
        <f t="array" ref="D321">IF($J68=0,0,$J321*D68/$J68)</f>
        <v>119.2014005</v>
      </c>
      <c r="E321" s="30">
        <f t="array" ref="E321">IF($K68=0,0,$K321*E68/$K68)</f>
        <v>217.2027009</v>
      </c>
      <c r="F321" s="30">
        <f t="array" ref="F321">IF($J68=0,0,$J321*F68/$J68)</f>
        <v>15.79859945</v>
      </c>
      <c r="G321" s="30">
        <f t="array" ref="G321">IF($K68=0,0,$K321*G68/$K68)</f>
        <v>34.79729907</v>
      </c>
      <c r="H321" s="29">
        <f t="array" ref="H321">E321+D321</f>
        <v>336.4041015</v>
      </c>
      <c r="I321" s="29">
        <f t="array" ref="I321">G321+F321</f>
        <v>50.59589852</v>
      </c>
      <c r="J321" s="28">
        <v>135.0</v>
      </c>
      <c r="K321" s="28">
        <v>252.0</v>
      </c>
      <c r="L321" s="1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21" t="s">
        <v>430</v>
      </c>
      <c r="B322" s="22" t="s">
        <v>149</v>
      </c>
      <c r="C322" s="30">
        <f t="array" ref="C322">D322+E322+F322+G322</f>
        <v>452</v>
      </c>
      <c r="D322" s="30">
        <f t="array" ref="D322">IF($J69=0,0,$J322*D69/$J69)</f>
        <v>140.0300588</v>
      </c>
      <c r="E322" s="30">
        <f t="array" ref="E322">IF($K69=0,0,$K322*E69/$K69)</f>
        <v>254.1948239</v>
      </c>
      <c r="F322" s="30">
        <f t="array" ref="F322">IF($J69=0,0,$J322*F69/$J69)</f>
        <v>17.96994115</v>
      </c>
      <c r="G322" s="30">
        <f t="array" ref="G322">IF($K69=0,0,$K322*G69/$K69)</f>
        <v>39.80517615</v>
      </c>
      <c r="H322" s="29">
        <f t="array" ref="H322">E322+D322</f>
        <v>394.2248827</v>
      </c>
      <c r="I322" s="29">
        <f t="array" ref="I322">G322+F322</f>
        <v>57.7751173</v>
      </c>
      <c r="J322" s="28">
        <v>158.0</v>
      </c>
      <c r="K322" s="28">
        <v>294.0</v>
      </c>
      <c r="L322" s="1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21" t="s">
        <v>431</v>
      </c>
      <c r="B323" s="22" t="s">
        <v>151</v>
      </c>
      <c r="C323" s="30">
        <f t="array" ref="C323">D323+E323+F323+G323</f>
        <v>497</v>
      </c>
      <c r="D323" s="30">
        <f t="array" ref="D323">IF($J70=0,0,$J323*D70/$J70)</f>
        <v>138.5252732</v>
      </c>
      <c r="E323" s="30">
        <f t="array" ref="E323">IF($K70=0,0,$K323*E70/$K70)</f>
        <v>299.1756485</v>
      </c>
      <c r="F323" s="30">
        <f t="array" ref="F323">IF($J70=0,0,$J323*F70/$J70)</f>
        <v>16.47472676</v>
      </c>
      <c r="G323" s="30">
        <f t="array" ref="G323">IF($K70=0,0,$K323*G70/$K70)</f>
        <v>42.8243515</v>
      </c>
      <c r="H323" s="29">
        <f t="array" ref="H323">E323+D323</f>
        <v>437.7009217</v>
      </c>
      <c r="I323" s="29">
        <f t="array" ref="I323">G323+F323</f>
        <v>59.29907826</v>
      </c>
      <c r="J323" s="28">
        <v>155.0</v>
      </c>
      <c r="K323" s="28">
        <v>342.0</v>
      </c>
      <c r="L323" s="1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21" t="s">
        <v>432</v>
      </c>
      <c r="B324" s="22" t="s">
        <v>153</v>
      </c>
      <c r="C324" s="30">
        <f t="array" ref="C324">D324+E324+F324+G324</f>
        <v>515</v>
      </c>
      <c r="D324" s="30">
        <f t="array" ref="D324">IF($J71=0,0,$J324*D71/$J71)</f>
        <v>156.772666</v>
      </c>
      <c r="E324" s="30">
        <f t="array" ref="E324">IF($K71=0,0,$K324*E71/$K71)</f>
        <v>297.9365207</v>
      </c>
      <c r="F324" s="30">
        <f t="array" ref="F324">IF($J71=0,0,$J324*F71/$J71)</f>
        <v>18.22733397</v>
      </c>
      <c r="G324" s="30">
        <f t="array" ref="G324">IF($K71=0,0,$K324*G71/$K71)</f>
        <v>42.06347926</v>
      </c>
      <c r="H324" s="29">
        <f t="array" ref="H324">E324+D324</f>
        <v>454.7091868</v>
      </c>
      <c r="I324" s="29">
        <f t="array" ref="I324">G324+F324</f>
        <v>60.29081323</v>
      </c>
      <c r="J324" s="28">
        <v>175.0</v>
      </c>
      <c r="K324" s="28">
        <v>340.0</v>
      </c>
      <c r="L324" s="1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21" t="s">
        <v>433</v>
      </c>
      <c r="B325" s="22" t="s">
        <v>155</v>
      </c>
      <c r="C325" s="30">
        <f t="array" ref="C325">D325+E325+F325+G325</f>
        <v>583</v>
      </c>
      <c r="D325" s="30">
        <f t="array" ref="D325">IF($J72=0,0,$J325*D72/$J72)</f>
        <v>161.1131083</v>
      </c>
      <c r="E325" s="30">
        <f t="array" ref="E325">IF($K72=0,0,$K325*E72/$K72)</f>
        <v>353.0740656</v>
      </c>
      <c r="F325" s="30">
        <f t="array" ref="F325">IF($J72=0,0,$J325*F72/$J72)</f>
        <v>18.88689166</v>
      </c>
      <c r="G325" s="30">
        <f t="array" ref="G325">IF($K72=0,0,$K325*G72/$K72)</f>
        <v>49.9259344</v>
      </c>
      <c r="H325" s="29">
        <f t="array" ref="H325">E325+D325</f>
        <v>514.1871739</v>
      </c>
      <c r="I325" s="29">
        <f t="array" ref="I325">G325+F325</f>
        <v>68.81282606</v>
      </c>
      <c r="J325" s="28">
        <v>180.0</v>
      </c>
      <c r="K325" s="28">
        <v>403.0</v>
      </c>
      <c r="L325" s="1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21" t="s">
        <v>434</v>
      </c>
      <c r="B326" s="22" t="s">
        <v>157</v>
      </c>
      <c r="C326" s="30">
        <f t="array" ref="C326">D326+E326+F326+G326</f>
        <v>658</v>
      </c>
      <c r="D326" s="30">
        <f t="array" ref="D326">IF($J73=0,0,$J326*D73/$J73)</f>
        <v>183.275351</v>
      </c>
      <c r="E326" s="30">
        <f t="array" ref="E326">IF($K73=0,0,$K326*E73/$K73)</f>
        <v>395.1114563</v>
      </c>
      <c r="F326" s="30">
        <f t="array" ref="F326">IF($J73=0,0,$J326*F73/$J73)</f>
        <v>21.72464895</v>
      </c>
      <c r="G326" s="30">
        <f t="array" ref="G326">IF($K73=0,0,$K326*G73/$K73)</f>
        <v>57.88854369</v>
      </c>
      <c r="H326" s="29">
        <f t="array" ref="H326">E326+D326</f>
        <v>578.3868074</v>
      </c>
      <c r="I326" s="29">
        <f t="array" ref="I326">G326+F326</f>
        <v>79.61319264</v>
      </c>
      <c r="J326" s="28">
        <v>205.0</v>
      </c>
      <c r="K326" s="28">
        <v>453.0</v>
      </c>
      <c r="L326" s="1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21" t="s">
        <v>435</v>
      </c>
      <c r="B327" s="22" t="s">
        <v>159</v>
      </c>
      <c r="C327" s="30">
        <f t="array" ref="C327">D327+E327+F327+G327</f>
        <v>657</v>
      </c>
      <c r="D327" s="30">
        <f t="array" ref="D327">IF($J74=0,0,$J327*D74/$J74)</f>
        <v>185.2390289</v>
      </c>
      <c r="E327" s="30">
        <f t="array" ref="E327">IF($K74=0,0,$K327*E74/$K74)</f>
        <v>389.9060588</v>
      </c>
      <c r="F327" s="30">
        <f t="array" ref="F327">IF($J74=0,0,$J327*F74/$J74)</f>
        <v>22.76097108</v>
      </c>
      <c r="G327" s="30">
        <f t="array" ref="G327">IF($K74=0,0,$K327*G74/$K74)</f>
        <v>59.09394121</v>
      </c>
      <c r="H327" s="29">
        <f t="array" ref="H327">E327+D327</f>
        <v>575.1450877</v>
      </c>
      <c r="I327" s="29">
        <f t="array" ref="I327">G327+F327</f>
        <v>81.85491229</v>
      </c>
      <c r="J327" s="28">
        <v>208.0</v>
      </c>
      <c r="K327" s="28">
        <v>449.0</v>
      </c>
      <c r="L327" s="1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21" t="s">
        <v>436</v>
      </c>
      <c r="B328" s="22" t="s">
        <v>161</v>
      </c>
      <c r="C328" s="30">
        <f t="array" ref="C328">D328+E328+F328+G328</f>
        <v>739</v>
      </c>
      <c r="D328" s="30">
        <f t="array" ref="D328">IF($J75=0,0,$J328*D75/$J75)</f>
        <v>196.9187272</v>
      </c>
      <c r="E328" s="30">
        <f t="array" ref="E328">IF($K75=0,0,$K328*E75/$K75)</f>
        <v>449.7742453</v>
      </c>
      <c r="F328" s="30">
        <f t="array" ref="F328">IF($J75=0,0,$J328*F75/$J75)</f>
        <v>24.0812728</v>
      </c>
      <c r="G328" s="30">
        <f t="array" ref="G328">IF($K75=0,0,$K328*G75/$K75)</f>
        <v>68.22575466</v>
      </c>
      <c r="H328" s="29">
        <f t="array" ref="H328">E328+D328</f>
        <v>646.6929725</v>
      </c>
      <c r="I328" s="29">
        <f t="array" ref="I328">G328+F328</f>
        <v>92.30702746</v>
      </c>
      <c r="J328" s="28">
        <v>221.0</v>
      </c>
      <c r="K328" s="28">
        <v>518.0</v>
      </c>
      <c r="L328" s="1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21" t="s">
        <v>437</v>
      </c>
      <c r="B329" s="22" t="s">
        <v>163</v>
      </c>
      <c r="C329" s="30">
        <f t="array" ref="C329">D329+E329+F329+G329</f>
        <v>827</v>
      </c>
      <c r="D329" s="30">
        <f t="array" ref="D329">IF($J76=0,0,$J329*D76/$J76)</f>
        <v>232.2585083</v>
      </c>
      <c r="E329" s="30">
        <f t="array" ref="E329">IF($K76=0,0,$K329*E76/$K76)</f>
        <v>490.4783734</v>
      </c>
      <c r="F329" s="30">
        <f t="array" ref="F329">IF($J76=0,0,$J329*F76/$J76)</f>
        <v>28.7414917</v>
      </c>
      <c r="G329" s="30">
        <f t="array" ref="G329">IF($K76=0,0,$K329*G76/$K76)</f>
        <v>75.52162657</v>
      </c>
      <c r="H329" s="29">
        <f t="array" ref="H329">E329+D329</f>
        <v>722.7368817</v>
      </c>
      <c r="I329" s="29">
        <f t="array" ref="I329">G329+F329</f>
        <v>104.2631183</v>
      </c>
      <c r="J329" s="28">
        <v>261.0</v>
      </c>
      <c r="K329" s="28">
        <v>566.0</v>
      </c>
      <c r="L329" s="1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21" t="s">
        <v>438</v>
      </c>
      <c r="B330" s="22" t="s">
        <v>165</v>
      </c>
      <c r="C330" s="30">
        <f t="array" ref="C330">D330+E330+F330+G330</f>
        <v>861</v>
      </c>
      <c r="D330" s="30">
        <f t="array" ref="D330">IF($J77=0,0,$J330*D77/$J77)</f>
        <v>249.9088172</v>
      </c>
      <c r="E330" s="30">
        <f t="array" ref="E330">IF($K77=0,0,$K330*E77/$K77)</f>
        <v>499.325123</v>
      </c>
      <c r="F330" s="30">
        <f t="array" ref="F330">IF($J77=0,0,$J330*F77/$J77)</f>
        <v>32.0911828</v>
      </c>
      <c r="G330" s="30">
        <f t="array" ref="G330">IF($K77=0,0,$K330*G77/$K77)</f>
        <v>79.67487697</v>
      </c>
      <c r="H330" s="29">
        <f t="array" ref="H330">E330+D330</f>
        <v>749.2339402</v>
      </c>
      <c r="I330" s="29">
        <f t="array" ref="I330">G330+F330</f>
        <v>111.7660598</v>
      </c>
      <c r="J330" s="28">
        <v>282.0</v>
      </c>
      <c r="K330" s="28">
        <v>579.0</v>
      </c>
      <c r="L330" s="1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21" t="s">
        <v>439</v>
      </c>
      <c r="B331" s="22" t="s">
        <v>167</v>
      </c>
      <c r="C331" s="30">
        <f t="array" ref="C331">D331+E331+F331+G331</f>
        <v>0</v>
      </c>
      <c r="D331" s="30">
        <f t="array" ref="D331">IF($J78=0,0,$J331*D78/$J78)</f>
        <v>0</v>
      </c>
      <c r="E331" s="30">
        <f t="array" ref="E331">IF($K78=0,0,$K331*E78/$K78)</f>
        <v>0</v>
      </c>
      <c r="F331" s="30">
        <f t="array" ref="F331">IF($J78=0,0,$J331*F78/$J78)</f>
        <v>0</v>
      </c>
      <c r="G331" s="30">
        <f t="array" ref="G331">IF($K78=0,0,$K331*G78/$K78)</f>
        <v>0</v>
      </c>
      <c r="H331" s="29">
        <f t="array" ref="H331">E331+D331</f>
        <v>0</v>
      </c>
      <c r="I331" s="29">
        <f t="array" ref="I331">G331+F331</f>
        <v>0</v>
      </c>
      <c r="J331" s="28">
        <v>290.0</v>
      </c>
      <c r="K331" s="28">
        <v>657.0</v>
      </c>
      <c r="L331" s="1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21" t="s">
        <v>440</v>
      </c>
      <c r="B332" s="22" t="s">
        <v>169</v>
      </c>
      <c r="C332" s="30">
        <f t="array" ref="C332">D332+E332+F332+G332</f>
        <v>1045</v>
      </c>
      <c r="D332" s="30">
        <f t="array" ref="D332">IF($J79=0,0,$J332*D79/$J79)</f>
        <v>287.2633058</v>
      </c>
      <c r="E332" s="30">
        <f t="array" ref="E332">IF($K79=0,0,$K332*E79/$K79)</f>
        <v>686.013141</v>
      </c>
      <c r="F332" s="30">
        <f t="array" ref="F332">IF($J79=0,0,$J332*F79/$J79)</f>
        <v>21.73669416</v>
      </c>
      <c r="G332" s="30">
        <f t="array" ref="G332">IF($K79=0,0,$K332*G79/$K79)</f>
        <v>49.98685901</v>
      </c>
      <c r="H332" s="29">
        <f t="array" ref="H332">E332+D332</f>
        <v>973.2764468</v>
      </c>
      <c r="I332" s="29">
        <f t="array" ref="I332">G332+F332</f>
        <v>71.72355317</v>
      </c>
      <c r="J332" s="28">
        <v>309.0</v>
      </c>
      <c r="K332" s="28">
        <v>736.0</v>
      </c>
      <c r="L332" s="1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21" t="s">
        <v>441</v>
      </c>
      <c r="B333" s="22" t="s">
        <v>171</v>
      </c>
      <c r="C333" s="30">
        <f t="array" ref="C333">D333+E333+F333+G333</f>
        <v>1086</v>
      </c>
      <c r="D333" s="30">
        <f t="array" ref="D333">IF($J80=0,0,$J333*D80/$J80)</f>
        <v>283.4844513</v>
      </c>
      <c r="E333" s="30">
        <f t="array" ref="E333">IF($K80=0,0,$K333*E80/$K80)</f>
        <v>727.5283308</v>
      </c>
      <c r="F333" s="30">
        <f t="array" ref="F333">IF($J80=0,0,$J333*F80/$J80)</f>
        <v>21.51554873</v>
      </c>
      <c r="G333" s="30">
        <f t="array" ref="G333">IF($K80=0,0,$K333*G80/$K80)</f>
        <v>53.47166924</v>
      </c>
      <c r="H333" s="29">
        <f t="array" ref="H333">E333+D333</f>
        <v>1011.012782</v>
      </c>
      <c r="I333" s="29">
        <f t="array" ref="I333">G333+F333</f>
        <v>74.98721797</v>
      </c>
      <c r="J333" s="28">
        <v>305.0</v>
      </c>
      <c r="K333" s="28">
        <v>781.0</v>
      </c>
      <c r="L333" s="1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21" t="s">
        <v>442</v>
      </c>
      <c r="B334" s="22" t="s">
        <v>173</v>
      </c>
      <c r="C334" s="30">
        <f t="array" ref="C334">D334+E334+F334+G334</f>
        <v>1202</v>
      </c>
      <c r="D334" s="30">
        <f t="array" ref="D334">IF($J81=0,0,$J334*D81/$J81)</f>
        <v>327.3923802</v>
      </c>
      <c r="E334" s="30">
        <f t="array" ref="E334">IF($K81=0,0,$K334*E81/$K81)</f>
        <v>791.0680696</v>
      </c>
      <c r="F334" s="30">
        <f t="array" ref="F334">IF($J81=0,0,$J334*F81/$J81)</f>
        <v>24.60761981</v>
      </c>
      <c r="G334" s="30">
        <f t="array" ref="G334">IF($K81=0,0,$K334*G81/$K81)</f>
        <v>58.93193039</v>
      </c>
      <c r="H334" s="29">
        <f t="array" ref="H334">E334+D334</f>
        <v>1118.46045</v>
      </c>
      <c r="I334" s="29">
        <f t="array" ref="I334">G334+F334</f>
        <v>83.53955021</v>
      </c>
      <c r="J334" s="28">
        <v>352.0</v>
      </c>
      <c r="K334" s="28">
        <v>850.0</v>
      </c>
      <c r="L334" s="1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21" t="s">
        <v>443</v>
      </c>
      <c r="B335" s="22" t="s">
        <v>175</v>
      </c>
      <c r="C335" s="30">
        <f t="array" ref="C335">D335+E335+F335+G335</f>
        <v>1210</v>
      </c>
      <c r="D335" s="30">
        <f t="array" ref="D335">IF($J82=0,0,$J335*D82/$J82)</f>
        <v>372.3397714</v>
      </c>
      <c r="E335" s="30">
        <f t="array" ref="E335">IF($K82=0,0,$K335*E82/$K82)</f>
        <v>754.3496891</v>
      </c>
      <c r="F335" s="30">
        <f t="array" ref="F335">IF($J82=0,0,$J335*F82/$J82)</f>
        <v>27.6602286</v>
      </c>
      <c r="G335" s="30">
        <f t="array" ref="G335">IF($K82=0,0,$K335*G82/$K82)</f>
        <v>55.6503109</v>
      </c>
      <c r="H335" s="29">
        <f t="array" ref="H335">E335+D335</f>
        <v>1126.689461</v>
      </c>
      <c r="I335" s="29">
        <f t="array" ref="I335">G335+F335</f>
        <v>83.3105395</v>
      </c>
      <c r="J335" s="28">
        <v>400.0</v>
      </c>
      <c r="K335" s="28">
        <v>810.0</v>
      </c>
      <c r="L335" s="1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21" t="s">
        <v>444</v>
      </c>
      <c r="B336" s="22" t="s">
        <v>177</v>
      </c>
      <c r="C336" s="30">
        <f t="array" ref="C336">D336+E336+F336+G336</f>
        <v>1296</v>
      </c>
      <c r="D336" s="30">
        <f t="array" ref="D336">IF($J83=0,0,$J336*D83/$J83)</f>
        <v>393.8828632</v>
      </c>
      <c r="E336" s="30">
        <f t="array" ref="E336">IF($K83=0,0,$K336*E83/$K83)</f>
        <v>813.3443266</v>
      </c>
      <c r="F336" s="30">
        <f t="array" ref="F336">IF($J83=0,0,$J336*F83/$J83)</f>
        <v>29.11713683</v>
      </c>
      <c r="G336" s="30">
        <f t="array" ref="G336">IF($K83=0,0,$K336*G83/$K83)</f>
        <v>59.65567336</v>
      </c>
      <c r="H336" s="29">
        <f t="array" ref="H336">E336+D336</f>
        <v>1207.22719</v>
      </c>
      <c r="I336" s="29">
        <f t="array" ref="I336">G336+F336</f>
        <v>88.77281018</v>
      </c>
      <c r="J336" s="28">
        <v>423.0</v>
      </c>
      <c r="K336" s="28">
        <v>873.0</v>
      </c>
      <c r="L336" s="1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21" t="s">
        <v>445</v>
      </c>
      <c r="B337" s="22" t="s">
        <v>179</v>
      </c>
      <c r="C337" s="30">
        <f t="array" ref="C337">D337+E337+F337+G337</f>
        <v>1391</v>
      </c>
      <c r="D337" s="30">
        <f t="array" ref="D337">IF($J84=0,0,$J337*D84/$J84)</f>
        <v>416.5936649</v>
      </c>
      <c r="E337" s="30">
        <f t="array" ref="E337">IF($K84=0,0,$K337*E84/$K84)</f>
        <v>879.5748228</v>
      </c>
      <c r="F337" s="30">
        <f t="array" ref="F337">IF($J84=0,0,$J337*F84/$J84)</f>
        <v>30.40633513</v>
      </c>
      <c r="G337" s="30">
        <f t="array" ref="G337">IF($K84=0,0,$K337*G84/$K84)</f>
        <v>64.42517718</v>
      </c>
      <c r="H337" s="29">
        <f t="array" ref="H337">E337+D337</f>
        <v>1296.168488</v>
      </c>
      <c r="I337" s="29">
        <f t="array" ref="I337">G337+F337</f>
        <v>94.83151231</v>
      </c>
      <c r="J337" s="28">
        <v>447.0</v>
      </c>
      <c r="K337" s="28">
        <v>944.0</v>
      </c>
      <c r="L337" s="1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21" t="s">
        <v>446</v>
      </c>
      <c r="B338" s="22" t="s">
        <v>181</v>
      </c>
      <c r="C338" s="30">
        <f t="array" ref="C338">D338+E338+F338+G338</f>
        <v>1422</v>
      </c>
      <c r="D338" s="30">
        <f t="array" ref="D338">IF($J85=0,0,$J338*D85/$J85)</f>
        <v>453.8771931</v>
      </c>
      <c r="E338" s="30">
        <f t="array" ref="E338">IF($K85=0,0,$K338*E85/$K85)</f>
        <v>868.4042058</v>
      </c>
      <c r="F338" s="30">
        <f t="array" ref="F338">IF($J85=0,0,$J338*F85/$J85)</f>
        <v>34.12280693</v>
      </c>
      <c r="G338" s="30">
        <f t="array" ref="G338">IF($K85=0,0,$K338*G85/$K85)</f>
        <v>65.59579424</v>
      </c>
      <c r="H338" s="29">
        <f t="array" ref="H338">E338+D338</f>
        <v>1322.281399</v>
      </c>
      <c r="I338" s="29">
        <f t="array" ref="I338">G338+F338</f>
        <v>99.71860117</v>
      </c>
      <c r="J338" s="28">
        <v>488.0</v>
      </c>
      <c r="K338" s="28">
        <v>934.0</v>
      </c>
      <c r="L338" s="1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21" t="s">
        <v>447</v>
      </c>
      <c r="B339" s="22" t="s">
        <v>183</v>
      </c>
      <c r="C339" s="30">
        <f t="array" ref="C339">D339+E339+F339+G339</f>
        <v>1571</v>
      </c>
      <c r="D339" s="30">
        <f t="array" ref="D339">IF($J86=0,0,$J339*D86/$J86)</f>
        <v>470.4912616</v>
      </c>
      <c r="E339" s="30">
        <f t="array" ref="E339">IF($K86=0,0,$K339*E86/$K86)</f>
        <v>989.9833687</v>
      </c>
      <c r="F339" s="30">
        <f t="array" ref="F339">IF($J86=0,0,$J339*F86/$J86)</f>
        <v>35.50873843</v>
      </c>
      <c r="G339" s="30">
        <f t="array" ref="G339">IF($K86=0,0,$K339*G86/$K86)</f>
        <v>75.01663125</v>
      </c>
      <c r="H339" s="29">
        <f t="array" ref="H339">E339+D339</f>
        <v>1460.47463</v>
      </c>
      <c r="I339" s="29">
        <f t="array" ref="I339">G339+F339</f>
        <v>110.5253697</v>
      </c>
      <c r="J339" s="28">
        <v>506.0</v>
      </c>
      <c r="K339" s="28">
        <v>1065.0</v>
      </c>
      <c r="L339" s="1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21" t="s">
        <v>448</v>
      </c>
      <c r="B340" s="22" t="s">
        <v>185</v>
      </c>
      <c r="C340" s="30">
        <f t="array" ref="C340">D340+E340+F340+G340</f>
        <v>1563</v>
      </c>
      <c r="D340" s="30">
        <f t="array" ref="D340">IF($J87=0,0,$J340*D87/$J87)</f>
        <v>479.8667855</v>
      </c>
      <c r="E340" s="30">
        <f t="array" ref="E340">IF($K87=0,0,$K340*E87/$K87)</f>
        <v>973.5062319</v>
      </c>
      <c r="F340" s="30">
        <f t="array" ref="F340">IF($J87=0,0,$J340*F87/$J87)</f>
        <v>36.13321449</v>
      </c>
      <c r="G340" s="30">
        <f t="array" ref="G340">IF($K87=0,0,$K340*G87/$K87)</f>
        <v>73.4937681</v>
      </c>
      <c r="H340" s="29">
        <f t="array" ref="H340">E340+D340</f>
        <v>1453.373017</v>
      </c>
      <c r="I340" s="29">
        <f t="array" ref="I340">G340+F340</f>
        <v>109.6269826</v>
      </c>
      <c r="J340" s="28">
        <v>516.0</v>
      </c>
      <c r="K340" s="28">
        <v>1047.0</v>
      </c>
      <c r="L340" s="1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21" t="s">
        <v>449</v>
      </c>
      <c r="B341" s="22" t="s">
        <v>187</v>
      </c>
      <c r="C341" s="30">
        <f t="array" ref="C341">D341+E341+F341+G341</f>
        <v>1757</v>
      </c>
      <c r="D341" s="30">
        <f t="array" ref="D341">IF($J88=0,0,$J341*D88/$J88)</f>
        <v>544.6880517</v>
      </c>
      <c r="E341" s="30">
        <f t="array" ref="E341">IF($K88=0,0,$K341*E88/$K88)</f>
        <v>1089.366572</v>
      </c>
      <c r="F341" s="30">
        <f t="array" ref="F341">IF($J88=0,0,$J341*F88/$J88)</f>
        <v>41.31194833</v>
      </c>
      <c r="G341" s="30">
        <f t="array" ref="G341">IF($K88=0,0,$K341*G88/$K88)</f>
        <v>81.63342776</v>
      </c>
      <c r="H341" s="29">
        <f t="array" ref="H341">E341+D341</f>
        <v>1634.054624</v>
      </c>
      <c r="I341" s="29">
        <f t="array" ref="I341">G341+F341</f>
        <v>122.9453761</v>
      </c>
      <c r="J341" s="28">
        <v>586.0</v>
      </c>
      <c r="K341" s="28">
        <v>1171.0</v>
      </c>
      <c r="L341" s="1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21" t="s">
        <v>450</v>
      </c>
      <c r="B342" s="22" t="s">
        <v>189</v>
      </c>
      <c r="C342" s="30">
        <f t="array" ref="C342">D342+E342+F342+G342</f>
        <v>0</v>
      </c>
      <c r="D342" s="30">
        <f t="array" ref="D342">IF($J89=0,0,$J342*D89/$J89)</f>
        <v>0</v>
      </c>
      <c r="E342" s="30">
        <f t="array" ref="E342">IF($K89=0,0,$K342*E89/$K89)</f>
        <v>0</v>
      </c>
      <c r="F342" s="30">
        <f t="array" ref="F342">IF($J89=0,0,$J342*F89/$J89)</f>
        <v>0</v>
      </c>
      <c r="G342" s="30">
        <f t="array" ref="G342">IF($K89=0,0,$K342*G89/$K89)</f>
        <v>0</v>
      </c>
      <c r="H342" s="29">
        <f t="array" ref="H342">E342+D342</f>
        <v>0</v>
      </c>
      <c r="I342" s="29">
        <f t="array" ref="I342">G342+F342</f>
        <v>0</v>
      </c>
      <c r="J342" s="28">
        <v>658.0</v>
      </c>
      <c r="K342" s="28">
        <v>1222.0</v>
      </c>
      <c r="L342" s="1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21" t="s">
        <v>451</v>
      </c>
      <c r="B343" s="22" t="s">
        <v>191</v>
      </c>
      <c r="C343" s="30">
        <f t="array" ref="C343">D343+E343+F343+G343</f>
        <v>1912</v>
      </c>
      <c r="D343" s="30">
        <f t="array" ref="D343">IF($J90=0,0,$J343*D90/$J90)</f>
        <v>675.6373099</v>
      </c>
      <c r="E343" s="30">
        <f t="array" ref="E343">IF($K90=0,0,$K343*E90/$K90)</f>
        <v>1146.420128</v>
      </c>
      <c r="F343" s="30">
        <f t="array" ref="F343">IF($J90=0,0,$J343*F90/$J90)</f>
        <v>31.36269012</v>
      </c>
      <c r="G343" s="30">
        <f t="array" ref="G343">IF($K90=0,0,$K343*G90/$K90)</f>
        <v>58.57987211</v>
      </c>
      <c r="H343" s="29">
        <f t="array" ref="H343">E343+D343</f>
        <v>1822.057438</v>
      </c>
      <c r="I343" s="29">
        <f t="array" ref="I343">G343+F343</f>
        <v>89.94256222</v>
      </c>
      <c r="J343" s="28">
        <v>707.0</v>
      </c>
      <c r="K343" s="28">
        <v>1205.0</v>
      </c>
      <c r="L343" s="1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21" t="s">
        <v>452</v>
      </c>
      <c r="B344" s="22" t="s">
        <v>193</v>
      </c>
      <c r="C344" s="30">
        <f t="array" ref="C344">D344+E344+F344+G344</f>
        <v>2127</v>
      </c>
      <c r="D344" s="30">
        <f t="array" ref="D344">IF($J91=0,0,$J344*D91/$J91)</f>
        <v>774.1979873</v>
      </c>
      <c r="E344" s="30">
        <f t="array" ref="E344">IF($K91=0,0,$K344*E91/$K91)</f>
        <v>1252.835042</v>
      </c>
      <c r="F344" s="30">
        <f t="array" ref="F344">IF($J91=0,0,$J344*F91/$J91)</f>
        <v>35.80201272</v>
      </c>
      <c r="G344" s="30">
        <f t="array" ref="G344">IF($K91=0,0,$K344*G91/$K91)</f>
        <v>64.16495821</v>
      </c>
      <c r="H344" s="29">
        <f t="array" ref="H344">E344+D344</f>
        <v>2027.033029</v>
      </c>
      <c r="I344" s="29">
        <f t="array" ref="I344">G344+F344</f>
        <v>99.96697093</v>
      </c>
      <c r="J344" s="28">
        <v>810.0</v>
      </c>
      <c r="K344" s="28">
        <v>1317.0</v>
      </c>
      <c r="L344" s="1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21" t="s">
        <v>453</v>
      </c>
      <c r="B345" s="22" t="s">
        <v>195</v>
      </c>
      <c r="C345" s="30">
        <f t="array" ref="C345">D345+E345+F345+G345</f>
        <v>2223</v>
      </c>
      <c r="D345" s="30">
        <f t="array" ref="D345">IF($J92=0,0,$J345*D92/$J92)</f>
        <v>842.4871206</v>
      </c>
      <c r="E345" s="30">
        <f t="array" ref="E345">IF($K92=0,0,$K345*E92/$K92)</f>
        <v>1274.684462</v>
      </c>
      <c r="F345" s="30">
        <f t="array" ref="F345">IF($J92=0,0,$J345*F92/$J92)</f>
        <v>39.51287935</v>
      </c>
      <c r="G345" s="30">
        <f t="array" ref="G345">IF($K92=0,0,$K345*G92/$K92)</f>
        <v>66.31553803</v>
      </c>
      <c r="H345" s="29">
        <f t="array" ref="H345">E345+D345</f>
        <v>2117.171583</v>
      </c>
      <c r="I345" s="29">
        <f t="array" ref="I345">G345+F345</f>
        <v>105.8284174</v>
      </c>
      <c r="J345" s="28">
        <v>882.0</v>
      </c>
      <c r="K345" s="28">
        <v>1341.0</v>
      </c>
      <c r="L345" s="1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21" t="s">
        <v>454</v>
      </c>
      <c r="B346" s="22" t="s">
        <v>197</v>
      </c>
      <c r="C346" s="30">
        <f t="array" ref="C346">D346+E346+F346+G346</f>
        <v>2365</v>
      </c>
      <c r="D346" s="30">
        <f t="array" ref="D346">IF($J93=0,0,$J346*D93/$J93)</f>
        <v>872.5387802</v>
      </c>
      <c r="E346" s="30">
        <f t="array" ref="E346">IF($K93=0,0,$K346*E93/$K93)</f>
        <v>1375.305558</v>
      </c>
      <c r="F346" s="30">
        <f t="array" ref="F346">IF($J93=0,0,$J346*F93/$J93)</f>
        <v>42.46121981</v>
      </c>
      <c r="G346" s="30">
        <f t="array" ref="G346">IF($K93=0,0,$K346*G93/$K93)</f>
        <v>74.69444178</v>
      </c>
      <c r="H346" s="29">
        <f t="array" ref="H346">E346+D346</f>
        <v>2247.844338</v>
      </c>
      <c r="I346" s="29">
        <f t="array" ref="I346">G346+F346</f>
        <v>117.1556616</v>
      </c>
      <c r="J346" s="28">
        <v>915.0</v>
      </c>
      <c r="K346" s="28">
        <v>1450.0</v>
      </c>
      <c r="L346" s="1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21" t="s">
        <v>455</v>
      </c>
      <c r="B347" s="22" t="s">
        <v>199</v>
      </c>
      <c r="C347" s="30">
        <f t="array" ref="C347">D347+E347+F347+G347</f>
        <v>2488</v>
      </c>
      <c r="D347" s="30">
        <f t="array" ref="D347">IF($J94=0,0,$J347*D94/$J94)</f>
        <v>967.2267382</v>
      </c>
      <c r="E347" s="30">
        <f t="array" ref="E347">IF($K94=0,0,$K347*E94/$K94)</f>
        <v>1396.871147</v>
      </c>
      <c r="F347" s="30">
        <f t="array" ref="F347">IF($J94=0,0,$J347*F94/$J94)</f>
        <v>46.77326177</v>
      </c>
      <c r="G347" s="30">
        <f t="array" ref="G347">IF($K94=0,0,$K347*G94/$K94)</f>
        <v>77.12885296</v>
      </c>
      <c r="H347" s="29">
        <f t="array" ref="H347">E347+D347</f>
        <v>2364.097885</v>
      </c>
      <c r="I347" s="29">
        <f t="array" ref="I347">G347+F347</f>
        <v>123.9021147</v>
      </c>
      <c r="J347" s="28">
        <v>1014.0</v>
      </c>
      <c r="K347" s="28">
        <v>1474.0</v>
      </c>
      <c r="L347" s="1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21" t="s">
        <v>456</v>
      </c>
      <c r="B348" s="22" t="s">
        <v>201</v>
      </c>
      <c r="C348" s="30">
        <f t="array" ref="C348">D348+E348+F348+G348</f>
        <v>2567</v>
      </c>
      <c r="D348" s="30">
        <f t="array" ref="D348">IF($J95=0,0,$J348*D95/$J95)</f>
        <v>1068.87556</v>
      </c>
      <c r="E348" s="30">
        <f t="array" ref="E348">IF($K95=0,0,$K348*E95/$K95)</f>
        <v>1365.55142</v>
      </c>
      <c r="F348" s="30">
        <f t="array" ref="F348">IF($J95=0,0,$J348*F95/$J95)</f>
        <v>54.12443991</v>
      </c>
      <c r="G348" s="30">
        <f t="array" ref="G348">IF($K95=0,0,$K348*G95/$K95)</f>
        <v>78.44858005</v>
      </c>
      <c r="H348" s="29">
        <f t="array" ref="H348">E348+D348</f>
        <v>2434.42698</v>
      </c>
      <c r="I348" s="29">
        <f t="array" ref="I348">G348+F348</f>
        <v>132.57302</v>
      </c>
      <c r="J348" s="28">
        <v>1123.0</v>
      </c>
      <c r="K348" s="28">
        <v>1444.0</v>
      </c>
      <c r="L348" s="1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21" t="s">
        <v>457</v>
      </c>
      <c r="B349" s="22" t="s">
        <v>203</v>
      </c>
      <c r="C349" s="30">
        <f t="array" ref="C349">D349+E349+F349+G349</f>
        <v>2952</v>
      </c>
      <c r="D349" s="30">
        <f t="array" ref="D349">IF($J96=0,0,$J349*D96/$J96)</f>
        <v>1246.899218</v>
      </c>
      <c r="E349" s="30">
        <f t="array" ref="E349">IF($K96=0,0,$K349*E96/$K96)</f>
        <v>1546.510284</v>
      </c>
      <c r="F349" s="30">
        <f t="array" ref="F349">IF($J96=0,0,$J349*F96/$J96)</f>
        <v>65.10078157</v>
      </c>
      <c r="G349" s="30">
        <f t="array" ref="G349">IF($K96=0,0,$K349*G96/$K96)</f>
        <v>93.48971616</v>
      </c>
      <c r="H349" s="29">
        <f t="array" ref="H349">E349+D349</f>
        <v>2793.409502</v>
      </c>
      <c r="I349" s="29">
        <f t="array" ref="I349">G349+F349</f>
        <v>158.5904977</v>
      </c>
      <c r="J349" s="28">
        <v>1312.0</v>
      </c>
      <c r="K349" s="28">
        <v>1640.0</v>
      </c>
      <c r="L349" s="1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21" t="s">
        <v>458</v>
      </c>
      <c r="B350" s="22" t="s">
        <v>205</v>
      </c>
      <c r="C350" s="30">
        <f t="array" ref="C350">D350+E350+F350+G350</f>
        <v>3187</v>
      </c>
      <c r="D350" s="30">
        <f t="array" ref="D350">IF($J97=0,0,$J350*D97/$J97)</f>
        <v>1362.044549</v>
      </c>
      <c r="E350" s="30">
        <f t="array" ref="E350">IF($K97=0,0,$K350*E97/$K97)</f>
        <v>1654.626207</v>
      </c>
      <c r="F350" s="30">
        <f t="array" ref="F350">IF($J97=0,0,$J350*F97/$J97)</f>
        <v>69.95545142</v>
      </c>
      <c r="G350" s="30">
        <f t="array" ref="G350">IF($K97=0,0,$K350*G97/$K97)</f>
        <v>100.3737935</v>
      </c>
      <c r="H350" s="29">
        <f t="array" ref="H350">E350+D350</f>
        <v>3016.670755</v>
      </c>
      <c r="I350" s="29">
        <f t="array" ref="I350">G350+F350</f>
        <v>170.3292449</v>
      </c>
      <c r="J350" s="28">
        <v>1432.0</v>
      </c>
      <c r="K350" s="28">
        <v>1755.0</v>
      </c>
      <c r="L350" s="1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21" t="s">
        <v>459</v>
      </c>
      <c r="B351" s="22" t="s">
        <v>207</v>
      </c>
      <c r="C351" s="30">
        <f t="array" ref="C351">D351+E351+F351+G351</f>
        <v>3203</v>
      </c>
      <c r="D351" s="30">
        <f t="array" ref="D351">IF($J98=0,0,$J351*D98/$J98)</f>
        <v>1456.554835</v>
      </c>
      <c r="E351" s="30">
        <f t="array" ref="E351">IF($K98=0,0,$K351*E98/$K98)</f>
        <v>1575.274196</v>
      </c>
      <c r="F351" s="30">
        <f t="array" ref="F351">IF($J98=0,0,$J351*F98/$J98)</f>
        <v>76.44516543</v>
      </c>
      <c r="G351" s="30">
        <f t="array" ref="G351">IF($K98=0,0,$K351*G98/$K98)</f>
        <v>94.72580418</v>
      </c>
      <c r="H351" s="29">
        <f t="array" ref="H351">E351+D351</f>
        <v>3031.82903</v>
      </c>
      <c r="I351" s="29">
        <f t="array" ref="I351">G351+F351</f>
        <v>171.1709696</v>
      </c>
      <c r="J351" s="28">
        <v>1533.0</v>
      </c>
      <c r="K351" s="28">
        <v>1670.0</v>
      </c>
      <c r="L351" s="1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21" t="s">
        <v>460</v>
      </c>
      <c r="B352" s="22" t="s">
        <v>209</v>
      </c>
      <c r="C352" s="30">
        <f t="array" ref="C352">D352+E352+F352+G352</f>
        <v>3425</v>
      </c>
      <c r="D352" s="30">
        <f t="array" ref="D352">IF($J99=0,0,$J352*D99/$J99)</f>
        <v>1527.658126</v>
      </c>
      <c r="E352" s="30">
        <f t="array" ref="E352">IF($K99=0,0,$K352*E99/$K99)</f>
        <v>1709.043918</v>
      </c>
      <c r="F352" s="30">
        <f t="array" ref="F352">IF($J99=0,0,$J352*F99/$J99)</f>
        <v>82.34187374</v>
      </c>
      <c r="G352" s="30">
        <f t="array" ref="G352">IF($K99=0,0,$K352*G99/$K99)</f>
        <v>105.9560816</v>
      </c>
      <c r="H352" s="29">
        <f t="array" ref="H352">E352+D352</f>
        <v>3236.702045</v>
      </c>
      <c r="I352" s="29">
        <f t="array" ref="I352">G352+F352</f>
        <v>188.2979553</v>
      </c>
      <c r="J352" s="28">
        <v>1610.0</v>
      </c>
      <c r="K352" s="28">
        <v>1815.0</v>
      </c>
      <c r="L352" s="1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21" t="s">
        <v>461</v>
      </c>
      <c r="B353" s="22" t="s">
        <v>211</v>
      </c>
      <c r="C353" s="30">
        <f t="array" ref="C353">D353+E353+F353+G353</f>
        <v>0</v>
      </c>
      <c r="D353" s="30">
        <f t="array" ref="D353">IF($J100=0,0,$J353*D100/$J100)</f>
        <v>0</v>
      </c>
      <c r="E353" s="30">
        <f t="array" ref="E353">IF($K100=0,0,$K353*E100/$K100)</f>
        <v>0</v>
      </c>
      <c r="F353" s="30">
        <f t="array" ref="F353">IF($J100=0,0,$J353*F100/$J100)</f>
        <v>0</v>
      </c>
      <c r="G353" s="30">
        <f t="array" ref="G353">IF($K100=0,0,$K353*G100/$K100)</f>
        <v>0</v>
      </c>
      <c r="H353" s="29">
        <f t="array" ref="H353">E353+D353</f>
        <v>0</v>
      </c>
      <c r="I353" s="29">
        <f t="array" ref="I353">G353+F353</f>
        <v>0</v>
      </c>
      <c r="J353" s="28">
        <v>1663.0</v>
      </c>
      <c r="K353" s="28">
        <v>1717.0</v>
      </c>
      <c r="L353" s="1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21" t="s">
        <v>462</v>
      </c>
      <c r="B354" s="22" t="s">
        <v>213</v>
      </c>
      <c r="C354" s="30">
        <f t="array" ref="C354">D354+E354+F354+G354</f>
        <v>3709</v>
      </c>
      <c r="D354" s="30">
        <f t="array" ref="D354">IF($J101=0,0,$J354*D101/$J101)</f>
        <v>1846.007806</v>
      </c>
      <c r="E354" s="30">
        <f t="array" ref="E354">IF($K101=0,0,$K354*E101/$K101)</f>
        <v>1764.205905</v>
      </c>
      <c r="F354" s="30">
        <f t="array" ref="F354">IF($J101=0,0,$J354*F101/$J101)</f>
        <v>44.99219397</v>
      </c>
      <c r="G354" s="30">
        <f t="array" ref="G354">IF($K101=0,0,$K354*G101/$K101)</f>
        <v>53.79409505</v>
      </c>
      <c r="H354" s="29">
        <f t="array" ref="H354">E354+D354</f>
        <v>3610.213711</v>
      </c>
      <c r="I354" s="29">
        <f t="array" ref="I354">G354+F354</f>
        <v>98.78628902</v>
      </c>
      <c r="J354" s="28">
        <v>1891.0</v>
      </c>
      <c r="K354" s="28">
        <v>1818.0</v>
      </c>
      <c r="L354" s="1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21" t="s">
        <v>463</v>
      </c>
      <c r="B355" s="22" t="s">
        <v>215</v>
      </c>
      <c r="C355" s="30">
        <f t="array" ref="C355">D355+E355+F355+G355</f>
        <v>4236</v>
      </c>
      <c r="D355" s="30">
        <f t="array" ref="D355">IF($J102=0,0,$J355*D102/$J102)</f>
        <v>2102.769759</v>
      </c>
      <c r="E355" s="30">
        <f t="array" ref="E355">IF($K102=0,0,$K355*E102/$K102)</f>
        <v>2020.064525</v>
      </c>
      <c r="F355" s="30">
        <f t="array" ref="F355">IF($J102=0,0,$J355*F102/$J102)</f>
        <v>50.23024053</v>
      </c>
      <c r="G355" s="30">
        <f t="array" ref="G355">IF($K102=0,0,$K355*G102/$K102)</f>
        <v>62.93547456</v>
      </c>
      <c r="H355" s="29">
        <f t="array" ref="H355">E355+D355</f>
        <v>4122.834285</v>
      </c>
      <c r="I355" s="29">
        <f t="array" ref="I355">G355+F355</f>
        <v>113.1657151</v>
      </c>
      <c r="J355" s="28">
        <v>2153.0</v>
      </c>
      <c r="K355" s="28">
        <v>2083.0</v>
      </c>
      <c r="L355" s="1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21" t="s">
        <v>464</v>
      </c>
      <c r="B356" s="22" t="s">
        <v>217</v>
      </c>
      <c r="C356" s="30">
        <f t="array" ref="C356">D356+E356+F356+G356</f>
        <v>4726</v>
      </c>
      <c r="D356" s="30">
        <f t="array" ref="D356">IF($J103=0,0,$J356*D103/$J103)</f>
        <v>2433.341346</v>
      </c>
      <c r="E356" s="30">
        <f t="array" ref="E356">IF($K103=0,0,$K356*E103/$K103)</f>
        <v>2150.740838</v>
      </c>
      <c r="F356" s="30">
        <f t="array" ref="F356">IF($J103=0,0,$J356*F103/$J103)</f>
        <v>65.65865396</v>
      </c>
      <c r="G356" s="30">
        <f t="array" ref="G356">IF($K103=0,0,$K356*G103/$K103)</f>
        <v>76.25916228</v>
      </c>
      <c r="H356" s="29">
        <f t="array" ref="H356">E356+D356</f>
        <v>4584.082184</v>
      </c>
      <c r="I356" s="29">
        <f t="array" ref="I356">G356+F356</f>
        <v>141.9178162</v>
      </c>
      <c r="J356" s="28">
        <v>2499.0</v>
      </c>
      <c r="K356" s="28">
        <v>2227.0</v>
      </c>
      <c r="L356" s="1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21" t="s">
        <v>465</v>
      </c>
      <c r="B357" s="22" t="s">
        <v>219</v>
      </c>
      <c r="C357" s="30">
        <f t="array" ref="C357">D357+E357+F357+G357</f>
        <v>4667</v>
      </c>
      <c r="D357" s="30">
        <f t="array" ref="D357">IF($J104=0,0,$J357*D104/$J104)</f>
        <v>2441.321848</v>
      </c>
      <c r="E357" s="30">
        <f t="array" ref="E357">IF($K104=0,0,$K357*E104/$K104)</f>
        <v>2080.061736</v>
      </c>
      <c r="F357" s="30">
        <f t="array" ref="F357">IF($J104=0,0,$J357*F104/$J104)</f>
        <v>67.67815222</v>
      </c>
      <c r="G357" s="30">
        <f t="array" ref="G357">IF($K104=0,0,$K357*G104/$K104)</f>
        <v>77.93826418</v>
      </c>
      <c r="H357" s="29">
        <f t="array" ref="H357">E357+D357</f>
        <v>4521.383584</v>
      </c>
      <c r="I357" s="29">
        <f t="array" ref="I357">G357+F357</f>
        <v>145.6164164</v>
      </c>
      <c r="J357" s="28">
        <v>2509.0</v>
      </c>
      <c r="K357" s="28">
        <v>2158.0</v>
      </c>
      <c r="L357" s="1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21" t="s">
        <v>466</v>
      </c>
      <c r="B358" s="22" t="s">
        <v>221</v>
      </c>
      <c r="C358" s="30">
        <f t="array" ref="C358">D358+E358+F358+G358</f>
        <v>4828</v>
      </c>
      <c r="D358" s="30">
        <f t="array" ref="D358">IF($J105=0,0,$J358*D105/$J105)</f>
        <v>2631.745433</v>
      </c>
      <c r="E358" s="30">
        <f t="array" ref="E358">IF($K105=0,0,$K358*E105/$K105)</f>
        <v>2045.4952</v>
      </c>
      <c r="F358" s="30">
        <f t="array" ref="F358">IF($J105=0,0,$J358*F105/$J105)</f>
        <v>72.25456732</v>
      </c>
      <c r="G358" s="30">
        <f t="array" ref="G358">IF($K105=0,0,$K358*G105/$K105)</f>
        <v>78.50480032</v>
      </c>
      <c r="H358" s="29">
        <f t="array" ref="H358">E358+D358</f>
        <v>4677.240632</v>
      </c>
      <c r="I358" s="29">
        <f t="array" ref="I358">G358+F358</f>
        <v>150.7593676</v>
      </c>
      <c r="J358" s="28">
        <v>2704.0</v>
      </c>
      <c r="K358" s="28">
        <v>2124.0</v>
      </c>
      <c r="L358" s="1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21" t="s">
        <v>467</v>
      </c>
      <c r="B359" s="22" t="s">
        <v>223</v>
      </c>
      <c r="C359" s="30">
        <f t="array" ref="C359">D359+E359+F359+G359</f>
        <v>5033</v>
      </c>
      <c r="D359" s="30">
        <f t="array" ref="D359">IF($J106=0,0,$J359*D106/$J106)</f>
        <v>2771.460655</v>
      </c>
      <c r="E359" s="30">
        <f t="array" ref="E359">IF($K106=0,0,$K359*E106/$K106)</f>
        <v>2086.739549</v>
      </c>
      <c r="F359" s="30">
        <f t="array" ref="F359">IF($J106=0,0,$J359*F106/$J106)</f>
        <v>84.53934539</v>
      </c>
      <c r="G359" s="30">
        <f t="array" ref="G359">IF($K106=0,0,$K359*G106/$K106)</f>
        <v>90.26045092</v>
      </c>
      <c r="H359" s="29">
        <f t="array" ref="H359">E359+D359</f>
        <v>4858.200204</v>
      </c>
      <c r="I359" s="29">
        <f t="array" ref="I359">G359+F359</f>
        <v>174.7997963</v>
      </c>
      <c r="J359" s="28">
        <v>2856.0</v>
      </c>
      <c r="K359" s="28">
        <v>2177.0</v>
      </c>
      <c r="L359" s="1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21" t="s">
        <v>468</v>
      </c>
      <c r="B360" s="22" t="s">
        <v>225</v>
      </c>
      <c r="C360" s="30">
        <f t="array" ref="C360">D360+E360+F360+G360</f>
        <v>4889</v>
      </c>
      <c r="D360" s="30">
        <f t="array" ref="D360">IF($J107=0,0,$J360*D107/$J107)</f>
        <v>2792.874998</v>
      </c>
      <c r="E360" s="30">
        <f t="array" ref="E360">IF($K107=0,0,$K360*E107/$K107)</f>
        <v>1910.752738</v>
      </c>
      <c r="F360" s="30">
        <f t="array" ref="F360">IF($J107=0,0,$J360*F107/$J107)</f>
        <v>93.1250016</v>
      </c>
      <c r="G360" s="30">
        <f t="array" ref="G360">IF($K107=0,0,$K360*G107/$K107)</f>
        <v>92.24726213</v>
      </c>
      <c r="H360" s="29">
        <f t="array" ref="H360">E360+D360</f>
        <v>4703.627736</v>
      </c>
      <c r="I360" s="29">
        <f t="array" ref="I360">G360+F360</f>
        <v>185.3722637</v>
      </c>
      <c r="J360" s="28">
        <v>2886.0</v>
      </c>
      <c r="K360" s="28">
        <v>2003.0</v>
      </c>
      <c r="L360" s="1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21" t="s">
        <v>469</v>
      </c>
      <c r="B361" s="22" t="s">
        <v>227</v>
      </c>
      <c r="C361" s="30">
        <f t="array" ref="C361">D361+E361+F361+G361</f>
        <v>4707</v>
      </c>
      <c r="D361" s="30">
        <f t="array" ref="D361">IF($J108=0,0,$J361*D108/$J108)</f>
        <v>2741.094744</v>
      </c>
      <c r="E361" s="30">
        <f t="array" ref="E361">IF($K108=0,0,$K361*E108/$K108)</f>
        <v>1768.237971</v>
      </c>
      <c r="F361" s="30">
        <f t="array" ref="F361">IF($J108=0,0,$J361*F108/$J108)</f>
        <v>100.9052557</v>
      </c>
      <c r="G361" s="30">
        <f t="array" ref="G361">IF($K108=0,0,$K361*G108/$K108)</f>
        <v>96.76202922</v>
      </c>
      <c r="H361" s="29">
        <f t="array" ref="H361">E361+D361</f>
        <v>4509.332715</v>
      </c>
      <c r="I361" s="29">
        <f t="array" ref="I361">G361+F361</f>
        <v>197.667285</v>
      </c>
      <c r="J361" s="28">
        <v>2842.0</v>
      </c>
      <c r="K361" s="28">
        <v>1865.0</v>
      </c>
      <c r="L361" s="1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21" t="s">
        <v>470</v>
      </c>
      <c r="B362" s="22" t="s">
        <v>229</v>
      </c>
      <c r="C362" s="30">
        <f t="array" ref="C362">D362+E362+F362+G362</f>
        <v>4559</v>
      </c>
      <c r="D362" s="30">
        <f t="array" ref="D362">IF($J109=0,0,$J362*D109/$J109)</f>
        <v>2717.228814</v>
      </c>
      <c r="E362" s="30">
        <f t="array" ref="E362">IF($K109=0,0,$K362*E109/$K109)</f>
        <v>1639.112892</v>
      </c>
      <c r="F362" s="30">
        <f t="array" ref="F362">IF($J109=0,0,$J362*F109/$J109)</f>
        <v>107.7711862</v>
      </c>
      <c r="G362" s="30">
        <f t="array" ref="G362">IF($K109=0,0,$K362*G109/$K109)</f>
        <v>94.88710772</v>
      </c>
      <c r="H362" s="29">
        <f t="array" ref="H362">E362+D362</f>
        <v>4356.341706</v>
      </c>
      <c r="I362" s="29">
        <f t="array" ref="I362">G362+F362</f>
        <v>202.6582939</v>
      </c>
      <c r="J362" s="28">
        <v>2825.0</v>
      </c>
      <c r="K362" s="28">
        <v>1734.0</v>
      </c>
      <c r="L362" s="1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21" t="s">
        <v>471</v>
      </c>
      <c r="B363" s="22" t="s">
        <v>231</v>
      </c>
      <c r="C363" s="30">
        <f t="array" ref="C363">D363+E363+F363+G363</f>
        <v>4171</v>
      </c>
      <c r="D363" s="30">
        <f t="array" ref="D363">IF($J110=0,0,$J363*D110/$J110)</f>
        <v>2588.663603</v>
      </c>
      <c r="E363" s="30">
        <f t="array" ref="E363">IF($K110=0,0,$K363*E110/$K110)</f>
        <v>1388.988715</v>
      </c>
      <c r="F363" s="30">
        <f t="array" ref="F363">IF($J110=0,0,$J363*F110/$J110)</f>
        <v>106.3363969</v>
      </c>
      <c r="G363" s="30">
        <f t="array" ref="G363">IF($K110=0,0,$K363*G110/$K110)</f>
        <v>87.01128455</v>
      </c>
      <c r="H363" s="29">
        <f t="array" ref="H363">E363+D363</f>
        <v>3977.652319</v>
      </c>
      <c r="I363" s="29">
        <f t="array" ref="I363">G363+F363</f>
        <v>193.3476814</v>
      </c>
      <c r="J363" s="28">
        <v>2695.0</v>
      </c>
      <c r="K363" s="28">
        <v>1476.0</v>
      </c>
      <c r="L363" s="1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21" t="s">
        <v>472</v>
      </c>
      <c r="B364" s="22" t="s">
        <v>233</v>
      </c>
      <c r="C364" s="30">
        <f t="array" ref="C364">D364+E364+F364+G364</f>
        <v>0</v>
      </c>
      <c r="D364" s="30">
        <f t="array" ref="D364">IF($J111=0,0,$J364*D111/$J111)</f>
        <v>0</v>
      </c>
      <c r="E364" s="30">
        <f t="array" ref="E364">IF($K111=0,0,$K364*E111/$K111)</f>
        <v>0</v>
      </c>
      <c r="F364" s="30">
        <f t="array" ref="F364">IF($J111=0,0,$J364*F111/$J111)</f>
        <v>0</v>
      </c>
      <c r="G364" s="30">
        <f t="array" ref="G364">IF($K111=0,0,$K364*G111/$K111)</f>
        <v>0</v>
      </c>
      <c r="H364" s="29">
        <f t="array" ref="H364">E364+D364</f>
        <v>0</v>
      </c>
      <c r="I364" s="29">
        <f t="array" ref="I364">G364+F364</f>
        <v>0</v>
      </c>
      <c r="J364" s="28">
        <v>2270.0</v>
      </c>
      <c r="K364" s="28">
        <v>1199.0</v>
      </c>
      <c r="L364" s="1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21" t="s">
        <v>473</v>
      </c>
      <c r="B365" s="22" t="s">
        <v>235</v>
      </c>
      <c r="C365" s="30">
        <f t="array" ref="C365">D365+E365+F365+G365</f>
        <v>3102</v>
      </c>
      <c r="D365" s="30">
        <f t="array" ref="D365">IF($J112=0,0,$J365*D112/$J112)</f>
        <v>2135</v>
      </c>
      <c r="E365" s="30">
        <f t="array" ref="E365">IF($K112=0,0,$K365*E112/$K112)</f>
        <v>967</v>
      </c>
      <c r="F365" s="30">
        <f t="array" ref="F365">IF($J112=0,0,$J365*F112/$J112)</f>
        <v>0</v>
      </c>
      <c r="G365" s="30">
        <f t="array" ref="G365">IF($K112=0,0,$K365*G112/$K112)</f>
        <v>0</v>
      </c>
      <c r="H365" s="29">
        <f t="array" ref="H365">E365+D365</f>
        <v>3102</v>
      </c>
      <c r="I365" s="29">
        <f t="array" ref="I365">G365+F365</f>
        <v>0</v>
      </c>
      <c r="J365" s="28">
        <v>2135.0</v>
      </c>
      <c r="K365" s="28">
        <v>967.0</v>
      </c>
      <c r="L365" s="1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21" t="s">
        <v>474</v>
      </c>
      <c r="B366" s="22" t="s">
        <v>237</v>
      </c>
      <c r="C366" s="30">
        <f t="array" ref="C366">D366+E366+F366+G366</f>
        <v>2555</v>
      </c>
      <c r="D366" s="30">
        <f t="array" ref="D366">IF($J113=0,0,$J366*D113/$J113)</f>
        <v>1786</v>
      </c>
      <c r="E366" s="30">
        <f t="array" ref="E366">IF($K113=0,0,$K366*E113/$K113)</f>
        <v>769</v>
      </c>
      <c r="F366" s="30">
        <f t="array" ref="F366">IF($J113=0,0,$J366*F113/$J113)</f>
        <v>0</v>
      </c>
      <c r="G366" s="30">
        <f t="array" ref="G366">IF($K113=0,0,$K366*G113/$K113)</f>
        <v>0</v>
      </c>
      <c r="H366" s="29">
        <f t="array" ref="H366">E366+D366</f>
        <v>2555</v>
      </c>
      <c r="I366" s="29">
        <f t="array" ref="I366">G366+F366</f>
        <v>0</v>
      </c>
      <c r="J366" s="28">
        <v>1786.0</v>
      </c>
      <c r="K366" s="28">
        <v>769.0</v>
      </c>
      <c r="L366" s="1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21" t="s">
        <v>475</v>
      </c>
      <c r="B367" s="22" t="s">
        <v>239</v>
      </c>
      <c r="C367" s="30">
        <f t="array" ref="C367">D367+E367+F367+G367</f>
        <v>2029</v>
      </c>
      <c r="D367" s="30">
        <f t="array" ref="D367">IF($J114=0,0,$J367*D114/$J114)</f>
        <v>1435</v>
      </c>
      <c r="E367" s="30">
        <f t="array" ref="E367">IF($K114=0,0,$K367*E114/$K114)</f>
        <v>594</v>
      </c>
      <c r="F367" s="30">
        <f t="array" ref="F367">IF($J114=0,0,$J367*F114/$J114)</f>
        <v>0</v>
      </c>
      <c r="G367" s="30">
        <f t="array" ref="G367">IF($K114=0,0,$K367*G114/$K114)</f>
        <v>0</v>
      </c>
      <c r="H367" s="29">
        <f t="array" ref="H367">E367+D367</f>
        <v>2029</v>
      </c>
      <c r="I367" s="29">
        <f t="array" ref="I367">G367+F367</f>
        <v>0</v>
      </c>
      <c r="J367" s="28">
        <v>1435.0</v>
      </c>
      <c r="K367" s="28">
        <v>594.0</v>
      </c>
      <c r="L367" s="1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21" t="s">
        <v>476</v>
      </c>
      <c r="B368" s="22" t="s">
        <v>241</v>
      </c>
      <c r="C368" s="30">
        <f t="array" ref="C368">D368+E368+F368+G368</f>
        <v>1613</v>
      </c>
      <c r="D368" s="30">
        <f t="array" ref="D368">IF($J115=0,0,$J368*D115/$J115)</f>
        <v>1198</v>
      </c>
      <c r="E368" s="30">
        <f t="array" ref="E368">IF($K115=0,0,$K368*E115/$K115)</f>
        <v>415</v>
      </c>
      <c r="F368" s="30">
        <f t="array" ref="F368">IF($J115=0,0,$J368*F115/$J115)</f>
        <v>0</v>
      </c>
      <c r="G368" s="30">
        <f t="array" ref="G368">IF($K115=0,0,$K368*G115/$K115)</f>
        <v>0</v>
      </c>
      <c r="H368" s="29">
        <f t="array" ref="H368">E368+D368</f>
        <v>1613</v>
      </c>
      <c r="I368" s="29">
        <f t="array" ref="I368">G368+F368</f>
        <v>0</v>
      </c>
      <c r="J368" s="28">
        <v>1198.0</v>
      </c>
      <c r="K368" s="28">
        <v>415.0</v>
      </c>
      <c r="L368" s="1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21" t="s">
        <v>477</v>
      </c>
      <c r="B369" s="22" t="s">
        <v>243</v>
      </c>
      <c r="C369" s="30">
        <f t="array" ref="C369">D369+E369+F369+G369</f>
        <v>1175</v>
      </c>
      <c r="D369" s="30">
        <f t="array" ref="D369">IF($J116=0,0,$J369*D116/$J116)</f>
        <v>900</v>
      </c>
      <c r="E369" s="30">
        <f t="array" ref="E369">IF($K116=0,0,$K369*E116/$K116)</f>
        <v>275</v>
      </c>
      <c r="F369" s="30">
        <f t="array" ref="F369">IF($J116=0,0,$J369*F116/$J116)</f>
        <v>0</v>
      </c>
      <c r="G369" s="30">
        <f t="array" ref="G369">IF($K116=0,0,$K369*G116/$K116)</f>
        <v>0</v>
      </c>
      <c r="H369" s="29">
        <f t="array" ref="H369">E369+D369</f>
        <v>1175</v>
      </c>
      <c r="I369" s="29">
        <f t="array" ref="I369">G369+F369</f>
        <v>0</v>
      </c>
      <c r="J369" s="28">
        <v>900.0</v>
      </c>
      <c r="K369" s="28">
        <v>275.0</v>
      </c>
      <c r="L369" s="1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21" t="s">
        <v>478</v>
      </c>
      <c r="B370" s="22" t="s">
        <v>245</v>
      </c>
      <c r="C370" s="30">
        <f t="array" ref="C370">D370+E370+F370+G370</f>
        <v>2434</v>
      </c>
      <c r="D370" s="30">
        <f t="array" ref="D370">IF($J117=0,0,$J370*D117/$J117)</f>
        <v>1928</v>
      </c>
      <c r="E370" s="30">
        <f t="array" ref="E370">IF($K117=0,0,$K370*E117/$K117)</f>
        <v>506</v>
      </c>
      <c r="F370" s="30">
        <f t="array" ref="F370">IF($J117=0,0,$J370*F117/$J117)</f>
        <v>0</v>
      </c>
      <c r="G370" s="30">
        <f t="array" ref="G370">IF($K117=0,0,$K370*G117/$K117)</f>
        <v>0</v>
      </c>
      <c r="H370" s="29">
        <f t="array" ref="H370">E370+D370</f>
        <v>2434</v>
      </c>
      <c r="I370" s="29">
        <f t="array" ref="I370">G370+F370</f>
        <v>0</v>
      </c>
      <c r="J370" s="28">
        <v>1928.0</v>
      </c>
      <c r="K370" s="28">
        <v>506.0</v>
      </c>
      <c r="L370" s="1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21" t="s">
        <v>479</v>
      </c>
      <c r="B371" s="22" t="s">
        <v>247</v>
      </c>
      <c r="C371" s="30">
        <f t="array" ref="C371">SUM(C271:C370)</f>
        <v>107899</v>
      </c>
      <c r="D371" s="30">
        <f t="array" ref="D371">SUM(D271:D370)</f>
        <v>51943.01301</v>
      </c>
      <c r="E371" s="30">
        <f t="array" ref="E371">SUM(E271:E370)</f>
        <v>50324.14916</v>
      </c>
      <c r="F371" s="30">
        <f t="array" ref="F371">SUM(F271:F370)</f>
        <v>2116.986989</v>
      </c>
      <c r="G371" s="30">
        <f t="array" ref="G371">SUM(G271:G370)</f>
        <v>3514.850841</v>
      </c>
      <c r="H371" s="29">
        <f t="array" ref="H371">SUM(H271:H370)</f>
        <v>102267.1622</v>
      </c>
      <c r="I371" s="29">
        <f t="array" ref="I371">SUM(I271:I370)</f>
        <v>5631.837831</v>
      </c>
      <c r="J371" s="29">
        <f t="array" ref="J371">SUM(J271:J370)</f>
        <v>59240</v>
      </c>
      <c r="K371" s="29">
        <f t="array" ref="K371">SUM(K271:K370)</f>
        <v>59134</v>
      </c>
      <c r="L371" s="1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11"/>
      <c r="B372" s="12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67.5" customHeight="1">
      <c r="A373" s="21" t="s">
        <v>480</v>
      </c>
      <c r="B373" s="22" t="s">
        <v>39</v>
      </c>
      <c r="C373" s="26" t="str">
        <f t="array" ref="C373">IF(C374="","?",C374)&amp;IF(C375="","","; downloaded "&amp;C375)&amp;IF(C376="","","; "&amp;C376)</f>
        <v>https://ec.europa.eu/eurostat/databrowser/view/demo_magec__custom_21041710/default/table; downloaded 46129; The deaths were only available for female/male so we distributed the numbers according to their share in the population</v>
      </c>
      <c r="D373" s="25"/>
      <c r="E373" s="25"/>
      <c r="F373" s="25"/>
      <c r="G373" s="25"/>
      <c r="H373" s="25"/>
      <c r="I373" s="25"/>
      <c r="J373" s="25"/>
      <c r="K373" s="25"/>
      <c r="L373" s="25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1.5" customHeight="1">
      <c r="A374" s="11"/>
      <c r="B374" s="22" t="s">
        <v>40</v>
      </c>
      <c r="C374" s="23" t="s">
        <v>481</v>
      </c>
      <c r="D374" s="25"/>
      <c r="E374" s="25"/>
      <c r="F374" s="25"/>
      <c r="G374" s="25"/>
      <c r="H374" s="25"/>
      <c r="I374" s="25"/>
      <c r="J374" s="25"/>
      <c r="K374" s="25"/>
      <c r="L374" s="25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11"/>
      <c r="B375" s="22" t="s">
        <v>42</v>
      </c>
      <c r="C375" s="27">
        <v>46129.0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3.5" customHeight="1">
      <c r="A376" s="11"/>
      <c r="B376" s="22" t="s">
        <v>43</v>
      </c>
      <c r="C376" s="23" t="s">
        <v>482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11"/>
      <c r="B377" s="12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11"/>
      <c r="B378" s="22" t="s">
        <v>483</v>
      </c>
      <c r="C378" s="32">
        <f t="array" ref="C378">C371/C$127</f>
        <v>0.01003745709</v>
      </c>
      <c r="D378" s="32">
        <f t="array" ref="D378">D371/D$127</f>
        <v>0.01053281154</v>
      </c>
      <c r="E378" s="32">
        <f t="array" ref="E378">E371/E$127</f>
        <v>0.01177340799</v>
      </c>
      <c r="F378" s="32">
        <f t="array" ref="F378">F371/F$127</f>
        <v>0.001589053992</v>
      </c>
      <c r="G378" s="32">
        <f t="array" ref="G378">G371/G$127</f>
        <v>0.002058668293</v>
      </c>
      <c r="H378" s="32">
        <f t="array" ref="H378">H371/H$127</f>
        <v>0.01110883069</v>
      </c>
      <c r="I378" s="32">
        <f t="array" ref="I378">I371/I$127</f>
        <v>0.00364826986</v>
      </c>
      <c r="J378" s="32">
        <f t="array" ref="J378">J371/J$127</f>
        <v>0.009457557057</v>
      </c>
      <c r="K378" s="32">
        <f t="array" ref="K378">K371/K$127</f>
        <v>0.009885763875</v>
      </c>
      <c r="L378" s="1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11"/>
      <c r="B379" s="12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6.25" customHeight="1">
      <c r="A380" s="17"/>
      <c r="B380" s="18" t="s">
        <v>484</v>
      </c>
      <c r="C380" s="24" t="s">
        <v>485</v>
      </c>
      <c r="D380" s="20"/>
      <c r="E380" s="20"/>
      <c r="F380" s="20"/>
      <c r="G380" s="20"/>
      <c r="H380" s="20"/>
      <c r="I380" s="20"/>
      <c r="J380" s="20"/>
      <c r="K380" s="20"/>
      <c r="L380" s="20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11"/>
      <c r="B381" s="12" t="str">
        <f t="array" ref="B381">"Total migration in "&amp;L381</f>
        <v>Total migration in 2015</v>
      </c>
      <c r="C381" s="30">
        <f t="array" ref="C381">D381+E381+F381+G381</f>
        <v>36849</v>
      </c>
      <c r="D381" s="41">
        <v>6220.0</v>
      </c>
      <c r="E381" s="41">
        <v>13892.0</v>
      </c>
      <c r="F381" s="42">
        <f t="array" ref="F381">J381-D381</f>
        <v>8536</v>
      </c>
      <c r="G381" s="42">
        <f t="array" ref="G381">K381-E381</f>
        <v>8201</v>
      </c>
      <c r="H381" s="43">
        <f t="array" ref="H381">E381+D381</f>
        <v>20112</v>
      </c>
      <c r="I381" s="43">
        <f t="array" ref="I381">G381+F381</f>
        <v>16737</v>
      </c>
      <c r="J381" s="41">
        <v>14756.0</v>
      </c>
      <c r="K381" s="41">
        <v>22093.0</v>
      </c>
      <c r="L381" s="13">
        <f t="array" ref="L381">L382-1</f>
        <v>2015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11"/>
      <c r="B382" s="12" t="str">
        <f t="array" ref="B382">"Total migration in "&amp;L382</f>
        <v>Total migration in 2016</v>
      </c>
      <c r="C382" s="30">
        <f t="array" ref="C382">D382+E382+F382+G382</f>
        <v>37644</v>
      </c>
      <c r="D382" s="41">
        <v>6610.0</v>
      </c>
      <c r="E382" s="41">
        <v>13776.0</v>
      </c>
      <c r="F382" s="42">
        <f t="array" ref="F382">J382-D382</f>
        <v>8217</v>
      </c>
      <c r="G382" s="42">
        <f t="array" ref="G382">K382-E382</f>
        <v>9041</v>
      </c>
      <c r="H382" s="43">
        <f t="array" ref="H382">E382+D382</f>
        <v>20386</v>
      </c>
      <c r="I382" s="43">
        <f t="array" ref="I382">G382+F382</f>
        <v>17258</v>
      </c>
      <c r="J382" s="41">
        <v>14827.0</v>
      </c>
      <c r="K382" s="41">
        <v>22817.0</v>
      </c>
      <c r="L382" s="13">
        <f t="array" ref="L382">L383-1</f>
        <v>2016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11"/>
      <c r="B383" s="12" t="str">
        <f t="array" ref="B383">"Total migration in "&amp;L383</f>
        <v>Total migration in 2017</v>
      </c>
      <c r="C383" s="30">
        <f t="array" ref="C383">D383+E383+F383+G383</f>
        <v>46649</v>
      </c>
      <c r="D383" s="41">
        <v>11188.0</v>
      </c>
      <c r="E383" s="41">
        <v>15700.0</v>
      </c>
      <c r="F383" s="42">
        <f t="array" ref="F383">J383-D383</f>
        <v>7780</v>
      </c>
      <c r="G383" s="42">
        <f t="array" ref="G383">K383-E383</f>
        <v>11981</v>
      </c>
      <c r="H383" s="43">
        <f t="array" ref="H383">E383+D383</f>
        <v>26888</v>
      </c>
      <c r="I383" s="43">
        <f t="array" ref="I383">G383+F383</f>
        <v>19761</v>
      </c>
      <c r="J383" s="41">
        <v>18968.0</v>
      </c>
      <c r="K383" s="41">
        <v>27681.0</v>
      </c>
      <c r="L383" s="13">
        <f t="array" ref="L383">L384-1</f>
        <v>2017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11"/>
      <c r="B384" s="12" t="str">
        <f t="array" ref="B384">"Total migration in "&amp;L384</f>
        <v>Total migration in 2018</v>
      </c>
      <c r="C384" s="30">
        <f t="array" ref="C384">D384+E384+F384+G384</f>
        <v>55357</v>
      </c>
      <c r="D384" s="41">
        <v>11145.0</v>
      </c>
      <c r="E384" s="41">
        <v>17837.0</v>
      </c>
      <c r="F384" s="42">
        <f t="array" ref="F384">J384-D384</f>
        <v>12628</v>
      </c>
      <c r="G384" s="42">
        <f t="array" ref="G384">K384-E384</f>
        <v>13747</v>
      </c>
      <c r="H384" s="43">
        <f t="array" ref="H384">E384+D384</f>
        <v>28982</v>
      </c>
      <c r="I384" s="43">
        <f t="array" ref="I384">G384+F384</f>
        <v>26375</v>
      </c>
      <c r="J384" s="41">
        <v>23773.0</v>
      </c>
      <c r="K384" s="41">
        <v>31584.0</v>
      </c>
      <c r="L384" s="13">
        <f t="array" ref="L384">L385-1</f>
        <v>2018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11"/>
      <c r="B385" s="12" t="str">
        <f t="array" ref="B385">"Total migration in "&amp;L385</f>
        <v>Total migration in 2019</v>
      </c>
      <c r="C385" s="30">
        <f t="array" ref="C385">D385+E385+F385+G385</f>
        <v>95382</v>
      </c>
      <c r="D385" s="41">
        <v>16453.0</v>
      </c>
      <c r="E385" s="41">
        <v>27287.0</v>
      </c>
      <c r="F385" s="42">
        <f t="array" ref="F385">J385-D385</f>
        <v>23033</v>
      </c>
      <c r="G385" s="42">
        <f t="array" ref="G385">K385-E385</f>
        <v>28609</v>
      </c>
      <c r="H385" s="43">
        <f t="array" ref="H385">E385+D385</f>
        <v>43740</v>
      </c>
      <c r="I385" s="43">
        <f t="array" ref="I385">G385+F385</f>
        <v>51642</v>
      </c>
      <c r="J385" s="41">
        <v>39486.0</v>
      </c>
      <c r="K385" s="41">
        <v>55896.0</v>
      </c>
      <c r="L385" s="13">
        <f t="array" ref="L385">L386-1</f>
        <v>2019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11"/>
      <c r="B386" s="12" t="str">
        <f t="array" ref="B386">"Total migration in "&amp;L386</f>
        <v>Total migration in 2020</v>
      </c>
      <c r="C386" s="30">
        <f t="array" ref="C386">D386+E386+F386+G386</f>
        <v>83654</v>
      </c>
      <c r="D386" s="41">
        <v>14023.0</v>
      </c>
      <c r="E386" s="41">
        <v>23747.0</v>
      </c>
      <c r="F386" s="42">
        <f t="array" ref="F386">J386-D386</f>
        <v>17852</v>
      </c>
      <c r="G386" s="42">
        <f t="array" ref="G386">K386-E386</f>
        <v>28032</v>
      </c>
      <c r="H386" s="43">
        <f t="array" ref="H386">E386+D386</f>
        <v>37770</v>
      </c>
      <c r="I386" s="43">
        <f t="array" ref="I386">G386+F386</f>
        <v>45884</v>
      </c>
      <c r="J386" s="41">
        <v>31875.0</v>
      </c>
      <c r="K386" s="41">
        <v>51779.0</v>
      </c>
      <c r="L386" s="13">
        <f t="array" ref="L386">L387-1</f>
        <v>2020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11"/>
      <c r="B387" s="12" t="str">
        <f t="array" ref="B387">"Total migration in "&amp;L387</f>
        <v>Total migration in 2021</v>
      </c>
      <c r="C387" s="30">
        <f t="array" ref="C387">D387+E387+F387+G387</f>
        <v>97119</v>
      </c>
      <c r="D387" s="41">
        <v>17081.0</v>
      </c>
      <c r="E387" s="41">
        <v>31027.0</v>
      </c>
      <c r="F387" s="42">
        <f t="array" ref="F387">J387-D387</f>
        <v>18450</v>
      </c>
      <c r="G387" s="42">
        <f t="array" ref="G387">K387-E387</f>
        <v>30561</v>
      </c>
      <c r="H387" s="43">
        <f t="array" ref="H387">E387+D387</f>
        <v>48108</v>
      </c>
      <c r="I387" s="43">
        <f t="array" ref="I387">G387+F387</f>
        <v>49011</v>
      </c>
      <c r="J387" s="41">
        <v>35531.0</v>
      </c>
      <c r="K387" s="41">
        <v>61588.0</v>
      </c>
      <c r="L387" s="13">
        <f t="array" ref="L387">L388-1</f>
        <v>2021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11"/>
      <c r="B388" s="12" t="str">
        <f t="array" ref="B388">"Total migration in "&amp;L388</f>
        <v>Total migration in 2022</v>
      </c>
      <c r="C388" s="30">
        <f t="array" ref="C388">D388+E388+F388+G388</f>
        <v>167098</v>
      </c>
      <c r="D388" s="41">
        <v>20414.0</v>
      </c>
      <c r="E388" s="41">
        <v>37040.0</v>
      </c>
      <c r="F388" s="42">
        <f t="array" ref="F388">J388-D388</f>
        <v>54532</v>
      </c>
      <c r="G388" s="42">
        <f t="array" ref="G388">K388-E388</f>
        <v>55112</v>
      </c>
      <c r="H388" s="43">
        <f t="array" ref="H388">E388+D388</f>
        <v>57454</v>
      </c>
      <c r="I388" s="43">
        <f t="array" ref="I388">G388+F388</f>
        <v>109644</v>
      </c>
      <c r="J388" s="41">
        <v>74946.0</v>
      </c>
      <c r="K388" s="41">
        <v>92152.0</v>
      </c>
      <c r="L388" s="13">
        <f t="array" ref="L388">L389-1</f>
        <v>2022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11"/>
      <c r="B389" s="12" t="str">
        <f t="array" ref="B389">"Total migration in "&amp;L389</f>
        <v>Total migration in 2023</v>
      </c>
      <c r="C389" s="30">
        <f t="array" ref="C389">D389+E389+F389+G389</f>
        <v>189367</v>
      </c>
      <c r="D389" s="41">
        <v>17069.0</v>
      </c>
      <c r="E389" s="41">
        <v>39042.0</v>
      </c>
      <c r="F389" s="42">
        <f t="array" ref="F389">J389-D389</f>
        <v>71146</v>
      </c>
      <c r="G389" s="42">
        <f t="array" ref="G389">K389-E389</f>
        <v>62110</v>
      </c>
      <c r="H389" s="43">
        <f t="array" ref="H389">E389+D389</f>
        <v>56111</v>
      </c>
      <c r="I389" s="43">
        <f t="array" ref="I389">G389+F389</f>
        <v>133256</v>
      </c>
      <c r="J389" s="41">
        <v>88215.0</v>
      </c>
      <c r="K389" s="41">
        <v>101152.0</v>
      </c>
      <c r="L389" s="13">
        <f t="array" ref="L389">L390-1</f>
        <v>2023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11"/>
      <c r="B390" s="12" t="str">
        <f t="array" ref="B390">"Total migration in "&amp;L390</f>
        <v>Total migration in 2024</v>
      </c>
      <c r="C390" s="30">
        <f t="array" ref="C390">D390+E390+F390+G390</f>
        <v>189367</v>
      </c>
      <c r="D390" s="41">
        <v>17069.0</v>
      </c>
      <c r="E390" s="41">
        <v>39042.0</v>
      </c>
      <c r="F390" s="42">
        <f t="array" ref="F390">J390-D390</f>
        <v>71146</v>
      </c>
      <c r="G390" s="42">
        <f t="array" ref="G390">K390-E390</f>
        <v>62110</v>
      </c>
      <c r="H390" s="43">
        <f t="array" ref="H390">E390+D390</f>
        <v>56111</v>
      </c>
      <c r="I390" s="43">
        <f t="array" ref="I390">G390+F390</f>
        <v>133256</v>
      </c>
      <c r="J390" s="41">
        <v>88215.0</v>
      </c>
      <c r="K390" s="41">
        <v>101152.0</v>
      </c>
      <c r="L390" s="34">
        <v>2024.0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21" t="s">
        <v>6</v>
      </c>
      <c r="B391" s="22" t="s">
        <v>486</v>
      </c>
      <c r="C391" s="42">
        <f t="array" ref="C391">D391+E391+F391+G391</f>
        <v>99848.6</v>
      </c>
      <c r="D391" s="42">
        <f t="array" ref="D391">AVERAGE(D381:D390)</f>
        <v>13727.2</v>
      </c>
      <c r="E391" s="42">
        <f t="array" ref="E391">AVERAGE(E381:E390)</f>
        <v>25839</v>
      </c>
      <c r="F391" s="42">
        <f t="array" ref="F391">AVERAGE(F381:F390)</f>
        <v>29332</v>
      </c>
      <c r="G391" s="42">
        <f t="array" ref="G391">AVERAGE(G381:G390)</f>
        <v>30950.4</v>
      </c>
      <c r="H391" s="43">
        <f t="array" ref="H391">E391+D391</f>
        <v>39566.2</v>
      </c>
      <c r="I391" s="43">
        <f t="array" ref="I391">G391+F391</f>
        <v>60282.4</v>
      </c>
      <c r="J391" s="29">
        <f t="array" ref="J391">D391+F391</f>
        <v>43059.2</v>
      </c>
      <c r="K391" s="29">
        <f t="array" ref="K391">E391+G391</f>
        <v>56789.4</v>
      </c>
      <c r="L391" s="1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11"/>
      <c r="B392" s="12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21" t="s">
        <v>487</v>
      </c>
      <c r="B393" s="22" t="s">
        <v>47</v>
      </c>
      <c r="C393" s="30">
        <f t="array" ref="C393">D393+E393+F393+G393</f>
        <v>0</v>
      </c>
      <c r="D393" s="30">
        <f t="array" ref="D393">D$391*$L393</f>
        <v>0</v>
      </c>
      <c r="E393" s="30">
        <f t="array" ref="E393">E$391*$L393</f>
        <v>0</v>
      </c>
      <c r="F393" s="30">
        <f t="array" ref="F393">F$391*$L393</f>
        <v>0</v>
      </c>
      <c r="G393" s="30">
        <f t="array" ref="G393">G$391*$L393</f>
        <v>0</v>
      </c>
      <c r="H393" s="29">
        <f t="array" ref="H393">E393+D393</f>
        <v>0</v>
      </c>
      <c r="I393" s="29">
        <f t="array" ref="I393">G393+F393</f>
        <v>0</v>
      </c>
      <c r="J393" s="29">
        <f t="array" ref="J393">D393+F393</f>
        <v>0</v>
      </c>
      <c r="K393" s="29">
        <f t="array" ref="K393">E393+G393</f>
        <v>0</v>
      </c>
      <c r="L393" s="1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21" t="s">
        <v>488</v>
      </c>
      <c r="B394" s="22" t="s">
        <v>49</v>
      </c>
      <c r="C394" s="30">
        <f t="array" ref="C394">D394+E394+F394+G394</f>
        <v>0</v>
      </c>
      <c r="D394" s="30">
        <f t="array" ref="D394">D$391*$L394</f>
        <v>0</v>
      </c>
      <c r="E394" s="30">
        <f t="array" ref="E394">E$391*$L394</f>
        <v>0</v>
      </c>
      <c r="F394" s="30">
        <f t="array" ref="F394">F$391*$L394</f>
        <v>0</v>
      </c>
      <c r="G394" s="30">
        <f t="array" ref="G394">G$391*$L394</f>
        <v>0</v>
      </c>
      <c r="H394" s="29">
        <f t="array" ref="H394">E394+D394</f>
        <v>0</v>
      </c>
      <c r="I394" s="29">
        <f t="array" ref="I394">G394+F394</f>
        <v>0</v>
      </c>
      <c r="J394" s="29">
        <f t="array" ref="J394">D394+F394</f>
        <v>0</v>
      </c>
      <c r="K394" s="29">
        <f t="array" ref="K394">E394+G394</f>
        <v>0</v>
      </c>
      <c r="L394" s="1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21" t="s">
        <v>489</v>
      </c>
      <c r="B395" s="22" t="s">
        <v>51</v>
      </c>
      <c r="C395" s="30">
        <f t="array" ref="C395">D395+E395+F395+G395</f>
        <v>0</v>
      </c>
      <c r="D395" s="30">
        <f t="array" ref="D395">D$391*$L395</f>
        <v>0</v>
      </c>
      <c r="E395" s="30">
        <f t="array" ref="E395">E$391*$L395</f>
        <v>0</v>
      </c>
      <c r="F395" s="30">
        <f t="array" ref="F395">F$391*$L395</f>
        <v>0</v>
      </c>
      <c r="G395" s="30">
        <f t="array" ref="G395">G$391*$L395</f>
        <v>0</v>
      </c>
      <c r="H395" s="29">
        <f t="array" ref="H395">E395+D395</f>
        <v>0</v>
      </c>
      <c r="I395" s="29">
        <f t="array" ref="I395">G395+F395</f>
        <v>0</v>
      </c>
      <c r="J395" s="29">
        <f t="array" ref="J395">D395+F395</f>
        <v>0</v>
      </c>
      <c r="K395" s="29">
        <f t="array" ref="K395">E395+G395</f>
        <v>0</v>
      </c>
      <c r="L395" s="1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21" t="s">
        <v>490</v>
      </c>
      <c r="B396" s="22" t="s">
        <v>53</v>
      </c>
      <c r="C396" s="30">
        <f t="array" ref="C396">D396+E396+F396+G396</f>
        <v>0</v>
      </c>
      <c r="D396" s="30">
        <f t="array" ref="D396">D$391*$L396</f>
        <v>0</v>
      </c>
      <c r="E396" s="30">
        <f t="array" ref="E396">E$391*$L396</f>
        <v>0</v>
      </c>
      <c r="F396" s="30">
        <f t="array" ref="F396">F$391*$L396</f>
        <v>0</v>
      </c>
      <c r="G396" s="30">
        <f t="array" ref="G396">G$391*$L396</f>
        <v>0</v>
      </c>
      <c r="H396" s="29">
        <f t="array" ref="H396">E396+D396</f>
        <v>0</v>
      </c>
      <c r="I396" s="29">
        <f t="array" ref="I396">G396+F396</f>
        <v>0</v>
      </c>
      <c r="J396" s="29">
        <f t="array" ref="J396">D396+F396</f>
        <v>0</v>
      </c>
      <c r="K396" s="29">
        <f t="array" ref="K396">E396+G396</f>
        <v>0</v>
      </c>
      <c r="L396" s="1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21" t="s">
        <v>491</v>
      </c>
      <c r="B397" s="22" t="s">
        <v>55</v>
      </c>
      <c r="C397" s="30">
        <f t="array" ref="C397">D397+E397+F397+G397</f>
        <v>0</v>
      </c>
      <c r="D397" s="30">
        <f t="array" ref="D397">D$391*$L397</f>
        <v>0</v>
      </c>
      <c r="E397" s="30">
        <f t="array" ref="E397">E$391*$L397</f>
        <v>0</v>
      </c>
      <c r="F397" s="30">
        <f t="array" ref="F397">F$391*$L397</f>
        <v>0</v>
      </c>
      <c r="G397" s="30">
        <f t="array" ref="G397">G$391*$L397</f>
        <v>0</v>
      </c>
      <c r="H397" s="29">
        <f t="array" ref="H397">E397+D397</f>
        <v>0</v>
      </c>
      <c r="I397" s="29">
        <f t="array" ref="I397">G397+F397</f>
        <v>0</v>
      </c>
      <c r="J397" s="29">
        <f t="array" ref="J397">D397+F397</f>
        <v>0</v>
      </c>
      <c r="K397" s="29">
        <f t="array" ref="K397">E397+G397</f>
        <v>0</v>
      </c>
      <c r="L397" s="1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21" t="s">
        <v>492</v>
      </c>
      <c r="B398" s="22" t="s">
        <v>57</v>
      </c>
      <c r="C398" s="30">
        <f t="array" ref="C398">D398+E398+F398+G398</f>
        <v>0</v>
      </c>
      <c r="D398" s="30">
        <f t="array" ref="D398">D$391*$L398</f>
        <v>0</v>
      </c>
      <c r="E398" s="30">
        <f t="array" ref="E398">E$391*$L398</f>
        <v>0</v>
      </c>
      <c r="F398" s="30">
        <f t="array" ref="F398">F$391*$L398</f>
        <v>0</v>
      </c>
      <c r="G398" s="30">
        <f t="array" ref="G398">G$391*$L398</f>
        <v>0</v>
      </c>
      <c r="H398" s="29">
        <f t="array" ref="H398">E398+D398</f>
        <v>0</v>
      </c>
      <c r="I398" s="29">
        <f t="array" ref="I398">G398+F398</f>
        <v>0</v>
      </c>
      <c r="J398" s="29">
        <f t="array" ref="J398">D398+F398</f>
        <v>0</v>
      </c>
      <c r="K398" s="29">
        <f t="array" ref="K398">E398+G398</f>
        <v>0</v>
      </c>
      <c r="L398" s="1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21" t="s">
        <v>493</v>
      </c>
      <c r="B399" s="22" t="s">
        <v>59</v>
      </c>
      <c r="C399" s="30">
        <f t="array" ref="C399">D399+E399+F399+G399</f>
        <v>690.4248931</v>
      </c>
      <c r="D399" s="30">
        <f t="array" ref="D399">D$391*$L399</f>
        <v>94.91971438</v>
      </c>
      <c r="E399" s="30">
        <f t="array" ref="E399">E$391*$L399</f>
        <v>178.6693936</v>
      </c>
      <c r="F399" s="30">
        <f t="array" ref="F399">F$391*$L399</f>
        <v>202.8225029</v>
      </c>
      <c r="G399" s="30">
        <f t="array" ref="G399">G$391*$L399</f>
        <v>214.0132822</v>
      </c>
      <c r="H399" s="29">
        <f t="array" ref="H399">E399+D399</f>
        <v>273.589108</v>
      </c>
      <c r="I399" s="29">
        <f t="array" ref="I399">G399+F399</f>
        <v>416.8357852</v>
      </c>
      <c r="J399" s="29">
        <f t="array" ref="J399">D399+F399</f>
        <v>297.7422173</v>
      </c>
      <c r="K399" s="29">
        <f t="array" ref="K399">E399+G399</f>
        <v>392.6826758</v>
      </c>
      <c r="L399" s="13">
        <v>0.00691471781401273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21" t="s">
        <v>494</v>
      </c>
      <c r="B400" s="22" t="s">
        <v>61</v>
      </c>
      <c r="C400" s="30">
        <f t="array" ref="C400">D400+E400+F400+G400</f>
        <v>830.7329903</v>
      </c>
      <c r="D400" s="30">
        <f t="array" ref="D400">D$391*$L400</f>
        <v>114.2092919</v>
      </c>
      <c r="E400" s="30">
        <f t="array" ref="E400">E$391*$L400</f>
        <v>214.9785749</v>
      </c>
      <c r="F400" s="30">
        <f t="array" ref="F400">F$391*$L400</f>
        <v>244.0400774</v>
      </c>
      <c r="G400" s="30">
        <f t="array" ref="G400">G$391*$L400</f>
        <v>257.5050461</v>
      </c>
      <c r="H400" s="29">
        <f t="array" ref="H400">E400+D400</f>
        <v>329.1878668</v>
      </c>
      <c r="I400" s="29">
        <f t="array" ref="I400">G400+F400</f>
        <v>501.5451235</v>
      </c>
      <c r="J400" s="29">
        <f t="array" ref="J400">D400+F400</f>
        <v>358.2493693</v>
      </c>
      <c r="K400" s="29">
        <f t="array" ref="K400">E400+G400</f>
        <v>472.483621</v>
      </c>
      <c r="L400" s="13">
        <v>0.00831992627142165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21" t="s">
        <v>495</v>
      </c>
      <c r="B401" s="22" t="s">
        <v>63</v>
      </c>
      <c r="C401" s="30">
        <f t="array" ref="C401">D401+E401+F401+G401</f>
        <v>989.6086894</v>
      </c>
      <c r="D401" s="30">
        <f t="array" ref="D401">D$391*$L401</f>
        <v>136.0515461</v>
      </c>
      <c r="E401" s="30">
        <f t="array" ref="E401">E$391*$L401</f>
        <v>256.0927136</v>
      </c>
      <c r="F401" s="30">
        <f t="array" ref="F401">F$391*$L401</f>
        <v>290.712159</v>
      </c>
      <c r="G401" s="30">
        <f t="array" ref="G401">G$391*$L401</f>
        <v>306.7522707</v>
      </c>
      <c r="H401" s="29">
        <f t="array" ref="H401">E401+D401</f>
        <v>392.1442597</v>
      </c>
      <c r="I401" s="29">
        <f t="array" ref="I401">G401+F401</f>
        <v>597.4644297</v>
      </c>
      <c r="J401" s="29">
        <f t="array" ref="J401">D401+F401</f>
        <v>426.763705</v>
      </c>
      <c r="K401" s="29">
        <f t="array" ref="K401">E401+G401</f>
        <v>562.8449844</v>
      </c>
      <c r="L401" s="13">
        <v>0.00991109228790794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21" t="s">
        <v>496</v>
      </c>
      <c r="B402" s="22" t="s">
        <v>65</v>
      </c>
      <c r="C402" s="30">
        <f t="array" ref="C402">D402+E402+F402+G402</f>
        <v>1167.138966</v>
      </c>
      <c r="D402" s="30">
        <f t="array" ref="D402">D$391*$L402</f>
        <v>160.4584342</v>
      </c>
      <c r="E402" s="30">
        <f t="array" ref="E402">E$391*$L402</f>
        <v>302.0343174</v>
      </c>
      <c r="F402" s="30">
        <f t="array" ref="F402">F$391*$L402</f>
        <v>342.864298</v>
      </c>
      <c r="G402" s="30">
        <f t="array" ref="G402">G$391*$L402</f>
        <v>361.7819163</v>
      </c>
      <c r="H402" s="29">
        <f t="array" ref="H402">E402+D402</f>
        <v>462.4927515</v>
      </c>
      <c r="I402" s="29">
        <f t="array" ref="I402">G402+F402</f>
        <v>704.6462143</v>
      </c>
      <c r="J402" s="29">
        <f t="array" ref="J402">D402+F402</f>
        <v>503.3227322</v>
      </c>
      <c r="K402" s="29">
        <f t="array" ref="K402">E402+G402</f>
        <v>663.8162337</v>
      </c>
      <c r="L402" s="13">
        <v>0.0116890869364543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21" t="s">
        <v>497</v>
      </c>
      <c r="B403" s="22" t="s">
        <v>67</v>
      </c>
      <c r="C403" s="30">
        <f t="array" ref="C403">D403+E403+F403+G403</f>
        <v>1362.820517</v>
      </c>
      <c r="D403" s="30">
        <f t="array" ref="D403">D$391*$L403</f>
        <v>187.3607622</v>
      </c>
      <c r="E403" s="30">
        <f t="array" ref="E403">E$391*$L403</f>
        <v>352.6731406</v>
      </c>
      <c r="F403" s="30">
        <f t="array" ref="F403">F$391*$L403</f>
        <v>400.348642</v>
      </c>
      <c r="G403" s="30">
        <f t="array" ref="G403">G$391*$L403</f>
        <v>422.4379725</v>
      </c>
      <c r="H403" s="29">
        <f t="array" ref="H403">E403+D403</f>
        <v>540.0339029</v>
      </c>
      <c r="I403" s="29">
        <f t="array" ref="I403">G403+F403</f>
        <v>822.7866145</v>
      </c>
      <c r="J403" s="29">
        <f t="array" ref="J403">D403+F403</f>
        <v>587.7094042</v>
      </c>
      <c r="K403" s="29">
        <f t="array" ref="K403">E403+G403</f>
        <v>775.1111131</v>
      </c>
      <c r="L403" s="13">
        <v>0.0136488695618289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21" t="s">
        <v>498</v>
      </c>
      <c r="B404" s="22" t="s">
        <v>69</v>
      </c>
      <c r="C404" s="30">
        <f t="array" ref="C404">D404+E404+F404+G404</f>
        <v>1575.475972</v>
      </c>
      <c r="D404" s="30">
        <f t="array" ref="D404">D$391*$L404</f>
        <v>216.596665</v>
      </c>
      <c r="E404" s="30">
        <f t="array" ref="E404">E$391*$L404</f>
        <v>407.7045011</v>
      </c>
      <c r="F404" s="30">
        <f t="array" ref="F404">F$391*$L404</f>
        <v>462.8193207</v>
      </c>
      <c r="G404" s="30">
        <f t="array" ref="G404">G$391*$L404</f>
        <v>488.3554855</v>
      </c>
      <c r="H404" s="29">
        <f t="array" ref="H404">E404+D404</f>
        <v>624.3011661</v>
      </c>
      <c r="I404" s="29">
        <f t="array" ref="I404">G404+F404</f>
        <v>951.1748062</v>
      </c>
      <c r="J404" s="29">
        <f t="array" ref="J404">D404+F404</f>
        <v>679.4159857</v>
      </c>
      <c r="K404" s="29">
        <f t="array" ref="K404">E404+G404</f>
        <v>896.0599867</v>
      </c>
      <c r="L404" s="13">
        <v>0.0157786485973353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21" t="s">
        <v>499</v>
      </c>
      <c r="B405" s="22" t="s">
        <v>71</v>
      </c>
      <c r="C405" s="30">
        <f t="array" ref="C405">D405+E405+F405+G405</f>
        <v>1803.191831</v>
      </c>
      <c r="D405" s="30">
        <f t="array" ref="D405">D$391*$L405</f>
        <v>247.9030742</v>
      </c>
      <c r="E405" s="30">
        <f t="array" ref="E405">E$391*$L405</f>
        <v>466.6332198</v>
      </c>
      <c r="F405" s="30">
        <f t="array" ref="F405">F$391*$L405</f>
        <v>529.714215</v>
      </c>
      <c r="G405" s="30">
        <f t="array" ref="G405">G$391*$L405</f>
        <v>558.9413215</v>
      </c>
      <c r="H405" s="29">
        <f t="array" ref="H405">E405+D405</f>
        <v>714.536294</v>
      </c>
      <c r="I405" s="29">
        <f t="array" ref="I405">G405+F405</f>
        <v>1088.655537</v>
      </c>
      <c r="J405" s="29">
        <f t="array" ref="J405">D405+F405</f>
        <v>777.6172893</v>
      </c>
      <c r="K405" s="29">
        <f t="array" ref="K405">E405+G405</f>
        <v>1025.574541</v>
      </c>
      <c r="L405" s="13">
        <v>0.0180592600248171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21" t="s">
        <v>500</v>
      </c>
      <c r="B406" s="22" t="s">
        <v>73</v>
      </c>
      <c r="C406" s="30">
        <f t="array" ref="C406">D406+E406+F406+G406</f>
        <v>2043.285741</v>
      </c>
      <c r="D406" s="30">
        <f t="array" ref="D406">D$391*$L406</f>
        <v>280.9112198</v>
      </c>
      <c r="E406" s="30">
        <f t="array" ref="E406">E$391*$L406</f>
        <v>528.765153</v>
      </c>
      <c r="F406" s="30">
        <f t="array" ref="F406">F$391*$L406</f>
        <v>600.2453449</v>
      </c>
      <c r="G406" s="30">
        <f t="array" ref="G406">G$391*$L406</f>
        <v>633.364023</v>
      </c>
      <c r="H406" s="29">
        <f t="array" ref="H406">E406+D406</f>
        <v>809.6763728</v>
      </c>
      <c r="I406" s="29">
        <f t="array" ref="I406">G406+F406</f>
        <v>1233.609368</v>
      </c>
      <c r="J406" s="29">
        <f t="array" ref="J406">D406+F406</f>
        <v>881.1565647</v>
      </c>
      <c r="K406" s="29">
        <f t="array" ref="K406">E406+G406</f>
        <v>1162.129176</v>
      </c>
      <c r="L406" s="13">
        <v>0.020463839660522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21" t="s">
        <v>501</v>
      </c>
      <c r="B407" s="22" t="s">
        <v>75</v>
      </c>
      <c r="C407" s="30">
        <f t="array" ref="C407">D407+E407+F407+G407</f>
        <v>2292.30976</v>
      </c>
      <c r="D407" s="30">
        <f t="array" ref="D407">D$391*$L407</f>
        <v>315.1470781</v>
      </c>
      <c r="E407" s="30">
        <f t="array" ref="E407">E$391*$L407</f>
        <v>593.2080359</v>
      </c>
      <c r="F407" s="30">
        <f t="array" ref="F407">F$391*$L407</f>
        <v>673.3998262</v>
      </c>
      <c r="G407" s="30">
        <f t="array" ref="G407">G$391*$L407</f>
        <v>710.55482</v>
      </c>
      <c r="H407" s="29">
        <f t="array" ref="H407">E407+D407</f>
        <v>908.355114</v>
      </c>
      <c r="I407" s="29">
        <f t="array" ref="I407">G407+F407</f>
        <v>1383.954646</v>
      </c>
      <c r="J407" s="29">
        <f t="array" ref="J407">D407+F407</f>
        <v>988.5469043</v>
      </c>
      <c r="K407" s="29">
        <f t="array" ref="K407">E407+G407</f>
        <v>1303.762856</v>
      </c>
      <c r="L407" s="13">
        <v>0.0229578557950625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21" t="s">
        <v>502</v>
      </c>
      <c r="B408" s="22" t="s">
        <v>77</v>
      </c>
      <c r="C408" s="30">
        <f t="array" ref="C408">D408+E408+F408+G408</f>
        <v>2546.09456</v>
      </c>
      <c r="D408" s="30">
        <f t="array" ref="D408">D$391*$L408</f>
        <v>350.0374491</v>
      </c>
      <c r="E408" s="30">
        <f t="array" ref="E408">E$391*$L408</f>
        <v>658.8829221</v>
      </c>
      <c r="F408" s="30">
        <f t="array" ref="F408">F$391*$L408</f>
        <v>747.952857</v>
      </c>
      <c r="G408" s="30">
        <f t="array" ref="G408">G$391*$L408</f>
        <v>789.2213318</v>
      </c>
      <c r="H408" s="29">
        <f t="array" ref="H408">E408+D408</f>
        <v>1008.920371</v>
      </c>
      <c r="I408" s="29">
        <f t="array" ref="I408">G408+F408</f>
        <v>1537.174189</v>
      </c>
      <c r="J408" s="29">
        <f t="array" ref="J408">D408+F408</f>
        <v>1097.990306</v>
      </c>
      <c r="K408" s="29">
        <f t="array" ref="K408">E408+G408</f>
        <v>1448.104254</v>
      </c>
      <c r="L408" s="13">
        <v>0.0254995519211285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21" t="s">
        <v>503</v>
      </c>
      <c r="B409" s="22" t="s">
        <v>79</v>
      </c>
      <c r="C409" s="30">
        <f t="array" ref="C409">D409+E409+F409+G409</f>
        <v>2799.837207</v>
      </c>
      <c r="D409" s="30">
        <f t="array" ref="D409">D$391*$L409</f>
        <v>384.922025</v>
      </c>
      <c r="E409" s="30">
        <f t="array" ref="E409">E$391*$L409</f>
        <v>724.5468999</v>
      </c>
      <c r="F409" s="30">
        <f t="array" ref="F409">F$391*$L409</f>
        <v>822.4935047</v>
      </c>
      <c r="G409" s="30">
        <f t="array" ref="G409">G$391*$L409</f>
        <v>867.8747773</v>
      </c>
      <c r="H409" s="29">
        <f t="array" ref="H409">E409+D409</f>
        <v>1109.468925</v>
      </c>
      <c r="I409" s="29">
        <f t="array" ref="I409">G409+F409</f>
        <v>1690.368282</v>
      </c>
      <c r="J409" s="29">
        <f t="array" ref="J409">D409+F409</f>
        <v>1207.41553</v>
      </c>
      <c r="K409" s="29">
        <f t="array" ref="K409">E409+G409</f>
        <v>1592.421677</v>
      </c>
      <c r="L409" s="13">
        <v>0.0280408258796095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21" t="s">
        <v>504</v>
      </c>
      <c r="B410" s="22" t="s">
        <v>81</v>
      </c>
      <c r="C410" s="30">
        <f t="array" ref="C410">D410+E410+F410+G410</f>
        <v>3048.232283</v>
      </c>
      <c r="D410" s="30">
        <f t="array" ref="D410">D$391*$L410</f>
        <v>419.0714161</v>
      </c>
      <c r="E410" s="30">
        <f t="array" ref="E410">E$391*$L410</f>
        <v>788.8270238</v>
      </c>
      <c r="F410" s="30">
        <f t="array" ref="F410">F$391*$L410</f>
        <v>895.4632246</v>
      </c>
      <c r="G410" s="30">
        <f t="array" ref="G410">G$391*$L410</f>
        <v>944.8706187</v>
      </c>
      <c r="H410" s="29">
        <f t="array" ref="H410">E410+D410</f>
        <v>1207.89844</v>
      </c>
      <c r="I410" s="29">
        <f t="array" ref="I410">G410+F410</f>
        <v>1840.333843</v>
      </c>
      <c r="J410" s="29">
        <f t="array" ref="J410">D410+F410</f>
        <v>1314.534641</v>
      </c>
      <c r="K410" s="29">
        <f t="array" ref="K410">E410+G410</f>
        <v>1733.697642</v>
      </c>
      <c r="L410" s="13">
        <v>0.0305285430463022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21" t="s">
        <v>505</v>
      </c>
      <c r="B411" s="22" t="s">
        <v>83</v>
      </c>
      <c r="C411" s="30">
        <f t="array" ref="C411">D411+E411+F411+G411</f>
        <v>3285.642914</v>
      </c>
      <c r="D411" s="30">
        <f t="array" ref="D411">D$391*$L411</f>
        <v>451.710664</v>
      </c>
      <c r="E411" s="30">
        <f t="array" ref="E411">E$391*$L411</f>
        <v>850.264573</v>
      </c>
      <c r="F411" s="30">
        <f t="array" ref="F411">F$391*$L411</f>
        <v>965.2061015</v>
      </c>
      <c r="G411" s="30">
        <f t="array" ref="G411">G$391*$L411</f>
        <v>1018.461575</v>
      </c>
      <c r="H411" s="29">
        <f t="array" ref="H411">E411+D411</f>
        <v>1301.975237</v>
      </c>
      <c r="I411" s="29">
        <f t="array" ref="I411">G411+F411</f>
        <v>1983.667677</v>
      </c>
      <c r="J411" s="29">
        <f t="array" ref="J411">D411+F411</f>
        <v>1416.916765</v>
      </c>
      <c r="K411" s="29">
        <f t="array" ref="K411">E411+G411</f>
        <v>1868.726148</v>
      </c>
      <c r="L411" s="13">
        <v>0.0329062491973627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21" t="s">
        <v>506</v>
      </c>
      <c r="B412" s="22" t="s">
        <v>85</v>
      </c>
      <c r="C412" s="30">
        <f t="array" ref="C412">D412+E412+F412+G412</f>
        <v>3506.30501</v>
      </c>
      <c r="D412" s="30">
        <f t="array" ref="D412">D$391*$L412</f>
        <v>482.0473209</v>
      </c>
      <c r="E412" s="30">
        <f t="array" ref="E412">E$391*$L412</f>
        <v>907.3679065</v>
      </c>
      <c r="F412" s="30">
        <f t="array" ref="F412">F$391*$L412</f>
        <v>1030.028849</v>
      </c>
      <c r="G412" s="30">
        <f t="array" ref="G412">G$391*$L412</f>
        <v>1086.860933</v>
      </c>
      <c r="H412" s="29">
        <f t="array" ref="H412">E412+D412</f>
        <v>1389.415227</v>
      </c>
      <c r="I412" s="29">
        <f t="array" ref="I412">G412+F412</f>
        <v>2116.889782</v>
      </c>
      <c r="J412" s="29">
        <f t="array" ref="J412">D412+F412</f>
        <v>1512.07617</v>
      </c>
      <c r="K412" s="29">
        <f t="array" ref="K412">E412+G412</f>
        <v>1994.22884</v>
      </c>
      <c r="L412" s="13">
        <v>0.0351162160482748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21" t="s">
        <v>507</v>
      </c>
      <c r="B413" s="22" t="s">
        <v>87</v>
      </c>
      <c r="C413" s="30">
        <f t="array" ref="C413">D413+E413+F413+G413</f>
        <v>3704.555012</v>
      </c>
      <c r="D413" s="30">
        <f t="array" ref="D413">D$391*$L413</f>
        <v>509.30276</v>
      </c>
      <c r="E413" s="30">
        <f t="array" ref="E413">E$391*$L413</f>
        <v>958.6713981</v>
      </c>
      <c r="F413" s="30">
        <f t="array" ref="F413">F$391*$L413</f>
        <v>1088.267714</v>
      </c>
      <c r="G413" s="30">
        <f t="array" ref="G413">G$391*$L413</f>
        <v>1148.313141</v>
      </c>
      <c r="H413" s="29">
        <f t="array" ref="H413">E413+D413</f>
        <v>1467.974158</v>
      </c>
      <c r="I413" s="29">
        <f t="array" ref="I413">G413+F413</f>
        <v>2236.580854</v>
      </c>
      <c r="J413" s="29">
        <f t="array" ref="J413">D413+F413</f>
        <v>1597.570474</v>
      </c>
      <c r="K413" s="29">
        <f t="array" ref="K413">E413+G413</f>
        <v>2106.984539</v>
      </c>
      <c r="L413" s="13">
        <v>0.0371017221299194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21" t="s">
        <v>508</v>
      </c>
      <c r="B414" s="22" t="s">
        <v>89</v>
      </c>
      <c r="C414" s="30">
        <f t="array" ref="C414">D414+E414+F414+G414</f>
        <v>3875.068917</v>
      </c>
      <c r="D414" s="30">
        <f t="array" ref="D414">D$391*$L414</f>
        <v>532.7450364</v>
      </c>
      <c r="E414" s="30">
        <f t="array" ref="E414">E$391*$L414</f>
        <v>1002.797293</v>
      </c>
      <c r="F414" s="30">
        <f t="array" ref="F414">F$391*$L414</f>
        <v>1138.35869</v>
      </c>
      <c r="G414" s="30">
        <f t="array" ref="G414">G$391*$L414</f>
        <v>1201.167898</v>
      </c>
      <c r="H414" s="29">
        <f t="array" ref="H414">E414+D414</f>
        <v>1535.542329</v>
      </c>
      <c r="I414" s="29">
        <f t="array" ref="I414">G414+F414</f>
        <v>2339.526588</v>
      </c>
      <c r="J414" s="29">
        <f t="array" ref="J414">D414+F414</f>
        <v>1671.103726</v>
      </c>
      <c r="K414" s="29">
        <f t="array" ref="K414">E414+G414</f>
        <v>2203.965191</v>
      </c>
      <c r="L414" s="13">
        <v>0.0388094466731873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21" t="s">
        <v>509</v>
      </c>
      <c r="B415" s="22" t="s">
        <v>91</v>
      </c>
      <c r="C415" s="30">
        <f t="array" ref="C415">D415+E415+F415+G415</f>
        <v>4013.098682</v>
      </c>
      <c r="D415" s="30">
        <f t="array" ref="D415">D$391*$L415</f>
        <v>551.7213885</v>
      </c>
      <c r="E415" s="30">
        <f t="array" ref="E415">E$391*$L415</f>
        <v>1038.516883</v>
      </c>
      <c r="F415" s="30">
        <f t="array" ref="F415">F$391*$L415</f>
        <v>1178.906971</v>
      </c>
      <c r="G415" s="30">
        <f t="array" ref="G415">G$391*$L415</f>
        <v>1243.95344</v>
      </c>
      <c r="H415" s="29">
        <f t="array" ref="H415">E415+D415</f>
        <v>1590.238272</v>
      </c>
      <c r="I415" s="29">
        <f t="array" ref="I415">G415+F415</f>
        <v>2422.860411</v>
      </c>
      <c r="J415" s="29">
        <f t="array" ref="J415">D415+F415</f>
        <v>1730.628359</v>
      </c>
      <c r="K415" s="29">
        <f t="array" ref="K415">E415+G415</f>
        <v>2282.470323</v>
      </c>
      <c r="L415" s="13">
        <v>0.0401918372661238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21" t="s">
        <v>510</v>
      </c>
      <c r="B416" s="22" t="s">
        <v>93</v>
      </c>
      <c r="C416" s="30">
        <f t="array" ref="C416">D416+E416+F416+G416</f>
        <v>4114.691447</v>
      </c>
      <c r="D416" s="30">
        <f t="array" ref="D416">D$391*$L416</f>
        <v>565.6883765</v>
      </c>
      <c r="E416" s="30">
        <f t="array" ref="E416">E$391*$L416</f>
        <v>1064.807241</v>
      </c>
      <c r="F416" s="30">
        <f t="array" ref="F416">F$391*$L416</f>
        <v>1208.751345</v>
      </c>
      <c r="G416" s="30">
        <f t="array" ref="G416">G$391*$L416</f>
        <v>1275.444485</v>
      </c>
      <c r="H416" s="29">
        <f t="array" ref="H416">E416+D416</f>
        <v>1630.495618</v>
      </c>
      <c r="I416" s="29">
        <f t="array" ref="I416">G416+F416</f>
        <v>2484.195829</v>
      </c>
      <c r="J416" s="29">
        <f t="array" ref="J416">D416+F416</f>
        <v>1774.439721</v>
      </c>
      <c r="K416" s="29">
        <f t="array" ref="K416">E416+G416</f>
        <v>2340.251726</v>
      </c>
      <c r="L416" s="13">
        <v>0.0412093053576299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21" t="s">
        <v>511</v>
      </c>
      <c r="B417" s="22" t="s">
        <v>95</v>
      </c>
      <c r="C417" s="30">
        <f t="array" ref="C417">D417+E417+F417+G417</f>
        <v>4176.877463</v>
      </c>
      <c r="D417" s="30">
        <f t="array" ref="D417">D$391*$L417</f>
        <v>574.2377191</v>
      </c>
      <c r="E417" s="30">
        <f t="array" ref="E417">E$391*$L417</f>
        <v>1080.89985</v>
      </c>
      <c r="F417" s="30">
        <f t="array" ref="F417">F$391*$L417</f>
        <v>1227.019405</v>
      </c>
      <c r="G417" s="30">
        <f t="array" ref="G417">G$391*$L417</f>
        <v>1294.720489</v>
      </c>
      <c r="H417" s="29">
        <f t="array" ref="H417">E417+D417</f>
        <v>1655.137569</v>
      </c>
      <c r="I417" s="29">
        <f t="array" ref="I417">G417+F417</f>
        <v>2521.739894</v>
      </c>
      <c r="J417" s="29">
        <f t="array" ref="J417">D417+F417</f>
        <v>1801.257124</v>
      </c>
      <c r="K417" s="29">
        <f t="array" ref="K417">E417+G417</f>
        <v>2375.620339</v>
      </c>
      <c r="L417" s="13">
        <v>0.0418321084469291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21" t="s">
        <v>512</v>
      </c>
      <c r="B418" s="22" t="s">
        <v>97</v>
      </c>
      <c r="C418" s="30">
        <f t="array" ref="C418">D418+E418+F418+G418</f>
        <v>4197.814289</v>
      </c>
      <c r="D418" s="30">
        <f t="array" ref="D418">D$391*$L418</f>
        <v>577.1161169</v>
      </c>
      <c r="E418" s="30">
        <f t="array" ref="E418">E$391*$L418</f>
        <v>1086.31792</v>
      </c>
      <c r="F418" s="30">
        <f t="array" ref="F418">F$391*$L418</f>
        <v>1233.169907</v>
      </c>
      <c r="G418" s="30">
        <f t="array" ref="G418">G$391*$L418</f>
        <v>1301.210346</v>
      </c>
      <c r="H418" s="29">
        <f t="array" ref="H418">E418+D418</f>
        <v>1663.434036</v>
      </c>
      <c r="I418" s="29">
        <f t="array" ref="I418">G418+F418</f>
        <v>2534.380253</v>
      </c>
      <c r="J418" s="29">
        <f t="array" ref="J418">D418+F418</f>
        <v>1810.286023</v>
      </c>
      <c r="K418" s="29">
        <f t="array" ref="K418">E418+G418</f>
        <v>2387.528266</v>
      </c>
      <c r="L418" s="13">
        <v>0.042041794168341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21" t="s">
        <v>513</v>
      </c>
      <c r="B419" s="22" t="s">
        <v>99</v>
      </c>
      <c r="C419" s="30">
        <f t="array" ref="C419">D419+E419+F419+G419</f>
        <v>4176.877463</v>
      </c>
      <c r="D419" s="30">
        <f t="array" ref="D419">D$391*$L419</f>
        <v>574.2377191</v>
      </c>
      <c r="E419" s="30">
        <f t="array" ref="E419">E$391*$L419</f>
        <v>1080.89985</v>
      </c>
      <c r="F419" s="30">
        <f t="array" ref="F419">F$391*$L419</f>
        <v>1227.019405</v>
      </c>
      <c r="G419" s="30">
        <f t="array" ref="G419">G$391*$L419</f>
        <v>1294.720489</v>
      </c>
      <c r="H419" s="29">
        <f t="array" ref="H419">E419+D419</f>
        <v>1655.137569</v>
      </c>
      <c r="I419" s="29">
        <f t="array" ref="I419">G419+F419</f>
        <v>2521.739894</v>
      </c>
      <c r="J419" s="29">
        <f t="array" ref="J419">D419+F419</f>
        <v>1801.257124</v>
      </c>
      <c r="K419" s="29">
        <f t="array" ref="K419">E419+G419</f>
        <v>2375.620339</v>
      </c>
      <c r="L419" s="13">
        <v>0.0418321084469291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21" t="s">
        <v>514</v>
      </c>
      <c r="B420" s="22" t="s">
        <v>101</v>
      </c>
      <c r="C420" s="30">
        <f t="array" ref="C420">D420+E420+F420+G420</f>
        <v>4114.691447</v>
      </c>
      <c r="D420" s="30">
        <f t="array" ref="D420">D$391*$L420</f>
        <v>565.6883765</v>
      </c>
      <c r="E420" s="30">
        <f t="array" ref="E420">E$391*$L420</f>
        <v>1064.807241</v>
      </c>
      <c r="F420" s="30">
        <f t="array" ref="F420">F$391*$L420</f>
        <v>1208.751345</v>
      </c>
      <c r="G420" s="30">
        <f t="array" ref="G420">G$391*$L420</f>
        <v>1275.444485</v>
      </c>
      <c r="H420" s="29">
        <f t="array" ref="H420">E420+D420</f>
        <v>1630.495618</v>
      </c>
      <c r="I420" s="29">
        <f t="array" ref="I420">G420+F420</f>
        <v>2484.195829</v>
      </c>
      <c r="J420" s="29">
        <f t="array" ref="J420">D420+F420</f>
        <v>1774.439721</v>
      </c>
      <c r="K420" s="29">
        <f t="array" ref="K420">E420+G420</f>
        <v>2340.251726</v>
      </c>
      <c r="L420" s="13">
        <v>0.0412093053576299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21" t="s">
        <v>515</v>
      </c>
      <c r="B421" s="22" t="s">
        <v>103</v>
      </c>
      <c r="C421" s="30">
        <f t="array" ref="C421">D421+E421+F421+G421</f>
        <v>4013.098682</v>
      </c>
      <c r="D421" s="30">
        <f t="array" ref="D421">D$391*$L421</f>
        <v>551.7213885</v>
      </c>
      <c r="E421" s="30">
        <f t="array" ref="E421">E$391*$L421</f>
        <v>1038.516883</v>
      </c>
      <c r="F421" s="30">
        <f t="array" ref="F421">F$391*$L421</f>
        <v>1178.906971</v>
      </c>
      <c r="G421" s="30">
        <f t="array" ref="G421">G$391*$L421</f>
        <v>1243.95344</v>
      </c>
      <c r="H421" s="29">
        <f t="array" ref="H421">E421+D421</f>
        <v>1590.238272</v>
      </c>
      <c r="I421" s="29">
        <f t="array" ref="I421">G421+F421</f>
        <v>2422.860411</v>
      </c>
      <c r="J421" s="29">
        <f t="array" ref="J421">D421+F421</f>
        <v>1730.628359</v>
      </c>
      <c r="K421" s="29">
        <f t="array" ref="K421">E421+G421</f>
        <v>2282.470323</v>
      </c>
      <c r="L421" s="13">
        <v>0.0401918372661238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21" t="s">
        <v>516</v>
      </c>
      <c r="B422" s="22" t="s">
        <v>105</v>
      </c>
      <c r="C422" s="30">
        <f t="array" ref="C422">D422+E422+F422+G422</f>
        <v>3875.068917</v>
      </c>
      <c r="D422" s="30">
        <f t="array" ref="D422">D$391*$L422</f>
        <v>532.7450364</v>
      </c>
      <c r="E422" s="30">
        <f t="array" ref="E422">E$391*$L422</f>
        <v>1002.797293</v>
      </c>
      <c r="F422" s="30">
        <f t="array" ref="F422">F$391*$L422</f>
        <v>1138.35869</v>
      </c>
      <c r="G422" s="30">
        <f t="array" ref="G422">G$391*$L422</f>
        <v>1201.167898</v>
      </c>
      <c r="H422" s="29">
        <f t="array" ref="H422">E422+D422</f>
        <v>1535.542329</v>
      </c>
      <c r="I422" s="29">
        <f t="array" ref="I422">G422+F422</f>
        <v>2339.526588</v>
      </c>
      <c r="J422" s="29">
        <f t="array" ref="J422">D422+F422</f>
        <v>1671.103726</v>
      </c>
      <c r="K422" s="29">
        <f t="array" ref="K422">E422+G422</f>
        <v>2203.965191</v>
      </c>
      <c r="L422" s="13">
        <v>0.0388094466731873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21" t="s">
        <v>517</v>
      </c>
      <c r="B423" s="22" t="s">
        <v>107</v>
      </c>
      <c r="C423" s="30">
        <f t="array" ref="C423">D423+E423+F423+G423</f>
        <v>3704.555012</v>
      </c>
      <c r="D423" s="30">
        <f t="array" ref="D423">D$391*$L423</f>
        <v>509.30276</v>
      </c>
      <c r="E423" s="30">
        <f t="array" ref="E423">E$391*$L423</f>
        <v>958.6713981</v>
      </c>
      <c r="F423" s="30">
        <f t="array" ref="F423">F$391*$L423</f>
        <v>1088.267714</v>
      </c>
      <c r="G423" s="30">
        <f t="array" ref="G423">G$391*$L423</f>
        <v>1148.313141</v>
      </c>
      <c r="H423" s="29">
        <f t="array" ref="H423">E423+D423</f>
        <v>1467.974158</v>
      </c>
      <c r="I423" s="29">
        <f t="array" ref="I423">G423+F423</f>
        <v>2236.580854</v>
      </c>
      <c r="J423" s="29">
        <f t="array" ref="J423">D423+F423</f>
        <v>1597.570474</v>
      </c>
      <c r="K423" s="29">
        <f t="array" ref="K423">E423+G423</f>
        <v>2106.984539</v>
      </c>
      <c r="L423" s="13">
        <v>0.0371017221299194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21" t="s">
        <v>518</v>
      </c>
      <c r="B424" s="22" t="s">
        <v>109</v>
      </c>
      <c r="C424" s="30">
        <f t="array" ref="C424">D424+E424+F424+G424</f>
        <v>3506.30501</v>
      </c>
      <c r="D424" s="30">
        <f t="array" ref="D424">D$391*$L424</f>
        <v>482.0473209</v>
      </c>
      <c r="E424" s="30">
        <f t="array" ref="E424">E$391*$L424</f>
        <v>907.3679065</v>
      </c>
      <c r="F424" s="30">
        <f t="array" ref="F424">F$391*$L424</f>
        <v>1030.028849</v>
      </c>
      <c r="G424" s="30">
        <f t="array" ref="G424">G$391*$L424</f>
        <v>1086.860933</v>
      </c>
      <c r="H424" s="29">
        <f t="array" ref="H424">E424+D424</f>
        <v>1389.415227</v>
      </c>
      <c r="I424" s="29">
        <f t="array" ref="I424">G424+F424</f>
        <v>2116.889782</v>
      </c>
      <c r="J424" s="29">
        <f t="array" ref="J424">D424+F424</f>
        <v>1512.07617</v>
      </c>
      <c r="K424" s="29">
        <f t="array" ref="K424">E424+G424</f>
        <v>1994.22884</v>
      </c>
      <c r="L424" s="13">
        <v>0.0351162160482748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21" t="s">
        <v>519</v>
      </c>
      <c r="B425" s="22" t="s">
        <v>111</v>
      </c>
      <c r="C425" s="30">
        <f t="array" ref="C425">D425+E425+F425+G425</f>
        <v>3285.642914</v>
      </c>
      <c r="D425" s="30">
        <f t="array" ref="D425">D$391*$L425</f>
        <v>451.710664</v>
      </c>
      <c r="E425" s="30">
        <f t="array" ref="E425">E$391*$L425</f>
        <v>850.264573</v>
      </c>
      <c r="F425" s="30">
        <f t="array" ref="F425">F$391*$L425</f>
        <v>965.2061015</v>
      </c>
      <c r="G425" s="30">
        <f t="array" ref="G425">G$391*$L425</f>
        <v>1018.461575</v>
      </c>
      <c r="H425" s="29">
        <f t="array" ref="H425">E425+D425</f>
        <v>1301.975237</v>
      </c>
      <c r="I425" s="29">
        <f t="array" ref="I425">G425+F425</f>
        <v>1983.667677</v>
      </c>
      <c r="J425" s="29">
        <f t="array" ref="J425">D425+F425</f>
        <v>1416.916765</v>
      </c>
      <c r="K425" s="29">
        <f t="array" ref="K425">E425+G425</f>
        <v>1868.726148</v>
      </c>
      <c r="L425" s="13">
        <v>0.0329062491973627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21" t="s">
        <v>520</v>
      </c>
      <c r="B426" s="22" t="s">
        <v>113</v>
      </c>
      <c r="C426" s="30">
        <f t="array" ref="C426">D426+E426+F426+G426</f>
        <v>3048.232283</v>
      </c>
      <c r="D426" s="30">
        <f t="array" ref="D426">D$391*$L426</f>
        <v>419.0714161</v>
      </c>
      <c r="E426" s="30">
        <f t="array" ref="E426">E$391*$L426</f>
        <v>788.8270238</v>
      </c>
      <c r="F426" s="30">
        <f t="array" ref="F426">F$391*$L426</f>
        <v>895.4632246</v>
      </c>
      <c r="G426" s="30">
        <f t="array" ref="G426">G$391*$L426</f>
        <v>944.8706187</v>
      </c>
      <c r="H426" s="29">
        <f t="array" ref="H426">E426+D426</f>
        <v>1207.89844</v>
      </c>
      <c r="I426" s="29">
        <f t="array" ref="I426">G426+F426</f>
        <v>1840.333843</v>
      </c>
      <c r="J426" s="29">
        <f t="array" ref="J426">D426+F426</f>
        <v>1314.534641</v>
      </c>
      <c r="K426" s="29">
        <f t="array" ref="K426">E426+G426</f>
        <v>1733.697642</v>
      </c>
      <c r="L426" s="13">
        <v>0.0305285430463022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21" t="s">
        <v>521</v>
      </c>
      <c r="B427" s="22" t="s">
        <v>115</v>
      </c>
      <c r="C427" s="30">
        <f t="array" ref="C427">D427+E427+F427+G427</f>
        <v>2799.837207</v>
      </c>
      <c r="D427" s="30">
        <f t="array" ref="D427">D$391*$L427</f>
        <v>384.922025</v>
      </c>
      <c r="E427" s="30">
        <f t="array" ref="E427">E$391*$L427</f>
        <v>724.5468999</v>
      </c>
      <c r="F427" s="30">
        <f t="array" ref="F427">F$391*$L427</f>
        <v>822.4935047</v>
      </c>
      <c r="G427" s="30">
        <f t="array" ref="G427">G$391*$L427</f>
        <v>867.8747773</v>
      </c>
      <c r="H427" s="29">
        <f t="array" ref="H427">E427+D427</f>
        <v>1109.468925</v>
      </c>
      <c r="I427" s="29">
        <f t="array" ref="I427">G427+F427</f>
        <v>1690.368282</v>
      </c>
      <c r="J427" s="29">
        <f t="array" ref="J427">D427+F427</f>
        <v>1207.41553</v>
      </c>
      <c r="K427" s="29">
        <f t="array" ref="K427">E427+G427</f>
        <v>1592.421677</v>
      </c>
      <c r="L427" s="13">
        <v>0.0280408258796095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21" t="s">
        <v>522</v>
      </c>
      <c r="B428" s="22" t="s">
        <v>117</v>
      </c>
      <c r="C428" s="30">
        <f t="array" ref="C428">D428+E428+F428+G428</f>
        <v>2546.09456</v>
      </c>
      <c r="D428" s="30">
        <f t="array" ref="D428">D$391*$L428</f>
        <v>350.0374491</v>
      </c>
      <c r="E428" s="30">
        <f t="array" ref="E428">E$391*$L428</f>
        <v>658.8829221</v>
      </c>
      <c r="F428" s="30">
        <f t="array" ref="F428">F$391*$L428</f>
        <v>747.952857</v>
      </c>
      <c r="G428" s="30">
        <f t="array" ref="G428">G$391*$L428</f>
        <v>789.2213318</v>
      </c>
      <c r="H428" s="29">
        <f t="array" ref="H428">E428+D428</f>
        <v>1008.920371</v>
      </c>
      <c r="I428" s="29">
        <f t="array" ref="I428">G428+F428</f>
        <v>1537.174189</v>
      </c>
      <c r="J428" s="29">
        <f t="array" ref="J428">D428+F428</f>
        <v>1097.990306</v>
      </c>
      <c r="K428" s="29">
        <f t="array" ref="K428">E428+G428</f>
        <v>1448.104254</v>
      </c>
      <c r="L428" s="13">
        <v>0.0254995519211285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21" t="s">
        <v>523</v>
      </c>
      <c r="B429" s="22" t="s">
        <v>119</v>
      </c>
      <c r="C429" s="30">
        <f t="array" ref="C429">D429+E429+F429+G429</f>
        <v>2292.30976</v>
      </c>
      <c r="D429" s="30">
        <f t="array" ref="D429">D$391*$L429</f>
        <v>315.1470781</v>
      </c>
      <c r="E429" s="30">
        <f t="array" ref="E429">E$391*$L429</f>
        <v>593.2080359</v>
      </c>
      <c r="F429" s="30">
        <f t="array" ref="F429">F$391*$L429</f>
        <v>673.3998262</v>
      </c>
      <c r="G429" s="30">
        <f t="array" ref="G429">G$391*$L429</f>
        <v>710.55482</v>
      </c>
      <c r="H429" s="29">
        <f t="array" ref="H429">E429+D429</f>
        <v>908.355114</v>
      </c>
      <c r="I429" s="29">
        <f t="array" ref="I429">G429+F429</f>
        <v>1383.954646</v>
      </c>
      <c r="J429" s="29">
        <f t="array" ref="J429">D429+F429</f>
        <v>988.5469043</v>
      </c>
      <c r="K429" s="29">
        <f t="array" ref="K429">E429+G429</f>
        <v>1303.762856</v>
      </c>
      <c r="L429" s="13">
        <v>0.0229578557950625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21" t="s">
        <v>524</v>
      </c>
      <c r="B430" s="22" t="s">
        <v>121</v>
      </c>
      <c r="C430" s="30">
        <f t="array" ref="C430">D430+E430+F430+G430</f>
        <v>2043.285741</v>
      </c>
      <c r="D430" s="30">
        <f t="array" ref="D430">D$391*$L430</f>
        <v>280.9112198</v>
      </c>
      <c r="E430" s="30">
        <f t="array" ref="E430">E$391*$L430</f>
        <v>528.765153</v>
      </c>
      <c r="F430" s="30">
        <f t="array" ref="F430">F$391*$L430</f>
        <v>600.2453449</v>
      </c>
      <c r="G430" s="30">
        <f t="array" ref="G430">G$391*$L430</f>
        <v>633.364023</v>
      </c>
      <c r="H430" s="29">
        <f t="array" ref="H430">E430+D430</f>
        <v>809.6763728</v>
      </c>
      <c r="I430" s="29">
        <f t="array" ref="I430">G430+F430</f>
        <v>1233.609368</v>
      </c>
      <c r="J430" s="29">
        <f t="array" ref="J430">D430+F430</f>
        <v>881.1565647</v>
      </c>
      <c r="K430" s="29">
        <f t="array" ref="K430">E430+G430</f>
        <v>1162.129176</v>
      </c>
      <c r="L430" s="13">
        <v>0.020463839660522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21" t="s">
        <v>525</v>
      </c>
      <c r="B431" s="22" t="s">
        <v>123</v>
      </c>
      <c r="C431" s="30">
        <f t="array" ref="C431">D431+E431+F431+G431</f>
        <v>1803.191831</v>
      </c>
      <c r="D431" s="30">
        <f t="array" ref="D431">D$391*$L431</f>
        <v>247.9030742</v>
      </c>
      <c r="E431" s="30">
        <f t="array" ref="E431">E$391*$L431</f>
        <v>466.6332198</v>
      </c>
      <c r="F431" s="30">
        <f t="array" ref="F431">F$391*$L431</f>
        <v>529.714215</v>
      </c>
      <c r="G431" s="30">
        <f t="array" ref="G431">G$391*$L431</f>
        <v>558.9413215</v>
      </c>
      <c r="H431" s="29">
        <f t="array" ref="H431">E431+D431</f>
        <v>714.536294</v>
      </c>
      <c r="I431" s="29">
        <f t="array" ref="I431">G431+F431</f>
        <v>1088.655537</v>
      </c>
      <c r="J431" s="29">
        <f t="array" ref="J431">D431+F431</f>
        <v>777.6172893</v>
      </c>
      <c r="K431" s="29">
        <f t="array" ref="K431">E431+G431</f>
        <v>1025.574541</v>
      </c>
      <c r="L431" s="13">
        <v>0.0180592600248171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21" t="s">
        <v>526</v>
      </c>
      <c r="B432" s="22" t="s">
        <v>125</v>
      </c>
      <c r="C432" s="30">
        <f t="array" ref="C432">D432+E432+F432+G432</f>
        <v>1575.475972</v>
      </c>
      <c r="D432" s="30">
        <f t="array" ref="D432">D$391*$L432</f>
        <v>216.596665</v>
      </c>
      <c r="E432" s="30">
        <f t="array" ref="E432">E$391*$L432</f>
        <v>407.7045011</v>
      </c>
      <c r="F432" s="30">
        <f t="array" ref="F432">F$391*$L432</f>
        <v>462.8193207</v>
      </c>
      <c r="G432" s="30">
        <f t="array" ref="G432">G$391*$L432</f>
        <v>488.3554855</v>
      </c>
      <c r="H432" s="29">
        <f t="array" ref="H432">E432+D432</f>
        <v>624.3011661</v>
      </c>
      <c r="I432" s="29">
        <f t="array" ref="I432">G432+F432</f>
        <v>951.1748062</v>
      </c>
      <c r="J432" s="29">
        <f t="array" ref="J432">D432+F432</f>
        <v>679.4159857</v>
      </c>
      <c r="K432" s="29">
        <f t="array" ref="K432">E432+G432</f>
        <v>896.0599867</v>
      </c>
      <c r="L432" s="13">
        <v>0.0157786485973353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21" t="s">
        <v>527</v>
      </c>
      <c r="B433" s="22" t="s">
        <v>127</v>
      </c>
      <c r="C433" s="30">
        <f t="array" ref="C433">D433+E433+F433+G433</f>
        <v>1362.820517</v>
      </c>
      <c r="D433" s="30">
        <f t="array" ref="D433">D$391*$L433</f>
        <v>187.3607622</v>
      </c>
      <c r="E433" s="30">
        <f t="array" ref="E433">E$391*$L433</f>
        <v>352.6731406</v>
      </c>
      <c r="F433" s="30">
        <f t="array" ref="F433">F$391*$L433</f>
        <v>400.348642</v>
      </c>
      <c r="G433" s="30">
        <f t="array" ref="G433">G$391*$L433</f>
        <v>422.4379725</v>
      </c>
      <c r="H433" s="29">
        <f t="array" ref="H433">E433+D433</f>
        <v>540.0339029</v>
      </c>
      <c r="I433" s="29">
        <f t="array" ref="I433">G433+F433</f>
        <v>822.7866145</v>
      </c>
      <c r="J433" s="29">
        <f t="array" ref="J433">D433+F433</f>
        <v>587.7094042</v>
      </c>
      <c r="K433" s="29">
        <f t="array" ref="K433">E433+G433</f>
        <v>775.1111131</v>
      </c>
      <c r="L433" s="13">
        <v>0.0136488695618289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21" t="s">
        <v>528</v>
      </c>
      <c r="B434" s="22" t="s">
        <v>129</v>
      </c>
      <c r="C434" s="30">
        <f t="array" ref="C434">D434+E434+F434+G434</f>
        <v>1167.138966</v>
      </c>
      <c r="D434" s="30">
        <f t="array" ref="D434">D$391*$L434</f>
        <v>160.4584342</v>
      </c>
      <c r="E434" s="30">
        <f t="array" ref="E434">E$391*$L434</f>
        <v>302.0343174</v>
      </c>
      <c r="F434" s="30">
        <f t="array" ref="F434">F$391*$L434</f>
        <v>342.864298</v>
      </c>
      <c r="G434" s="30">
        <f t="array" ref="G434">G$391*$L434</f>
        <v>361.7819163</v>
      </c>
      <c r="H434" s="29">
        <f t="array" ref="H434">E434+D434</f>
        <v>462.4927515</v>
      </c>
      <c r="I434" s="29">
        <f t="array" ref="I434">G434+F434</f>
        <v>704.6462143</v>
      </c>
      <c r="J434" s="29">
        <f t="array" ref="J434">D434+F434</f>
        <v>503.3227322</v>
      </c>
      <c r="K434" s="29">
        <f t="array" ref="K434">E434+G434</f>
        <v>663.8162337</v>
      </c>
      <c r="L434" s="13">
        <v>0.0116890869364543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21" t="s">
        <v>529</v>
      </c>
      <c r="B435" s="22" t="s">
        <v>131</v>
      </c>
      <c r="C435" s="30">
        <f t="array" ref="C435">D435+E435+F435+G435</f>
        <v>989.6086894</v>
      </c>
      <c r="D435" s="30">
        <f t="array" ref="D435">D$391*$L435</f>
        <v>136.0515461</v>
      </c>
      <c r="E435" s="30">
        <f t="array" ref="E435">E$391*$L435</f>
        <v>256.0927136</v>
      </c>
      <c r="F435" s="30">
        <f t="array" ref="F435">F$391*$L435</f>
        <v>290.712159</v>
      </c>
      <c r="G435" s="30">
        <f t="array" ref="G435">G$391*$L435</f>
        <v>306.7522707</v>
      </c>
      <c r="H435" s="29">
        <f t="array" ref="H435">E435+D435</f>
        <v>392.1442597</v>
      </c>
      <c r="I435" s="29">
        <f t="array" ref="I435">G435+F435</f>
        <v>597.4644297</v>
      </c>
      <c r="J435" s="29">
        <f t="array" ref="J435">D435+F435</f>
        <v>426.763705</v>
      </c>
      <c r="K435" s="29">
        <f t="array" ref="K435">E435+G435</f>
        <v>562.8449844</v>
      </c>
      <c r="L435" s="13">
        <v>0.00991109228790794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21" t="s">
        <v>530</v>
      </c>
      <c r="B436" s="22" t="s">
        <v>133</v>
      </c>
      <c r="C436" s="30">
        <f t="array" ref="C436">D436+E436+F436+G436</f>
        <v>830.7329903</v>
      </c>
      <c r="D436" s="30">
        <f t="array" ref="D436">D$391*$L436</f>
        <v>114.2092919</v>
      </c>
      <c r="E436" s="30">
        <f t="array" ref="E436">E$391*$L436</f>
        <v>214.9785749</v>
      </c>
      <c r="F436" s="30">
        <f t="array" ref="F436">F$391*$L436</f>
        <v>244.0400774</v>
      </c>
      <c r="G436" s="30">
        <f t="array" ref="G436">G$391*$L436</f>
        <v>257.5050461</v>
      </c>
      <c r="H436" s="29">
        <f t="array" ref="H436">E436+D436</f>
        <v>329.1878668</v>
      </c>
      <c r="I436" s="29">
        <f t="array" ref="I436">G436+F436</f>
        <v>501.5451235</v>
      </c>
      <c r="J436" s="29">
        <f t="array" ref="J436">D436+F436</f>
        <v>358.2493693</v>
      </c>
      <c r="K436" s="29">
        <f t="array" ref="K436">E436+G436</f>
        <v>472.483621</v>
      </c>
      <c r="L436" s="13">
        <v>0.00831992627142165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21" t="s">
        <v>531</v>
      </c>
      <c r="B437" s="22" t="s">
        <v>135</v>
      </c>
      <c r="C437" s="30">
        <f t="array" ref="C437">D437+E437+F437+G437</f>
        <v>690.4248931</v>
      </c>
      <c r="D437" s="30">
        <f t="array" ref="D437">D$391*$L437</f>
        <v>94.91971438</v>
      </c>
      <c r="E437" s="30">
        <f t="array" ref="E437">E$391*$L437</f>
        <v>178.6693936</v>
      </c>
      <c r="F437" s="30">
        <f t="array" ref="F437">F$391*$L437</f>
        <v>202.8225029</v>
      </c>
      <c r="G437" s="30">
        <f t="array" ref="G437">G$391*$L437</f>
        <v>214.0132822</v>
      </c>
      <c r="H437" s="29">
        <f t="array" ref="H437">E437+D437</f>
        <v>273.589108</v>
      </c>
      <c r="I437" s="29">
        <f t="array" ref="I437">G437+F437</f>
        <v>416.8357852</v>
      </c>
      <c r="J437" s="29">
        <f t="array" ref="J437">D437+F437</f>
        <v>297.7422173</v>
      </c>
      <c r="K437" s="29">
        <f t="array" ref="K437">E437+G437</f>
        <v>392.6826758</v>
      </c>
      <c r="L437" s="13">
        <v>0.00691471781401273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21" t="s">
        <v>532</v>
      </c>
      <c r="B438" s="22" t="s">
        <v>137</v>
      </c>
      <c r="C438" s="30">
        <f t="array" ref="C438">D438+E438+F438+G438</f>
        <v>0</v>
      </c>
      <c r="D438" s="30">
        <f t="array" ref="D438">D$391*$L438</f>
        <v>0</v>
      </c>
      <c r="E438" s="30">
        <f t="array" ref="E438">E$391*$L438</f>
        <v>0</v>
      </c>
      <c r="F438" s="30">
        <f t="array" ref="F438">F$391*$L438</f>
        <v>0</v>
      </c>
      <c r="G438" s="30">
        <f t="array" ref="G438">G$391*$L438</f>
        <v>0</v>
      </c>
      <c r="H438" s="29">
        <f t="array" ref="H438">E438+D438</f>
        <v>0</v>
      </c>
      <c r="I438" s="29">
        <f t="array" ref="I438">G438+F438</f>
        <v>0</v>
      </c>
      <c r="J438" s="29">
        <f t="array" ref="J438">D438+F438</f>
        <v>0</v>
      </c>
      <c r="K438" s="29">
        <f t="array" ref="K438">E438+G438</f>
        <v>0</v>
      </c>
      <c r="L438" s="1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21" t="s">
        <v>533</v>
      </c>
      <c r="B439" s="22" t="s">
        <v>139</v>
      </c>
      <c r="C439" s="30">
        <f t="array" ref="C439">D439+E439+F439+G439</f>
        <v>0</v>
      </c>
      <c r="D439" s="30">
        <f t="array" ref="D439">D$391*$L439</f>
        <v>0</v>
      </c>
      <c r="E439" s="30">
        <f t="array" ref="E439">E$391*$L439</f>
        <v>0</v>
      </c>
      <c r="F439" s="30">
        <f t="array" ref="F439">F$391*$L439</f>
        <v>0</v>
      </c>
      <c r="G439" s="30">
        <f t="array" ref="G439">G$391*$L439</f>
        <v>0</v>
      </c>
      <c r="H439" s="29">
        <f t="array" ref="H439">E439+D439</f>
        <v>0</v>
      </c>
      <c r="I439" s="29">
        <f t="array" ref="I439">G439+F439</f>
        <v>0</v>
      </c>
      <c r="J439" s="29">
        <f t="array" ref="J439">D439+F439</f>
        <v>0</v>
      </c>
      <c r="K439" s="29">
        <f t="array" ref="K439">E439+G439</f>
        <v>0</v>
      </c>
      <c r="L439" s="1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21" t="s">
        <v>534</v>
      </c>
      <c r="B440" s="22" t="s">
        <v>141</v>
      </c>
      <c r="C440" s="30">
        <f t="array" ref="C440">D440+E440+F440+G440</f>
        <v>0</v>
      </c>
      <c r="D440" s="30">
        <f t="array" ref="D440">D$391*$L440</f>
        <v>0</v>
      </c>
      <c r="E440" s="30">
        <f t="array" ref="E440">E$391*$L440</f>
        <v>0</v>
      </c>
      <c r="F440" s="30">
        <f t="array" ref="F440">F$391*$L440</f>
        <v>0</v>
      </c>
      <c r="G440" s="30">
        <f t="array" ref="G440">G$391*$L440</f>
        <v>0</v>
      </c>
      <c r="H440" s="29">
        <f t="array" ref="H440">E440+D440</f>
        <v>0</v>
      </c>
      <c r="I440" s="29">
        <f t="array" ref="I440">G440+F440</f>
        <v>0</v>
      </c>
      <c r="J440" s="29">
        <f t="array" ref="J440">D440+F440</f>
        <v>0</v>
      </c>
      <c r="K440" s="29">
        <f t="array" ref="K440">E440+G440</f>
        <v>0</v>
      </c>
      <c r="L440" s="1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21" t="s">
        <v>535</v>
      </c>
      <c r="B441" s="22" t="s">
        <v>143</v>
      </c>
      <c r="C441" s="30">
        <f t="array" ref="C441">D441+E441+F441+G441</f>
        <v>0</v>
      </c>
      <c r="D441" s="30">
        <f t="array" ref="D441">D$391*$L441</f>
        <v>0</v>
      </c>
      <c r="E441" s="30">
        <f t="array" ref="E441">E$391*$L441</f>
        <v>0</v>
      </c>
      <c r="F441" s="30">
        <f t="array" ref="F441">F$391*$L441</f>
        <v>0</v>
      </c>
      <c r="G441" s="30">
        <f t="array" ref="G441">G$391*$L441</f>
        <v>0</v>
      </c>
      <c r="H441" s="29">
        <f t="array" ref="H441">E441+D441</f>
        <v>0</v>
      </c>
      <c r="I441" s="29">
        <f t="array" ref="I441">G441+F441</f>
        <v>0</v>
      </c>
      <c r="J441" s="29">
        <f t="array" ref="J441">D441+F441</f>
        <v>0</v>
      </c>
      <c r="K441" s="29">
        <f t="array" ref="K441">E441+G441</f>
        <v>0</v>
      </c>
      <c r="L441" s="1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21" t="s">
        <v>536</v>
      </c>
      <c r="B442" s="22" t="s">
        <v>145</v>
      </c>
      <c r="C442" s="30">
        <f t="array" ref="C442">D442+E442+F442+G442</f>
        <v>0</v>
      </c>
      <c r="D442" s="30">
        <f t="array" ref="D442">D$391*$L442</f>
        <v>0</v>
      </c>
      <c r="E442" s="30">
        <f t="array" ref="E442">E$391*$L442</f>
        <v>0</v>
      </c>
      <c r="F442" s="30">
        <f t="array" ref="F442">F$391*$L442</f>
        <v>0</v>
      </c>
      <c r="G442" s="30">
        <f t="array" ref="G442">G$391*$L442</f>
        <v>0</v>
      </c>
      <c r="H442" s="29">
        <f t="array" ref="H442">E442+D442</f>
        <v>0</v>
      </c>
      <c r="I442" s="29">
        <f t="array" ref="I442">G442+F442</f>
        <v>0</v>
      </c>
      <c r="J442" s="29">
        <f t="array" ref="J442">D442+F442</f>
        <v>0</v>
      </c>
      <c r="K442" s="29">
        <f t="array" ref="K442">E442+G442</f>
        <v>0</v>
      </c>
      <c r="L442" s="1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21" t="s">
        <v>537</v>
      </c>
      <c r="B443" s="22" t="s">
        <v>147</v>
      </c>
      <c r="C443" s="30">
        <f t="array" ref="C443">D443+E443+F443+G443</f>
        <v>0</v>
      </c>
      <c r="D443" s="30">
        <f t="array" ref="D443">D$391*$L443</f>
        <v>0</v>
      </c>
      <c r="E443" s="30">
        <f t="array" ref="E443">E$391*$L443</f>
        <v>0</v>
      </c>
      <c r="F443" s="30">
        <f t="array" ref="F443">F$391*$L443</f>
        <v>0</v>
      </c>
      <c r="G443" s="30">
        <f t="array" ref="G443">G$391*$L443</f>
        <v>0</v>
      </c>
      <c r="H443" s="29">
        <f t="array" ref="H443">E443+D443</f>
        <v>0</v>
      </c>
      <c r="I443" s="29">
        <f t="array" ref="I443">G443+F443</f>
        <v>0</v>
      </c>
      <c r="J443" s="29">
        <f t="array" ref="J443">D443+F443</f>
        <v>0</v>
      </c>
      <c r="K443" s="29">
        <f t="array" ref="K443">E443+G443</f>
        <v>0</v>
      </c>
      <c r="L443" s="1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21" t="s">
        <v>538</v>
      </c>
      <c r="B444" s="22" t="s">
        <v>149</v>
      </c>
      <c r="C444" s="30">
        <f t="array" ref="C444">D444+E444+F444+G444</f>
        <v>0</v>
      </c>
      <c r="D444" s="30">
        <f t="array" ref="D444">D$391*$L444</f>
        <v>0</v>
      </c>
      <c r="E444" s="30">
        <f t="array" ref="E444">E$391*$L444</f>
        <v>0</v>
      </c>
      <c r="F444" s="30">
        <f t="array" ref="F444">F$391*$L444</f>
        <v>0</v>
      </c>
      <c r="G444" s="30">
        <f t="array" ref="G444">G$391*$L444</f>
        <v>0</v>
      </c>
      <c r="H444" s="29">
        <f t="array" ref="H444">E444+D444</f>
        <v>0</v>
      </c>
      <c r="I444" s="29">
        <f t="array" ref="I444">G444+F444</f>
        <v>0</v>
      </c>
      <c r="J444" s="29">
        <f t="array" ref="J444">D444+F444</f>
        <v>0</v>
      </c>
      <c r="K444" s="29">
        <f t="array" ref="K444">E444+G444</f>
        <v>0</v>
      </c>
      <c r="L444" s="1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21" t="s">
        <v>539</v>
      </c>
      <c r="B445" s="22" t="s">
        <v>151</v>
      </c>
      <c r="C445" s="30">
        <f t="array" ref="C445">D445+E445+F445+G445</f>
        <v>0</v>
      </c>
      <c r="D445" s="30">
        <f t="array" ref="D445">D$391*$L445</f>
        <v>0</v>
      </c>
      <c r="E445" s="30">
        <f t="array" ref="E445">E$391*$L445</f>
        <v>0</v>
      </c>
      <c r="F445" s="30">
        <f t="array" ref="F445">F$391*$L445</f>
        <v>0</v>
      </c>
      <c r="G445" s="30">
        <f t="array" ref="G445">G$391*$L445</f>
        <v>0</v>
      </c>
      <c r="H445" s="29">
        <f t="array" ref="H445">E445+D445</f>
        <v>0</v>
      </c>
      <c r="I445" s="29">
        <f t="array" ref="I445">G445+F445</f>
        <v>0</v>
      </c>
      <c r="J445" s="29">
        <f t="array" ref="J445">D445+F445</f>
        <v>0</v>
      </c>
      <c r="K445" s="29">
        <f t="array" ref="K445">E445+G445</f>
        <v>0</v>
      </c>
      <c r="L445" s="1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21" t="s">
        <v>540</v>
      </c>
      <c r="B446" s="22" t="s">
        <v>153</v>
      </c>
      <c r="C446" s="30">
        <f t="array" ref="C446">D446+E446+F446+G446</f>
        <v>0</v>
      </c>
      <c r="D446" s="30">
        <f t="array" ref="D446">D$391*$L446</f>
        <v>0</v>
      </c>
      <c r="E446" s="30">
        <f t="array" ref="E446">E$391*$L446</f>
        <v>0</v>
      </c>
      <c r="F446" s="30">
        <f t="array" ref="F446">F$391*$L446</f>
        <v>0</v>
      </c>
      <c r="G446" s="30">
        <f t="array" ref="G446">G$391*$L446</f>
        <v>0</v>
      </c>
      <c r="H446" s="29">
        <f t="array" ref="H446">E446+D446</f>
        <v>0</v>
      </c>
      <c r="I446" s="29">
        <f t="array" ref="I446">G446+F446</f>
        <v>0</v>
      </c>
      <c r="J446" s="29">
        <f t="array" ref="J446">D446+F446</f>
        <v>0</v>
      </c>
      <c r="K446" s="29">
        <f t="array" ref="K446">E446+G446</f>
        <v>0</v>
      </c>
      <c r="L446" s="1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21" t="s">
        <v>541</v>
      </c>
      <c r="B447" s="22" t="s">
        <v>155</v>
      </c>
      <c r="C447" s="30">
        <f t="array" ref="C447">D447+E447+F447+G447</f>
        <v>0</v>
      </c>
      <c r="D447" s="30">
        <f t="array" ref="D447">D$391*$L447</f>
        <v>0</v>
      </c>
      <c r="E447" s="30">
        <f t="array" ref="E447">E$391*$L447</f>
        <v>0</v>
      </c>
      <c r="F447" s="30">
        <f t="array" ref="F447">F$391*$L447</f>
        <v>0</v>
      </c>
      <c r="G447" s="30">
        <f t="array" ref="G447">G$391*$L447</f>
        <v>0</v>
      </c>
      <c r="H447" s="29">
        <f t="array" ref="H447">E447+D447</f>
        <v>0</v>
      </c>
      <c r="I447" s="29">
        <f t="array" ref="I447">G447+F447</f>
        <v>0</v>
      </c>
      <c r="J447" s="29">
        <f t="array" ref="J447">D447+F447</f>
        <v>0</v>
      </c>
      <c r="K447" s="29">
        <f t="array" ref="K447">E447+G447</f>
        <v>0</v>
      </c>
      <c r="L447" s="1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21" t="s">
        <v>542</v>
      </c>
      <c r="B448" s="22" t="s">
        <v>157</v>
      </c>
      <c r="C448" s="30">
        <f t="array" ref="C448">D448+E448+F448+G448</f>
        <v>0</v>
      </c>
      <c r="D448" s="30">
        <f t="array" ref="D448">D$391*$L448</f>
        <v>0</v>
      </c>
      <c r="E448" s="30">
        <f t="array" ref="E448">E$391*$L448</f>
        <v>0</v>
      </c>
      <c r="F448" s="30">
        <f t="array" ref="F448">F$391*$L448</f>
        <v>0</v>
      </c>
      <c r="G448" s="30">
        <f t="array" ref="G448">G$391*$L448</f>
        <v>0</v>
      </c>
      <c r="H448" s="29">
        <f t="array" ref="H448">E448+D448</f>
        <v>0</v>
      </c>
      <c r="I448" s="29">
        <f t="array" ref="I448">G448+F448</f>
        <v>0</v>
      </c>
      <c r="J448" s="29">
        <f t="array" ref="J448">D448+F448</f>
        <v>0</v>
      </c>
      <c r="K448" s="29">
        <f t="array" ref="K448">E448+G448</f>
        <v>0</v>
      </c>
      <c r="L448" s="1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21" t="s">
        <v>543</v>
      </c>
      <c r="B449" s="22" t="s">
        <v>159</v>
      </c>
      <c r="C449" s="30">
        <f t="array" ref="C449">D449+E449+F449+G449</f>
        <v>0</v>
      </c>
      <c r="D449" s="30">
        <f t="array" ref="D449">D$391*$L449</f>
        <v>0</v>
      </c>
      <c r="E449" s="30">
        <f t="array" ref="E449">E$391*$L449</f>
        <v>0</v>
      </c>
      <c r="F449" s="30">
        <f t="array" ref="F449">F$391*$L449</f>
        <v>0</v>
      </c>
      <c r="G449" s="30">
        <f t="array" ref="G449">G$391*$L449</f>
        <v>0</v>
      </c>
      <c r="H449" s="29">
        <f t="array" ref="H449">E449+D449</f>
        <v>0</v>
      </c>
      <c r="I449" s="29">
        <f t="array" ref="I449">G449+F449</f>
        <v>0</v>
      </c>
      <c r="J449" s="29">
        <f t="array" ref="J449">D449+F449</f>
        <v>0</v>
      </c>
      <c r="K449" s="29">
        <f t="array" ref="K449">E449+G449</f>
        <v>0</v>
      </c>
      <c r="L449" s="1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21" t="s">
        <v>544</v>
      </c>
      <c r="B450" s="22" t="s">
        <v>161</v>
      </c>
      <c r="C450" s="30">
        <f t="array" ref="C450">D450+E450+F450+G450</f>
        <v>0</v>
      </c>
      <c r="D450" s="30">
        <f t="array" ref="D450">D$391*$L450</f>
        <v>0</v>
      </c>
      <c r="E450" s="30">
        <f t="array" ref="E450">E$391*$L450</f>
        <v>0</v>
      </c>
      <c r="F450" s="30">
        <f t="array" ref="F450">F$391*$L450</f>
        <v>0</v>
      </c>
      <c r="G450" s="30">
        <f t="array" ref="G450">G$391*$L450</f>
        <v>0</v>
      </c>
      <c r="H450" s="29">
        <f t="array" ref="H450">E450+D450</f>
        <v>0</v>
      </c>
      <c r="I450" s="29">
        <f t="array" ref="I450">G450+F450</f>
        <v>0</v>
      </c>
      <c r="J450" s="29">
        <f t="array" ref="J450">D450+F450</f>
        <v>0</v>
      </c>
      <c r="K450" s="29">
        <f t="array" ref="K450">E450+G450</f>
        <v>0</v>
      </c>
      <c r="L450" s="1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21" t="s">
        <v>545</v>
      </c>
      <c r="B451" s="22" t="s">
        <v>163</v>
      </c>
      <c r="C451" s="30">
        <f t="array" ref="C451">D451+E451+F451+G451</f>
        <v>0</v>
      </c>
      <c r="D451" s="30">
        <f t="array" ref="D451">D$391*$L451</f>
        <v>0</v>
      </c>
      <c r="E451" s="30">
        <f t="array" ref="E451">E$391*$L451</f>
        <v>0</v>
      </c>
      <c r="F451" s="30">
        <f t="array" ref="F451">F$391*$L451</f>
        <v>0</v>
      </c>
      <c r="G451" s="30">
        <f t="array" ref="G451">G$391*$L451</f>
        <v>0</v>
      </c>
      <c r="H451" s="29">
        <f t="array" ref="H451">E451+D451</f>
        <v>0</v>
      </c>
      <c r="I451" s="29">
        <f t="array" ref="I451">G451+F451</f>
        <v>0</v>
      </c>
      <c r="J451" s="29">
        <f t="array" ref="J451">D451+F451</f>
        <v>0</v>
      </c>
      <c r="K451" s="29">
        <f t="array" ref="K451">E451+G451</f>
        <v>0</v>
      </c>
      <c r="L451" s="1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21" t="s">
        <v>546</v>
      </c>
      <c r="B452" s="22" t="s">
        <v>165</v>
      </c>
      <c r="C452" s="30">
        <f t="array" ref="C452">D452+E452+F452+G452</f>
        <v>0</v>
      </c>
      <c r="D452" s="30">
        <f t="array" ref="D452">D$391*$L452</f>
        <v>0</v>
      </c>
      <c r="E452" s="30">
        <f t="array" ref="E452">E$391*$L452</f>
        <v>0</v>
      </c>
      <c r="F452" s="30">
        <f t="array" ref="F452">F$391*$L452</f>
        <v>0</v>
      </c>
      <c r="G452" s="30">
        <f t="array" ref="G452">G$391*$L452</f>
        <v>0</v>
      </c>
      <c r="H452" s="29">
        <f t="array" ref="H452">E452+D452</f>
        <v>0</v>
      </c>
      <c r="I452" s="29">
        <f t="array" ref="I452">G452+F452</f>
        <v>0</v>
      </c>
      <c r="J452" s="29">
        <f t="array" ref="J452">D452+F452</f>
        <v>0</v>
      </c>
      <c r="K452" s="29">
        <f t="array" ref="K452">E452+G452</f>
        <v>0</v>
      </c>
      <c r="L452" s="1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21" t="s">
        <v>547</v>
      </c>
      <c r="B453" s="22" t="s">
        <v>167</v>
      </c>
      <c r="C453" s="30">
        <f t="array" ref="C453">D453+E453+F453+G453</f>
        <v>0</v>
      </c>
      <c r="D453" s="30">
        <f t="array" ref="D453">D$391*$L453</f>
        <v>0</v>
      </c>
      <c r="E453" s="30">
        <f t="array" ref="E453">E$391*$L453</f>
        <v>0</v>
      </c>
      <c r="F453" s="30">
        <f t="array" ref="F453">F$391*$L453</f>
        <v>0</v>
      </c>
      <c r="G453" s="30">
        <f t="array" ref="G453">G$391*$L453</f>
        <v>0</v>
      </c>
      <c r="H453" s="29">
        <f t="array" ref="H453">E453+D453</f>
        <v>0</v>
      </c>
      <c r="I453" s="29">
        <f t="array" ref="I453">G453+F453</f>
        <v>0</v>
      </c>
      <c r="J453" s="29">
        <f t="array" ref="J453">D453+F453</f>
        <v>0</v>
      </c>
      <c r="K453" s="29">
        <f t="array" ref="K453">E453+G453</f>
        <v>0</v>
      </c>
      <c r="L453" s="1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21" t="s">
        <v>548</v>
      </c>
      <c r="B454" s="22" t="s">
        <v>169</v>
      </c>
      <c r="C454" s="30">
        <f t="array" ref="C454">D454+E454+F454+G454</f>
        <v>0</v>
      </c>
      <c r="D454" s="30">
        <f t="array" ref="D454">D$391*$L454</f>
        <v>0</v>
      </c>
      <c r="E454" s="30">
        <f t="array" ref="E454">E$391*$L454</f>
        <v>0</v>
      </c>
      <c r="F454" s="30">
        <f t="array" ref="F454">F$391*$L454</f>
        <v>0</v>
      </c>
      <c r="G454" s="30">
        <f t="array" ref="G454">G$391*$L454</f>
        <v>0</v>
      </c>
      <c r="H454" s="29">
        <f t="array" ref="H454">E454+D454</f>
        <v>0</v>
      </c>
      <c r="I454" s="29">
        <f t="array" ref="I454">G454+F454</f>
        <v>0</v>
      </c>
      <c r="J454" s="29">
        <f t="array" ref="J454">D454+F454</f>
        <v>0</v>
      </c>
      <c r="K454" s="29">
        <f t="array" ref="K454">E454+G454</f>
        <v>0</v>
      </c>
      <c r="L454" s="1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21" t="s">
        <v>549</v>
      </c>
      <c r="B455" s="22" t="s">
        <v>171</v>
      </c>
      <c r="C455" s="30">
        <f t="array" ref="C455">D455+E455+F455+G455</f>
        <v>0</v>
      </c>
      <c r="D455" s="30">
        <f t="array" ref="D455">D$391*$L455</f>
        <v>0</v>
      </c>
      <c r="E455" s="30">
        <f t="array" ref="E455">E$391*$L455</f>
        <v>0</v>
      </c>
      <c r="F455" s="30">
        <f t="array" ref="F455">F$391*$L455</f>
        <v>0</v>
      </c>
      <c r="G455" s="30">
        <f t="array" ref="G455">G$391*$L455</f>
        <v>0</v>
      </c>
      <c r="H455" s="29">
        <f t="array" ref="H455">E455+D455</f>
        <v>0</v>
      </c>
      <c r="I455" s="29">
        <f t="array" ref="I455">G455+F455</f>
        <v>0</v>
      </c>
      <c r="J455" s="29">
        <f t="array" ref="J455">D455+F455</f>
        <v>0</v>
      </c>
      <c r="K455" s="29">
        <f t="array" ref="K455">E455+G455</f>
        <v>0</v>
      </c>
      <c r="L455" s="1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21" t="s">
        <v>550</v>
      </c>
      <c r="B456" s="22" t="s">
        <v>173</v>
      </c>
      <c r="C456" s="30">
        <f t="array" ref="C456">D456+E456+F456+G456</f>
        <v>0</v>
      </c>
      <c r="D456" s="30">
        <f t="array" ref="D456">D$391*$L456</f>
        <v>0</v>
      </c>
      <c r="E456" s="30">
        <f t="array" ref="E456">E$391*$L456</f>
        <v>0</v>
      </c>
      <c r="F456" s="30">
        <f t="array" ref="F456">F$391*$L456</f>
        <v>0</v>
      </c>
      <c r="G456" s="30">
        <f t="array" ref="G456">G$391*$L456</f>
        <v>0</v>
      </c>
      <c r="H456" s="29">
        <f t="array" ref="H456">E456+D456</f>
        <v>0</v>
      </c>
      <c r="I456" s="29">
        <f t="array" ref="I456">G456+F456</f>
        <v>0</v>
      </c>
      <c r="J456" s="29">
        <f t="array" ref="J456">D456+F456</f>
        <v>0</v>
      </c>
      <c r="K456" s="29">
        <f t="array" ref="K456">E456+G456</f>
        <v>0</v>
      </c>
      <c r="L456" s="1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21" t="s">
        <v>551</v>
      </c>
      <c r="B457" s="22" t="s">
        <v>175</v>
      </c>
      <c r="C457" s="30">
        <f t="array" ref="C457">D457+E457+F457+G457</f>
        <v>0</v>
      </c>
      <c r="D457" s="30">
        <f t="array" ref="D457">D$391*$L457</f>
        <v>0</v>
      </c>
      <c r="E457" s="30">
        <f t="array" ref="E457">E$391*$L457</f>
        <v>0</v>
      </c>
      <c r="F457" s="30">
        <f t="array" ref="F457">F$391*$L457</f>
        <v>0</v>
      </c>
      <c r="G457" s="30">
        <f t="array" ref="G457">G$391*$L457</f>
        <v>0</v>
      </c>
      <c r="H457" s="29">
        <f t="array" ref="H457">E457+D457</f>
        <v>0</v>
      </c>
      <c r="I457" s="29">
        <f t="array" ref="I457">G457+F457</f>
        <v>0</v>
      </c>
      <c r="J457" s="29">
        <f t="array" ref="J457">D457+F457</f>
        <v>0</v>
      </c>
      <c r="K457" s="29">
        <f t="array" ref="K457">E457+G457</f>
        <v>0</v>
      </c>
      <c r="L457" s="1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21" t="s">
        <v>552</v>
      </c>
      <c r="B458" s="22" t="s">
        <v>177</v>
      </c>
      <c r="C458" s="30">
        <f t="array" ref="C458">D458+E458+F458+G458</f>
        <v>0</v>
      </c>
      <c r="D458" s="30">
        <f t="array" ref="D458">D$391*$L458</f>
        <v>0</v>
      </c>
      <c r="E458" s="30">
        <f t="array" ref="E458">E$391*$L458</f>
        <v>0</v>
      </c>
      <c r="F458" s="30">
        <f t="array" ref="F458">F$391*$L458</f>
        <v>0</v>
      </c>
      <c r="G458" s="30">
        <f t="array" ref="G458">G$391*$L458</f>
        <v>0</v>
      </c>
      <c r="H458" s="29">
        <f t="array" ref="H458">E458+D458</f>
        <v>0</v>
      </c>
      <c r="I458" s="29">
        <f t="array" ref="I458">G458+F458</f>
        <v>0</v>
      </c>
      <c r="J458" s="29">
        <f t="array" ref="J458">D458+F458</f>
        <v>0</v>
      </c>
      <c r="K458" s="29">
        <f t="array" ref="K458">E458+G458</f>
        <v>0</v>
      </c>
      <c r="L458" s="1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21" t="s">
        <v>553</v>
      </c>
      <c r="B459" s="22" t="s">
        <v>179</v>
      </c>
      <c r="C459" s="30">
        <f t="array" ref="C459">D459+E459+F459+G459</f>
        <v>0</v>
      </c>
      <c r="D459" s="30">
        <f t="array" ref="D459">D$391*$L459</f>
        <v>0</v>
      </c>
      <c r="E459" s="30">
        <f t="array" ref="E459">E$391*$L459</f>
        <v>0</v>
      </c>
      <c r="F459" s="30">
        <f t="array" ref="F459">F$391*$L459</f>
        <v>0</v>
      </c>
      <c r="G459" s="30">
        <f t="array" ref="G459">G$391*$L459</f>
        <v>0</v>
      </c>
      <c r="H459" s="29">
        <f t="array" ref="H459">E459+D459</f>
        <v>0</v>
      </c>
      <c r="I459" s="29">
        <f t="array" ref="I459">G459+F459</f>
        <v>0</v>
      </c>
      <c r="J459" s="29">
        <f t="array" ref="J459">D459+F459</f>
        <v>0</v>
      </c>
      <c r="K459" s="29">
        <f t="array" ref="K459">E459+G459</f>
        <v>0</v>
      </c>
      <c r="L459" s="1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21" t="s">
        <v>554</v>
      </c>
      <c r="B460" s="22" t="s">
        <v>181</v>
      </c>
      <c r="C460" s="30">
        <f t="array" ref="C460">D460+E460+F460+G460</f>
        <v>0</v>
      </c>
      <c r="D460" s="30">
        <f t="array" ref="D460">D$391*$L460</f>
        <v>0</v>
      </c>
      <c r="E460" s="30">
        <f t="array" ref="E460">E$391*$L460</f>
        <v>0</v>
      </c>
      <c r="F460" s="30">
        <f t="array" ref="F460">F$391*$L460</f>
        <v>0</v>
      </c>
      <c r="G460" s="30">
        <f t="array" ref="G460">G$391*$L460</f>
        <v>0</v>
      </c>
      <c r="H460" s="29">
        <f t="array" ref="H460">E460+D460</f>
        <v>0</v>
      </c>
      <c r="I460" s="29">
        <f t="array" ref="I460">G460+F460</f>
        <v>0</v>
      </c>
      <c r="J460" s="29">
        <f t="array" ref="J460">D460+F460</f>
        <v>0</v>
      </c>
      <c r="K460" s="29">
        <f t="array" ref="K460">E460+G460</f>
        <v>0</v>
      </c>
      <c r="L460" s="1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21" t="s">
        <v>555</v>
      </c>
      <c r="B461" s="22" t="s">
        <v>183</v>
      </c>
      <c r="C461" s="30">
        <f t="array" ref="C461">D461+E461+F461+G461</f>
        <v>0</v>
      </c>
      <c r="D461" s="30">
        <f t="array" ref="D461">D$391*$L461</f>
        <v>0</v>
      </c>
      <c r="E461" s="30">
        <f t="array" ref="E461">E$391*$L461</f>
        <v>0</v>
      </c>
      <c r="F461" s="30">
        <f t="array" ref="F461">F$391*$L461</f>
        <v>0</v>
      </c>
      <c r="G461" s="30">
        <f t="array" ref="G461">G$391*$L461</f>
        <v>0</v>
      </c>
      <c r="H461" s="29">
        <f t="array" ref="H461">E461+D461</f>
        <v>0</v>
      </c>
      <c r="I461" s="29">
        <f t="array" ref="I461">G461+F461</f>
        <v>0</v>
      </c>
      <c r="J461" s="29">
        <f t="array" ref="J461">D461+F461</f>
        <v>0</v>
      </c>
      <c r="K461" s="29">
        <f t="array" ref="K461">E461+G461</f>
        <v>0</v>
      </c>
      <c r="L461" s="1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21" t="s">
        <v>556</v>
      </c>
      <c r="B462" s="22" t="s">
        <v>185</v>
      </c>
      <c r="C462" s="30">
        <f t="array" ref="C462">D462+E462+F462+G462</f>
        <v>0</v>
      </c>
      <c r="D462" s="30">
        <f t="array" ref="D462">D$391*$L462</f>
        <v>0</v>
      </c>
      <c r="E462" s="30">
        <f t="array" ref="E462">E$391*$L462</f>
        <v>0</v>
      </c>
      <c r="F462" s="30">
        <f t="array" ref="F462">F$391*$L462</f>
        <v>0</v>
      </c>
      <c r="G462" s="30">
        <f t="array" ref="G462">G$391*$L462</f>
        <v>0</v>
      </c>
      <c r="H462" s="29">
        <f t="array" ref="H462">E462+D462</f>
        <v>0</v>
      </c>
      <c r="I462" s="29">
        <f t="array" ref="I462">G462+F462</f>
        <v>0</v>
      </c>
      <c r="J462" s="29">
        <f t="array" ref="J462">D462+F462</f>
        <v>0</v>
      </c>
      <c r="K462" s="29">
        <f t="array" ref="K462">E462+G462</f>
        <v>0</v>
      </c>
      <c r="L462" s="1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21" t="s">
        <v>557</v>
      </c>
      <c r="B463" s="22" t="s">
        <v>187</v>
      </c>
      <c r="C463" s="30">
        <f t="array" ref="C463">D463+E463+F463+G463</f>
        <v>0</v>
      </c>
      <c r="D463" s="30">
        <f t="array" ref="D463">D$391*$L463</f>
        <v>0</v>
      </c>
      <c r="E463" s="30">
        <f t="array" ref="E463">E$391*$L463</f>
        <v>0</v>
      </c>
      <c r="F463" s="30">
        <f t="array" ref="F463">F$391*$L463</f>
        <v>0</v>
      </c>
      <c r="G463" s="30">
        <f t="array" ref="G463">G$391*$L463</f>
        <v>0</v>
      </c>
      <c r="H463" s="29">
        <f t="array" ref="H463">E463+D463</f>
        <v>0</v>
      </c>
      <c r="I463" s="29">
        <f t="array" ref="I463">G463+F463</f>
        <v>0</v>
      </c>
      <c r="J463" s="29">
        <f t="array" ref="J463">D463+F463</f>
        <v>0</v>
      </c>
      <c r="K463" s="29">
        <f t="array" ref="K463">E463+G463</f>
        <v>0</v>
      </c>
      <c r="L463" s="1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21" t="s">
        <v>558</v>
      </c>
      <c r="B464" s="22" t="s">
        <v>189</v>
      </c>
      <c r="C464" s="30">
        <f t="array" ref="C464">D464+E464+F464+G464</f>
        <v>0</v>
      </c>
      <c r="D464" s="30">
        <f t="array" ref="D464">D$391*$L464</f>
        <v>0</v>
      </c>
      <c r="E464" s="30">
        <f t="array" ref="E464">E$391*$L464</f>
        <v>0</v>
      </c>
      <c r="F464" s="30">
        <f t="array" ref="F464">F$391*$L464</f>
        <v>0</v>
      </c>
      <c r="G464" s="30">
        <f t="array" ref="G464">G$391*$L464</f>
        <v>0</v>
      </c>
      <c r="H464" s="29">
        <f t="array" ref="H464">E464+D464</f>
        <v>0</v>
      </c>
      <c r="I464" s="29">
        <f t="array" ref="I464">G464+F464</f>
        <v>0</v>
      </c>
      <c r="J464" s="29">
        <f t="array" ref="J464">D464+F464</f>
        <v>0</v>
      </c>
      <c r="K464" s="29">
        <f t="array" ref="K464">E464+G464</f>
        <v>0</v>
      </c>
      <c r="L464" s="1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21" t="s">
        <v>559</v>
      </c>
      <c r="B465" s="22" t="s">
        <v>191</v>
      </c>
      <c r="C465" s="30">
        <f t="array" ref="C465">D465+E465+F465+G465</f>
        <v>0</v>
      </c>
      <c r="D465" s="30">
        <f t="array" ref="D465">D$391*$L465</f>
        <v>0</v>
      </c>
      <c r="E465" s="30">
        <f t="array" ref="E465">E$391*$L465</f>
        <v>0</v>
      </c>
      <c r="F465" s="30">
        <f t="array" ref="F465">F$391*$L465</f>
        <v>0</v>
      </c>
      <c r="G465" s="30">
        <f t="array" ref="G465">G$391*$L465</f>
        <v>0</v>
      </c>
      <c r="H465" s="29">
        <f t="array" ref="H465">E465+D465</f>
        <v>0</v>
      </c>
      <c r="I465" s="29">
        <f t="array" ref="I465">G465+F465</f>
        <v>0</v>
      </c>
      <c r="J465" s="29">
        <f t="array" ref="J465">D465+F465</f>
        <v>0</v>
      </c>
      <c r="K465" s="29">
        <f t="array" ref="K465">E465+G465</f>
        <v>0</v>
      </c>
      <c r="L465" s="1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21" t="s">
        <v>560</v>
      </c>
      <c r="B466" s="22" t="s">
        <v>193</v>
      </c>
      <c r="C466" s="30">
        <f t="array" ref="C466">D466+E466+F466+G466</f>
        <v>0</v>
      </c>
      <c r="D466" s="30">
        <f t="array" ref="D466">D$391*$L466</f>
        <v>0</v>
      </c>
      <c r="E466" s="30">
        <f t="array" ref="E466">E$391*$L466</f>
        <v>0</v>
      </c>
      <c r="F466" s="30">
        <f t="array" ref="F466">F$391*$L466</f>
        <v>0</v>
      </c>
      <c r="G466" s="30">
        <f t="array" ref="G466">G$391*$L466</f>
        <v>0</v>
      </c>
      <c r="H466" s="29">
        <f t="array" ref="H466">E466+D466</f>
        <v>0</v>
      </c>
      <c r="I466" s="29">
        <f t="array" ref="I466">G466+F466</f>
        <v>0</v>
      </c>
      <c r="J466" s="29">
        <f t="array" ref="J466">D466+F466</f>
        <v>0</v>
      </c>
      <c r="K466" s="29">
        <f t="array" ref="K466">E466+G466</f>
        <v>0</v>
      </c>
      <c r="L466" s="1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21" t="s">
        <v>561</v>
      </c>
      <c r="B467" s="22" t="s">
        <v>195</v>
      </c>
      <c r="C467" s="30">
        <f t="array" ref="C467">D467+E467+F467+G467</f>
        <v>0</v>
      </c>
      <c r="D467" s="30">
        <f t="array" ref="D467">D$391*$L467</f>
        <v>0</v>
      </c>
      <c r="E467" s="30">
        <f t="array" ref="E467">E$391*$L467</f>
        <v>0</v>
      </c>
      <c r="F467" s="30">
        <f t="array" ref="F467">F$391*$L467</f>
        <v>0</v>
      </c>
      <c r="G467" s="30">
        <f t="array" ref="G467">G$391*$L467</f>
        <v>0</v>
      </c>
      <c r="H467" s="29">
        <f t="array" ref="H467">E467+D467</f>
        <v>0</v>
      </c>
      <c r="I467" s="29">
        <f t="array" ref="I467">G467+F467</f>
        <v>0</v>
      </c>
      <c r="J467" s="29">
        <f t="array" ref="J467">D467+F467</f>
        <v>0</v>
      </c>
      <c r="K467" s="29">
        <f t="array" ref="K467">E467+G467</f>
        <v>0</v>
      </c>
      <c r="L467" s="1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21" t="s">
        <v>562</v>
      </c>
      <c r="B468" s="22" t="s">
        <v>197</v>
      </c>
      <c r="C468" s="30">
        <f t="array" ref="C468">D468+E468+F468+G468</f>
        <v>0</v>
      </c>
      <c r="D468" s="30">
        <f t="array" ref="D468">D$391*$L468</f>
        <v>0</v>
      </c>
      <c r="E468" s="30">
        <f t="array" ref="E468">E$391*$L468</f>
        <v>0</v>
      </c>
      <c r="F468" s="30">
        <f t="array" ref="F468">F$391*$L468</f>
        <v>0</v>
      </c>
      <c r="G468" s="30">
        <f t="array" ref="G468">G$391*$L468</f>
        <v>0</v>
      </c>
      <c r="H468" s="29">
        <f t="array" ref="H468">E468+D468</f>
        <v>0</v>
      </c>
      <c r="I468" s="29">
        <f t="array" ref="I468">G468+F468</f>
        <v>0</v>
      </c>
      <c r="J468" s="29">
        <f t="array" ref="J468">D468+F468</f>
        <v>0</v>
      </c>
      <c r="K468" s="29">
        <f t="array" ref="K468">E468+G468</f>
        <v>0</v>
      </c>
      <c r="L468" s="1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21" t="s">
        <v>563</v>
      </c>
      <c r="B469" s="22" t="s">
        <v>199</v>
      </c>
      <c r="C469" s="30">
        <f t="array" ref="C469">D469+E469+F469+G469</f>
        <v>0</v>
      </c>
      <c r="D469" s="30">
        <f t="array" ref="D469">D$391*$L469</f>
        <v>0</v>
      </c>
      <c r="E469" s="30">
        <f t="array" ref="E469">E$391*$L469</f>
        <v>0</v>
      </c>
      <c r="F469" s="30">
        <f t="array" ref="F469">F$391*$L469</f>
        <v>0</v>
      </c>
      <c r="G469" s="30">
        <f t="array" ref="G469">G$391*$L469</f>
        <v>0</v>
      </c>
      <c r="H469" s="29">
        <f t="array" ref="H469">E469+D469</f>
        <v>0</v>
      </c>
      <c r="I469" s="29">
        <f t="array" ref="I469">G469+F469</f>
        <v>0</v>
      </c>
      <c r="J469" s="29">
        <f t="array" ref="J469">D469+F469</f>
        <v>0</v>
      </c>
      <c r="K469" s="29">
        <f t="array" ref="K469">E469+G469</f>
        <v>0</v>
      </c>
      <c r="L469" s="1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21" t="s">
        <v>564</v>
      </c>
      <c r="B470" s="22" t="s">
        <v>201</v>
      </c>
      <c r="C470" s="30">
        <f t="array" ref="C470">D470+E470+F470+G470</f>
        <v>0</v>
      </c>
      <c r="D470" s="30">
        <f t="array" ref="D470">D$391*$L470</f>
        <v>0</v>
      </c>
      <c r="E470" s="30">
        <f t="array" ref="E470">E$391*$L470</f>
        <v>0</v>
      </c>
      <c r="F470" s="30">
        <f t="array" ref="F470">F$391*$L470</f>
        <v>0</v>
      </c>
      <c r="G470" s="30">
        <f t="array" ref="G470">G$391*$L470</f>
        <v>0</v>
      </c>
      <c r="H470" s="29">
        <f t="array" ref="H470">E470+D470</f>
        <v>0</v>
      </c>
      <c r="I470" s="29">
        <f t="array" ref="I470">G470+F470</f>
        <v>0</v>
      </c>
      <c r="J470" s="29">
        <f t="array" ref="J470">D470+F470</f>
        <v>0</v>
      </c>
      <c r="K470" s="29">
        <f t="array" ref="K470">E470+G470</f>
        <v>0</v>
      </c>
      <c r="L470" s="1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21" t="s">
        <v>565</v>
      </c>
      <c r="B471" s="22" t="s">
        <v>203</v>
      </c>
      <c r="C471" s="30">
        <f t="array" ref="C471">D471+E471+F471+G471</f>
        <v>0</v>
      </c>
      <c r="D471" s="30">
        <f t="array" ref="D471">D$391*$L471</f>
        <v>0</v>
      </c>
      <c r="E471" s="30">
        <f t="array" ref="E471">E$391*$L471</f>
        <v>0</v>
      </c>
      <c r="F471" s="30">
        <f t="array" ref="F471">F$391*$L471</f>
        <v>0</v>
      </c>
      <c r="G471" s="30">
        <f t="array" ref="G471">G$391*$L471</f>
        <v>0</v>
      </c>
      <c r="H471" s="29">
        <f t="array" ref="H471">E471+D471</f>
        <v>0</v>
      </c>
      <c r="I471" s="29">
        <f t="array" ref="I471">G471+F471</f>
        <v>0</v>
      </c>
      <c r="J471" s="29">
        <f t="array" ref="J471">D471+F471</f>
        <v>0</v>
      </c>
      <c r="K471" s="29">
        <f t="array" ref="K471">E471+G471</f>
        <v>0</v>
      </c>
      <c r="L471" s="1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21" t="s">
        <v>566</v>
      </c>
      <c r="B472" s="22" t="s">
        <v>205</v>
      </c>
      <c r="C472" s="30">
        <f t="array" ref="C472">D472+E472+F472+G472</f>
        <v>0</v>
      </c>
      <c r="D472" s="30">
        <f t="array" ref="D472">D$391*$L472</f>
        <v>0</v>
      </c>
      <c r="E472" s="30">
        <f t="array" ref="E472">E$391*$L472</f>
        <v>0</v>
      </c>
      <c r="F472" s="30">
        <f t="array" ref="F472">F$391*$L472</f>
        <v>0</v>
      </c>
      <c r="G472" s="30">
        <f t="array" ref="G472">G$391*$L472</f>
        <v>0</v>
      </c>
      <c r="H472" s="29">
        <f t="array" ref="H472">E472+D472</f>
        <v>0</v>
      </c>
      <c r="I472" s="29">
        <f t="array" ref="I472">G472+F472</f>
        <v>0</v>
      </c>
      <c r="J472" s="29">
        <f t="array" ref="J472">D472+F472</f>
        <v>0</v>
      </c>
      <c r="K472" s="29">
        <f t="array" ref="K472">E472+G472</f>
        <v>0</v>
      </c>
      <c r="L472" s="1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21" t="s">
        <v>567</v>
      </c>
      <c r="B473" s="22" t="s">
        <v>207</v>
      </c>
      <c r="C473" s="30">
        <f t="array" ref="C473">D473+E473+F473+G473</f>
        <v>0</v>
      </c>
      <c r="D473" s="30">
        <f t="array" ref="D473">D$391*$L473</f>
        <v>0</v>
      </c>
      <c r="E473" s="30">
        <f t="array" ref="E473">E$391*$L473</f>
        <v>0</v>
      </c>
      <c r="F473" s="30">
        <f t="array" ref="F473">F$391*$L473</f>
        <v>0</v>
      </c>
      <c r="G473" s="30">
        <f t="array" ref="G473">G$391*$L473</f>
        <v>0</v>
      </c>
      <c r="H473" s="29">
        <f t="array" ref="H473">E473+D473</f>
        <v>0</v>
      </c>
      <c r="I473" s="29">
        <f t="array" ref="I473">G473+F473</f>
        <v>0</v>
      </c>
      <c r="J473" s="29">
        <f t="array" ref="J473">D473+F473</f>
        <v>0</v>
      </c>
      <c r="K473" s="29">
        <f t="array" ref="K473">E473+G473</f>
        <v>0</v>
      </c>
      <c r="L473" s="1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21" t="s">
        <v>568</v>
      </c>
      <c r="B474" s="22" t="s">
        <v>209</v>
      </c>
      <c r="C474" s="30">
        <f t="array" ref="C474">D474+E474+F474+G474</f>
        <v>0</v>
      </c>
      <c r="D474" s="30">
        <f t="array" ref="D474">D$391*$L474</f>
        <v>0</v>
      </c>
      <c r="E474" s="30">
        <f t="array" ref="E474">E$391*$L474</f>
        <v>0</v>
      </c>
      <c r="F474" s="30">
        <f t="array" ref="F474">F$391*$L474</f>
        <v>0</v>
      </c>
      <c r="G474" s="30">
        <f t="array" ref="G474">G$391*$L474</f>
        <v>0</v>
      </c>
      <c r="H474" s="29">
        <f t="array" ref="H474">E474+D474</f>
        <v>0</v>
      </c>
      <c r="I474" s="29">
        <f t="array" ref="I474">G474+F474</f>
        <v>0</v>
      </c>
      <c r="J474" s="29">
        <f t="array" ref="J474">D474+F474</f>
        <v>0</v>
      </c>
      <c r="K474" s="29">
        <f t="array" ref="K474">E474+G474</f>
        <v>0</v>
      </c>
      <c r="L474" s="1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21" t="s">
        <v>569</v>
      </c>
      <c r="B475" s="22" t="s">
        <v>211</v>
      </c>
      <c r="C475" s="30">
        <f t="array" ref="C475">D475+E475+F475+G475</f>
        <v>0</v>
      </c>
      <c r="D475" s="30">
        <f t="array" ref="D475">D$391*$L475</f>
        <v>0</v>
      </c>
      <c r="E475" s="30">
        <f t="array" ref="E475">E$391*$L475</f>
        <v>0</v>
      </c>
      <c r="F475" s="30">
        <f t="array" ref="F475">F$391*$L475</f>
        <v>0</v>
      </c>
      <c r="G475" s="30">
        <f t="array" ref="G475">G$391*$L475</f>
        <v>0</v>
      </c>
      <c r="H475" s="29">
        <f t="array" ref="H475">E475+D475</f>
        <v>0</v>
      </c>
      <c r="I475" s="29">
        <f t="array" ref="I475">G475+F475</f>
        <v>0</v>
      </c>
      <c r="J475" s="29">
        <f t="array" ref="J475">D475+F475</f>
        <v>0</v>
      </c>
      <c r="K475" s="29">
        <f t="array" ref="K475">E475+G475</f>
        <v>0</v>
      </c>
      <c r="L475" s="1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21" t="s">
        <v>570</v>
      </c>
      <c r="B476" s="22" t="s">
        <v>213</v>
      </c>
      <c r="C476" s="30">
        <f t="array" ref="C476">D476+E476+F476+G476</f>
        <v>0</v>
      </c>
      <c r="D476" s="30">
        <f t="array" ref="D476">D$391*$L476</f>
        <v>0</v>
      </c>
      <c r="E476" s="30">
        <f t="array" ref="E476">E$391*$L476</f>
        <v>0</v>
      </c>
      <c r="F476" s="30">
        <f t="array" ref="F476">F$391*$L476</f>
        <v>0</v>
      </c>
      <c r="G476" s="30">
        <f t="array" ref="G476">G$391*$L476</f>
        <v>0</v>
      </c>
      <c r="H476" s="29">
        <f t="array" ref="H476">E476+D476</f>
        <v>0</v>
      </c>
      <c r="I476" s="29">
        <f t="array" ref="I476">G476+F476</f>
        <v>0</v>
      </c>
      <c r="J476" s="29">
        <f t="array" ref="J476">D476+F476</f>
        <v>0</v>
      </c>
      <c r="K476" s="29">
        <f t="array" ref="K476">E476+G476</f>
        <v>0</v>
      </c>
      <c r="L476" s="1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21" t="s">
        <v>571</v>
      </c>
      <c r="B477" s="22" t="s">
        <v>215</v>
      </c>
      <c r="C477" s="30">
        <f t="array" ref="C477">D477+E477+F477+G477</f>
        <v>0</v>
      </c>
      <c r="D477" s="30">
        <f t="array" ref="D477">D$391*$L477</f>
        <v>0</v>
      </c>
      <c r="E477" s="30">
        <f t="array" ref="E477">E$391*$L477</f>
        <v>0</v>
      </c>
      <c r="F477" s="30">
        <f t="array" ref="F477">F$391*$L477</f>
        <v>0</v>
      </c>
      <c r="G477" s="30">
        <f t="array" ref="G477">G$391*$L477</f>
        <v>0</v>
      </c>
      <c r="H477" s="29">
        <f t="array" ref="H477">E477+D477</f>
        <v>0</v>
      </c>
      <c r="I477" s="29">
        <f t="array" ref="I477">G477+F477</f>
        <v>0</v>
      </c>
      <c r="J477" s="29">
        <f t="array" ref="J477">D477+F477</f>
        <v>0</v>
      </c>
      <c r="K477" s="29">
        <f t="array" ref="K477">E477+G477</f>
        <v>0</v>
      </c>
      <c r="L477" s="1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21" t="s">
        <v>572</v>
      </c>
      <c r="B478" s="22" t="s">
        <v>217</v>
      </c>
      <c r="C478" s="30">
        <f t="array" ref="C478">D478+E478+F478+G478</f>
        <v>0</v>
      </c>
      <c r="D478" s="30">
        <f t="array" ref="D478">D$391*$L478</f>
        <v>0</v>
      </c>
      <c r="E478" s="30">
        <f t="array" ref="E478">E$391*$L478</f>
        <v>0</v>
      </c>
      <c r="F478" s="30">
        <f t="array" ref="F478">F$391*$L478</f>
        <v>0</v>
      </c>
      <c r="G478" s="30">
        <f t="array" ref="G478">G$391*$L478</f>
        <v>0</v>
      </c>
      <c r="H478" s="29">
        <f t="array" ref="H478">E478+D478</f>
        <v>0</v>
      </c>
      <c r="I478" s="29">
        <f t="array" ref="I478">G478+F478</f>
        <v>0</v>
      </c>
      <c r="J478" s="29">
        <f t="array" ref="J478">D478+F478</f>
        <v>0</v>
      </c>
      <c r="K478" s="29">
        <f t="array" ref="K478">E478+G478</f>
        <v>0</v>
      </c>
      <c r="L478" s="1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21" t="s">
        <v>573</v>
      </c>
      <c r="B479" s="22" t="s">
        <v>219</v>
      </c>
      <c r="C479" s="30">
        <f t="array" ref="C479">D479+E479+F479+G479</f>
        <v>0</v>
      </c>
      <c r="D479" s="30">
        <f t="array" ref="D479">D$391*$L479</f>
        <v>0</v>
      </c>
      <c r="E479" s="30">
        <f t="array" ref="E479">E$391*$L479</f>
        <v>0</v>
      </c>
      <c r="F479" s="30">
        <f t="array" ref="F479">F$391*$L479</f>
        <v>0</v>
      </c>
      <c r="G479" s="30">
        <f t="array" ref="G479">G$391*$L479</f>
        <v>0</v>
      </c>
      <c r="H479" s="29">
        <f t="array" ref="H479">E479+D479</f>
        <v>0</v>
      </c>
      <c r="I479" s="29">
        <f t="array" ref="I479">G479+F479</f>
        <v>0</v>
      </c>
      <c r="J479" s="29">
        <f t="array" ref="J479">D479+F479</f>
        <v>0</v>
      </c>
      <c r="K479" s="29">
        <f t="array" ref="K479">E479+G479</f>
        <v>0</v>
      </c>
      <c r="L479" s="1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21" t="s">
        <v>574</v>
      </c>
      <c r="B480" s="22" t="s">
        <v>221</v>
      </c>
      <c r="C480" s="30">
        <f t="array" ref="C480">D480+E480+F480+G480</f>
        <v>0</v>
      </c>
      <c r="D480" s="30">
        <f t="array" ref="D480">D$391*$L480</f>
        <v>0</v>
      </c>
      <c r="E480" s="30">
        <f t="array" ref="E480">E$391*$L480</f>
        <v>0</v>
      </c>
      <c r="F480" s="30">
        <f t="array" ref="F480">F$391*$L480</f>
        <v>0</v>
      </c>
      <c r="G480" s="30">
        <f t="array" ref="G480">G$391*$L480</f>
        <v>0</v>
      </c>
      <c r="H480" s="29">
        <f t="array" ref="H480">E480+D480</f>
        <v>0</v>
      </c>
      <c r="I480" s="29">
        <f t="array" ref="I480">G480+F480</f>
        <v>0</v>
      </c>
      <c r="J480" s="29">
        <f t="array" ref="J480">D480+F480</f>
        <v>0</v>
      </c>
      <c r="K480" s="29">
        <f t="array" ref="K480">E480+G480</f>
        <v>0</v>
      </c>
      <c r="L480" s="1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21" t="s">
        <v>575</v>
      </c>
      <c r="B481" s="22" t="s">
        <v>223</v>
      </c>
      <c r="C481" s="30">
        <f t="array" ref="C481">D481+E481+F481+G481</f>
        <v>0</v>
      </c>
      <c r="D481" s="30">
        <f t="array" ref="D481">D$391*$L481</f>
        <v>0</v>
      </c>
      <c r="E481" s="30">
        <f t="array" ref="E481">E$391*$L481</f>
        <v>0</v>
      </c>
      <c r="F481" s="30">
        <f t="array" ref="F481">F$391*$L481</f>
        <v>0</v>
      </c>
      <c r="G481" s="30">
        <f t="array" ref="G481">G$391*$L481</f>
        <v>0</v>
      </c>
      <c r="H481" s="29">
        <f t="array" ref="H481">E481+D481</f>
        <v>0</v>
      </c>
      <c r="I481" s="29">
        <f t="array" ref="I481">G481+F481</f>
        <v>0</v>
      </c>
      <c r="J481" s="29">
        <f t="array" ref="J481">D481+F481</f>
        <v>0</v>
      </c>
      <c r="K481" s="29">
        <f t="array" ref="K481">E481+G481</f>
        <v>0</v>
      </c>
      <c r="L481" s="1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21" t="s">
        <v>576</v>
      </c>
      <c r="B482" s="22" t="s">
        <v>225</v>
      </c>
      <c r="C482" s="30">
        <f t="array" ref="C482">D482+E482+F482+G482</f>
        <v>0</v>
      </c>
      <c r="D482" s="30">
        <f t="array" ref="D482">D$391*$L482</f>
        <v>0</v>
      </c>
      <c r="E482" s="30">
        <f t="array" ref="E482">E$391*$L482</f>
        <v>0</v>
      </c>
      <c r="F482" s="30">
        <f t="array" ref="F482">F$391*$L482</f>
        <v>0</v>
      </c>
      <c r="G482" s="30">
        <f t="array" ref="G482">G$391*$L482</f>
        <v>0</v>
      </c>
      <c r="H482" s="29">
        <f t="array" ref="H482">E482+D482</f>
        <v>0</v>
      </c>
      <c r="I482" s="29">
        <f t="array" ref="I482">G482+F482</f>
        <v>0</v>
      </c>
      <c r="J482" s="29">
        <f t="array" ref="J482">D482+F482</f>
        <v>0</v>
      </c>
      <c r="K482" s="29">
        <f t="array" ref="K482">E482+G482</f>
        <v>0</v>
      </c>
      <c r="L482" s="1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21" t="s">
        <v>577</v>
      </c>
      <c r="B483" s="22" t="s">
        <v>227</v>
      </c>
      <c r="C483" s="30">
        <f t="array" ref="C483">D483+E483+F483+G483</f>
        <v>0</v>
      </c>
      <c r="D483" s="30">
        <f t="array" ref="D483">D$391*$L483</f>
        <v>0</v>
      </c>
      <c r="E483" s="30">
        <f t="array" ref="E483">E$391*$L483</f>
        <v>0</v>
      </c>
      <c r="F483" s="30">
        <f t="array" ref="F483">F$391*$L483</f>
        <v>0</v>
      </c>
      <c r="G483" s="30">
        <f t="array" ref="G483">G$391*$L483</f>
        <v>0</v>
      </c>
      <c r="H483" s="29">
        <f t="array" ref="H483">E483+D483</f>
        <v>0</v>
      </c>
      <c r="I483" s="29">
        <f t="array" ref="I483">G483+F483</f>
        <v>0</v>
      </c>
      <c r="J483" s="29">
        <f t="array" ref="J483">D483+F483</f>
        <v>0</v>
      </c>
      <c r="K483" s="29">
        <f t="array" ref="K483">E483+G483</f>
        <v>0</v>
      </c>
      <c r="L483" s="1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21" t="s">
        <v>578</v>
      </c>
      <c r="B484" s="22" t="s">
        <v>229</v>
      </c>
      <c r="C484" s="30">
        <f t="array" ref="C484">D484+E484+F484+G484</f>
        <v>0</v>
      </c>
      <c r="D484" s="30">
        <f t="array" ref="D484">D$391*$L484</f>
        <v>0</v>
      </c>
      <c r="E484" s="30">
        <f t="array" ref="E484">E$391*$L484</f>
        <v>0</v>
      </c>
      <c r="F484" s="30">
        <f t="array" ref="F484">F$391*$L484</f>
        <v>0</v>
      </c>
      <c r="G484" s="30">
        <f t="array" ref="G484">G$391*$L484</f>
        <v>0</v>
      </c>
      <c r="H484" s="29">
        <f t="array" ref="H484">E484+D484</f>
        <v>0</v>
      </c>
      <c r="I484" s="29">
        <f t="array" ref="I484">G484+F484</f>
        <v>0</v>
      </c>
      <c r="J484" s="29">
        <f t="array" ref="J484">D484+F484</f>
        <v>0</v>
      </c>
      <c r="K484" s="29">
        <f t="array" ref="K484">E484+G484</f>
        <v>0</v>
      </c>
      <c r="L484" s="1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21" t="s">
        <v>579</v>
      </c>
      <c r="B485" s="22" t="s">
        <v>231</v>
      </c>
      <c r="C485" s="30">
        <f t="array" ref="C485">D485+E485+F485+G485</f>
        <v>0</v>
      </c>
      <c r="D485" s="30">
        <f t="array" ref="D485">D$391*$L485</f>
        <v>0</v>
      </c>
      <c r="E485" s="30">
        <f t="array" ref="E485">E$391*$L485</f>
        <v>0</v>
      </c>
      <c r="F485" s="30">
        <f t="array" ref="F485">F$391*$L485</f>
        <v>0</v>
      </c>
      <c r="G485" s="30">
        <f t="array" ref="G485">G$391*$L485</f>
        <v>0</v>
      </c>
      <c r="H485" s="29">
        <f t="array" ref="H485">E485+D485</f>
        <v>0</v>
      </c>
      <c r="I485" s="29">
        <f t="array" ref="I485">G485+F485</f>
        <v>0</v>
      </c>
      <c r="J485" s="29">
        <f t="array" ref="J485">D485+F485</f>
        <v>0</v>
      </c>
      <c r="K485" s="29">
        <f t="array" ref="K485">E485+G485</f>
        <v>0</v>
      </c>
      <c r="L485" s="1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21" t="s">
        <v>580</v>
      </c>
      <c r="B486" s="22" t="s">
        <v>233</v>
      </c>
      <c r="C486" s="30">
        <f t="array" ref="C486">D486+E486+F486+G486</f>
        <v>0</v>
      </c>
      <c r="D486" s="30">
        <f t="array" ref="D486">D$391*$L486</f>
        <v>0</v>
      </c>
      <c r="E486" s="30">
        <f t="array" ref="E486">E$391*$L486</f>
        <v>0</v>
      </c>
      <c r="F486" s="30">
        <f t="array" ref="F486">F$391*$L486</f>
        <v>0</v>
      </c>
      <c r="G486" s="30">
        <f t="array" ref="G486">G$391*$L486</f>
        <v>0</v>
      </c>
      <c r="H486" s="29">
        <f t="array" ref="H486">E486+D486</f>
        <v>0</v>
      </c>
      <c r="I486" s="29">
        <f t="array" ref="I486">G486+F486</f>
        <v>0</v>
      </c>
      <c r="J486" s="29">
        <f t="array" ref="J486">D486+F486</f>
        <v>0</v>
      </c>
      <c r="K486" s="29">
        <f t="array" ref="K486">E486+G486</f>
        <v>0</v>
      </c>
      <c r="L486" s="1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21" t="s">
        <v>581</v>
      </c>
      <c r="B487" s="22" t="s">
        <v>235</v>
      </c>
      <c r="C487" s="30">
        <f t="array" ref="C487">D487+E487+F487+G487</f>
        <v>0</v>
      </c>
      <c r="D487" s="30">
        <f t="array" ref="D487">D$391*$L487</f>
        <v>0</v>
      </c>
      <c r="E487" s="30">
        <f t="array" ref="E487">E$391*$L487</f>
        <v>0</v>
      </c>
      <c r="F487" s="30">
        <f t="array" ref="F487">F$391*$L487</f>
        <v>0</v>
      </c>
      <c r="G487" s="30">
        <f t="array" ref="G487">G$391*$L487</f>
        <v>0</v>
      </c>
      <c r="H487" s="29">
        <f t="array" ref="H487">E487+D487</f>
        <v>0</v>
      </c>
      <c r="I487" s="29">
        <f t="array" ref="I487">G487+F487</f>
        <v>0</v>
      </c>
      <c r="J487" s="29">
        <f t="array" ref="J487">D487+F487</f>
        <v>0</v>
      </c>
      <c r="K487" s="29">
        <f t="array" ref="K487">E487+G487</f>
        <v>0</v>
      </c>
      <c r="L487" s="1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21" t="s">
        <v>582</v>
      </c>
      <c r="B488" s="22" t="s">
        <v>237</v>
      </c>
      <c r="C488" s="30">
        <f t="array" ref="C488">D488+E488+F488+G488</f>
        <v>0</v>
      </c>
      <c r="D488" s="30">
        <f t="array" ref="D488">D$391*$L488</f>
        <v>0</v>
      </c>
      <c r="E488" s="30">
        <f t="array" ref="E488">E$391*$L488</f>
        <v>0</v>
      </c>
      <c r="F488" s="30">
        <f t="array" ref="F488">F$391*$L488</f>
        <v>0</v>
      </c>
      <c r="G488" s="30">
        <f t="array" ref="G488">G$391*$L488</f>
        <v>0</v>
      </c>
      <c r="H488" s="29">
        <f t="array" ref="H488">E488+D488</f>
        <v>0</v>
      </c>
      <c r="I488" s="29">
        <f t="array" ref="I488">G488+F488</f>
        <v>0</v>
      </c>
      <c r="J488" s="29">
        <f t="array" ref="J488">D488+F488</f>
        <v>0</v>
      </c>
      <c r="K488" s="29">
        <f t="array" ref="K488">E488+G488</f>
        <v>0</v>
      </c>
      <c r="L488" s="1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21" t="s">
        <v>583</v>
      </c>
      <c r="B489" s="22" t="s">
        <v>239</v>
      </c>
      <c r="C489" s="30">
        <f t="array" ref="C489">D489+E489+F489+G489</f>
        <v>0</v>
      </c>
      <c r="D489" s="30">
        <f t="array" ref="D489">D$391*$L489</f>
        <v>0</v>
      </c>
      <c r="E489" s="30">
        <f t="array" ref="E489">E$391*$L489</f>
        <v>0</v>
      </c>
      <c r="F489" s="30">
        <f t="array" ref="F489">F$391*$L489</f>
        <v>0</v>
      </c>
      <c r="G489" s="30">
        <f t="array" ref="G489">G$391*$L489</f>
        <v>0</v>
      </c>
      <c r="H489" s="29">
        <f t="array" ref="H489">E489+D489</f>
        <v>0</v>
      </c>
      <c r="I489" s="29">
        <f t="array" ref="I489">G489+F489</f>
        <v>0</v>
      </c>
      <c r="J489" s="29">
        <f t="array" ref="J489">D489+F489</f>
        <v>0</v>
      </c>
      <c r="K489" s="29">
        <f t="array" ref="K489">E489+G489</f>
        <v>0</v>
      </c>
      <c r="L489" s="1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21" t="s">
        <v>584</v>
      </c>
      <c r="B490" s="22" t="s">
        <v>241</v>
      </c>
      <c r="C490" s="30">
        <f t="array" ref="C490">D490+E490+F490+G490</f>
        <v>0</v>
      </c>
      <c r="D490" s="30">
        <f t="array" ref="D490">D$391*$L490</f>
        <v>0</v>
      </c>
      <c r="E490" s="30">
        <f t="array" ref="E490">E$391*$L490</f>
        <v>0</v>
      </c>
      <c r="F490" s="30">
        <f t="array" ref="F490">F$391*$L490</f>
        <v>0</v>
      </c>
      <c r="G490" s="30">
        <f t="array" ref="G490">G$391*$L490</f>
        <v>0</v>
      </c>
      <c r="H490" s="29">
        <f t="array" ref="H490">E490+D490</f>
        <v>0</v>
      </c>
      <c r="I490" s="29">
        <f t="array" ref="I490">G490+F490</f>
        <v>0</v>
      </c>
      <c r="J490" s="29">
        <f t="array" ref="J490">D490+F490</f>
        <v>0</v>
      </c>
      <c r="K490" s="29">
        <f t="array" ref="K490">E490+G490</f>
        <v>0</v>
      </c>
      <c r="L490" s="1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21" t="s">
        <v>585</v>
      </c>
      <c r="B491" s="22" t="s">
        <v>243</v>
      </c>
      <c r="C491" s="30">
        <f t="array" ref="C491">D491+E491+F491+G491</f>
        <v>0</v>
      </c>
      <c r="D491" s="30">
        <f t="array" ref="D491">D$391*$L491</f>
        <v>0</v>
      </c>
      <c r="E491" s="30">
        <f t="array" ref="E491">E$391*$L491</f>
        <v>0</v>
      </c>
      <c r="F491" s="30">
        <f t="array" ref="F491">F$391*$L491</f>
        <v>0</v>
      </c>
      <c r="G491" s="30">
        <f t="array" ref="G491">G$391*$L491</f>
        <v>0</v>
      </c>
      <c r="H491" s="29">
        <f t="array" ref="H491">E491+D491</f>
        <v>0</v>
      </c>
      <c r="I491" s="29">
        <f t="array" ref="I491">G491+F491</f>
        <v>0</v>
      </c>
      <c r="J491" s="29">
        <f t="array" ref="J491">D491+F491</f>
        <v>0</v>
      </c>
      <c r="K491" s="29">
        <f t="array" ref="K491">E491+G491</f>
        <v>0</v>
      </c>
      <c r="L491" s="1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21" t="s">
        <v>586</v>
      </c>
      <c r="B492" s="22" t="s">
        <v>245</v>
      </c>
      <c r="C492" s="30">
        <f t="array" ref="C492">D492+E492+F492+G492</f>
        <v>0</v>
      </c>
      <c r="D492" s="30">
        <f t="array" ref="D492">D$391*$L492</f>
        <v>0</v>
      </c>
      <c r="E492" s="30">
        <f t="array" ref="E492">E$391*$L492</f>
        <v>0</v>
      </c>
      <c r="F492" s="30">
        <f t="array" ref="F492">F$391*$L492</f>
        <v>0</v>
      </c>
      <c r="G492" s="30">
        <f t="array" ref="G492">G$391*$L492</f>
        <v>0</v>
      </c>
      <c r="H492" s="29">
        <f t="array" ref="H492">E492+D492</f>
        <v>0</v>
      </c>
      <c r="I492" s="29">
        <f t="array" ref="I492">G492+F492</f>
        <v>0</v>
      </c>
      <c r="J492" s="29">
        <f t="array" ref="J492">D492+F492</f>
        <v>0</v>
      </c>
      <c r="K492" s="29">
        <f t="array" ref="K492">E492+G492</f>
        <v>0</v>
      </c>
      <c r="L492" s="1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21" t="s">
        <v>587</v>
      </c>
      <c r="B493" s="22" t="s">
        <v>247</v>
      </c>
      <c r="C493" s="30">
        <f t="array" ref="C493">SUM(C393:C492)</f>
        <v>99848.6</v>
      </c>
      <c r="D493" s="30">
        <f t="array" ref="D493">SUM(D393:D492)</f>
        <v>13727.2</v>
      </c>
      <c r="E493" s="30">
        <f t="array" ref="E493">SUM(E393:E492)</f>
        <v>25839</v>
      </c>
      <c r="F493" s="30">
        <f t="array" ref="F493">SUM(F393:F492)</f>
        <v>29332</v>
      </c>
      <c r="G493" s="30">
        <f t="array" ref="G493">SUM(G393:G492)</f>
        <v>30950.4</v>
      </c>
      <c r="H493" s="29">
        <f t="array" ref="H493">SUM(H393:H492)</f>
        <v>39566.2</v>
      </c>
      <c r="I493" s="29">
        <f t="array" ref="I493">SUM(I393:I492)</f>
        <v>60282.4</v>
      </c>
      <c r="J493" s="29">
        <f t="array" ref="J493">SUM(J393:J492)</f>
        <v>43059.2</v>
      </c>
      <c r="K493" s="29">
        <f t="array" ref="K493">SUM(K393:K492)</f>
        <v>56789.4</v>
      </c>
      <c r="L493" s="13">
        <f t="array" ref="L493">SUM(L393:L492)</f>
        <v>1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11"/>
      <c r="B494" s="12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5.5" customHeight="1">
      <c r="A495" s="21" t="s">
        <v>588</v>
      </c>
      <c r="B495" s="22" t="s">
        <v>39</v>
      </c>
      <c r="C495" s="26" t="str">
        <f t="array" ref="C495">IF(C496="","?",C496)&amp;IF(C497="","","; downloaded "&amp;C497)&amp;IF(C498="","","; "&amp;C498)</f>
        <v>https://ec.europa.eu/eurostat/databrowser/view/migr_imm1ctz__custom_21284776/default/table; downloaded 46146; we used the 10-year average number of migrants (2015-2024); not for all countries age-related data is available so the number of migrants is binomially distributed between the age of 6 and 44 (μ=25, σ=10); numbers for 2024 not available, so we took the numbers from 2023 instead</v>
      </c>
      <c r="D495" s="25"/>
      <c r="E495" s="25"/>
      <c r="F495" s="25"/>
      <c r="G495" s="25"/>
      <c r="H495" s="25"/>
      <c r="I495" s="25"/>
      <c r="J495" s="25"/>
      <c r="K495" s="25"/>
      <c r="L495" s="25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1.5" customHeight="1">
      <c r="A496" s="11"/>
      <c r="B496" s="22" t="s">
        <v>40</v>
      </c>
      <c r="C496" s="23" t="s">
        <v>589</v>
      </c>
      <c r="D496" s="25"/>
      <c r="E496" s="25"/>
      <c r="F496" s="25"/>
      <c r="G496" s="25"/>
      <c r="H496" s="25"/>
      <c r="I496" s="25"/>
      <c r="J496" s="25"/>
      <c r="K496" s="25"/>
      <c r="L496" s="25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11"/>
      <c r="B497" s="22" t="s">
        <v>42</v>
      </c>
      <c r="C497" s="27">
        <v>46146.0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79.5" customHeight="1">
      <c r="A498" s="11"/>
      <c r="B498" s="22" t="s">
        <v>43</v>
      </c>
      <c r="C498" s="23" t="s">
        <v>590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11"/>
      <c r="B499" s="12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11"/>
      <c r="B500" s="22" t="s">
        <v>591</v>
      </c>
      <c r="C500" s="32">
        <f t="array" ref="C500">C493/C$127</f>
        <v>0.009288557239</v>
      </c>
      <c r="D500" s="32">
        <f t="array" ref="D500">D493/D$127</f>
        <v>0.002783550706</v>
      </c>
      <c r="E500" s="32">
        <f t="array" ref="E500">E493/E$127</f>
        <v>0.006045071684</v>
      </c>
      <c r="F500" s="32">
        <f t="array" ref="F500">F493/F$127</f>
        <v>0.02201720272</v>
      </c>
      <c r="G500" s="32">
        <f t="array" ref="G500">G493/G$127</f>
        <v>0.01812782676</v>
      </c>
      <c r="H500" s="32">
        <f t="array" ref="H500">H493/H$127</f>
        <v>0.004297901766</v>
      </c>
      <c r="I500" s="32">
        <f t="array" ref="I500">I493/I$127</f>
        <v>0.03905056744</v>
      </c>
      <c r="J500" s="32">
        <f t="array" ref="J500">J493/J$127</f>
        <v>0.006874322094</v>
      </c>
      <c r="K500" s="32">
        <f t="array" ref="K500">K493/K$127</f>
        <v>0.009493803886</v>
      </c>
      <c r="L500" s="1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11"/>
      <c r="B501" s="12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6.25" customHeight="1">
      <c r="A502" s="17"/>
      <c r="B502" s="18" t="s">
        <v>592</v>
      </c>
      <c r="C502" s="24" t="s">
        <v>593</v>
      </c>
      <c r="D502" s="20"/>
      <c r="E502" s="20"/>
      <c r="F502" s="20"/>
      <c r="G502" s="20"/>
      <c r="H502" s="20"/>
      <c r="I502" s="20"/>
      <c r="J502" s="20"/>
      <c r="K502" s="20"/>
      <c r="L502" s="20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11"/>
      <c r="B503" s="12" t="str">
        <f t="array" ref="B503">"Total emigration in "&amp;L503</f>
        <v>Total emigration in 2015</v>
      </c>
      <c r="C503" s="30">
        <f t="array" ref="C503">D503+E503+F503+G503</f>
        <v>40377</v>
      </c>
      <c r="D503" s="30">
        <f t="array" ref="D503">J503/J$127*D$127</f>
        <v>10684.60804</v>
      </c>
      <c r="E503" s="30">
        <f t="array" ref="E503">K503/K$127*E$127</f>
        <v>19154.8712</v>
      </c>
      <c r="F503" s="42">
        <f t="array" ref="F503">J503-D503</f>
        <v>2886.391958</v>
      </c>
      <c r="G503" s="42">
        <f t="array" ref="G503">K503-E503</f>
        <v>7651.128804</v>
      </c>
      <c r="H503" s="29">
        <f t="array" ref="H503">E503+D503</f>
        <v>29839.47924</v>
      </c>
      <c r="I503" s="43">
        <f t="array" ref="I503">G503+F503</f>
        <v>10537.52076</v>
      </c>
      <c r="J503" s="41">
        <v>13571.0</v>
      </c>
      <c r="K503" s="41">
        <v>26806.0</v>
      </c>
      <c r="L503" s="13">
        <f t="array" ref="L503">L504-1</f>
        <v>2015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11"/>
      <c r="B504" s="12" t="str">
        <f t="array" ref="B504">"Total emigration in "&amp;L504</f>
        <v>Total emigration in 2016</v>
      </c>
      <c r="C504" s="30">
        <f t="array" ref="C504">D504+E504+F504+G504</f>
        <v>38273</v>
      </c>
      <c r="D504" s="30">
        <f t="array" ref="D504">J504/J$127*D$127</f>
        <v>11623.87098</v>
      </c>
      <c r="E504" s="30">
        <f t="array" ref="E504">K504/K$127*E$127</f>
        <v>16798.92065</v>
      </c>
      <c r="F504" s="42">
        <f t="array" ref="F504">J504-D504</f>
        <v>3140.129016</v>
      </c>
      <c r="G504" s="42">
        <f t="array" ref="G504">K504-E504</f>
        <v>6710.07935</v>
      </c>
      <c r="H504" s="29">
        <f t="array" ref="H504">E504+D504</f>
        <v>28422.79163</v>
      </c>
      <c r="I504" s="43">
        <f t="array" ref="I504">G504+F504</f>
        <v>9850.208365</v>
      </c>
      <c r="J504" s="41">
        <v>14764.0</v>
      </c>
      <c r="K504" s="41">
        <v>23509.0</v>
      </c>
      <c r="L504" s="13">
        <f t="array" ref="L504">L505-1</f>
        <v>2016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11"/>
      <c r="B505" s="12" t="str">
        <f t="array" ref="B505">"Total emigration in "&amp;L505</f>
        <v>Total emigration in 2017</v>
      </c>
      <c r="C505" s="30">
        <f t="array" ref="C505">D505+E505+F505+G505</f>
        <v>31753</v>
      </c>
      <c r="D505" s="30">
        <f t="array" ref="D505">J505/J$127*D$127</f>
        <v>7702.271054</v>
      </c>
      <c r="E505" s="30">
        <f t="array" ref="E505">K505/K$127*E$127</f>
        <v>15699.19123</v>
      </c>
      <c r="F505" s="42">
        <f t="array" ref="F505">J505-D505</f>
        <v>2080.728946</v>
      </c>
      <c r="G505" s="42">
        <f t="array" ref="G505">K505-E505</f>
        <v>6270.808767</v>
      </c>
      <c r="H505" s="29">
        <f t="array" ref="H505">E505+D505</f>
        <v>23401.46229</v>
      </c>
      <c r="I505" s="43">
        <f t="array" ref="I505">G505+F505</f>
        <v>8351.537713</v>
      </c>
      <c r="J505" s="41">
        <v>9783.0</v>
      </c>
      <c r="K505" s="41">
        <v>21970.0</v>
      </c>
      <c r="L505" s="13">
        <f t="array" ref="L505">L506-1</f>
        <v>2017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11"/>
      <c r="B506" s="12" t="str">
        <f t="array" ref="B506">"Total emigration in "&amp;L506</f>
        <v>Total emigration in 2018</v>
      </c>
      <c r="C506" s="30">
        <f t="array" ref="C506">D506+E506+F506+G506</f>
        <v>31600</v>
      </c>
      <c r="D506" s="30">
        <f t="array" ref="D506">J506/J$127*D$127</f>
        <v>6628.377799</v>
      </c>
      <c r="E506" s="30">
        <f t="array" ref="E506">K506/K$127*E$127</f>
        <v>16564.54037</v>
      </c>
      <c r="F506" s="42">
        <f t="array" ref="F506">J506-D506</f>
        <v>1790.622201</v>
      </c>
      <c r="G506" s="42">
        <f t="array" ref="G506">K506-E506</f>
        <v>6616.459628</v>
      </c>
      <c r="H506" s="29">
        <f t="array" ref="H506">E506+D506</f>
        <v>23192.91817</v>
      </c>
      <c r="I506" s="43">
        <f t="array" ref="I506">G506+F506</f>
        <v>8407.08183</v>
      </c>
      <c r="J506" s="41">
        <v>8419.0</v>
      </c>
      <c r="K506" s="41">
        <v>23181.0</v>
      </c>
      <c r="L506" s="13">
        <f t="array" ref="L506">L507-1</f>
        <v>2018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11"/>
      <c r="B507" s="12" t="str">
        <f t="array" ref="B507">"Total emigration in "&amp;L507</f>
        <v>Total emigration in 2019</v>
      </c>
      <c r="C507" s="30">
        <f t="array" ref="C507">D507+E507+F507+G507</f>
        <v>28219</v>
      </c>
      <c r="D507" s="30">
        <f t="array" ref="D507">J507/J$127*D$127</f>
        <v>9470.573291</v>
      </c>
      <c r="E507" s="30">
        <f t="array" ref="E507">K507/K$127*E$127</f>
        <v>11568.95339</v>
      </c>
      <c r="F507" s="42">
        <f t="array" ref="F507">J507-D507</f>
        <v>2558.426709</v>
      </c>
      <c r="G507" s="42">
        <f t="array" ref="G507">K507-E507</f>
        <v>4621.046606</v>
      </c>
      <c r="H507" s="29">
        <f t="array" ref="H507">E507+D507</f>
        <v>21039.52668</v>
      </c>
      <c r="I507" s="43">
        <f t="array" ref="I507">G507+F507</f>
        <v>7179.473315</v>
      </c>
      <c r="J507" s="41">
        <v>12029.0</v>
      </c>
      <c r="K507" s="41">
        <v>16190.0</v>
      </c>
      <c r="L507" s="13">
        <f t="array" ref="L507">L508-1</f>
        <v>2019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11"/>
      <c r="B508" s="12" t="str">
        <f t="array" ref="B508">"Total emigration in "&amp;L508</f>
        <v>Total emigration in 2020</v>
      </c>
      <c r="C508" s="30">
        <f t="array" ref="C508">D508+E508+F508+G508</f>
        <v>25886</v>
      </c>
      <c r="D508" s="30">
        <f t="array" ref="D508">J508/J$127*D$127</f>
        <v>6244.956966</v>
      </c>
      <c r="E508" s="30">
        <f t="array" ref="E508">K508/K$127*E$127</f>
        <v>12829.46197</v>
      </c>
      <c r="F508" s="42">
        <f t="array" ref="F508">J508-D508</f>
        <v>1687.043034</v>
      </c>
      <c r="G508" s="42">
        <f t="array" ref="G508">K508-E508</f>
        <v>5124.538034</v>
      </c>
      <c r="H508" s="29">
        <f t="array" ref="H508">E508+D508</f>
        <v>19074.41893</v>
      </c>
      <c r="I508" s="43">
        <f t="array" ref="I508">G508+F508</f>
        <v>6811.581068</v>
      </c>
      <c r="J508" s="41">
        <v>7932.0</v>
      </c>
      <c r="K508" s="41">
        <v>17954.0</v>
      </c>
      <c r="L508" s="13">
        <f t="array" ref="L508">L509-1</f>
        <v>2020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11"/>
      <c r="B509" s="12" t="str">
        <f t="array" ref="B509">"Total emigration in "&amp;L509</f>
        <v>Total emigration in 2021</v>
      </c>
      <c r="C509" s="30">
        <f t="array" ref="C509">D509+E509+F509+G509</f>
        <v>25079</v>
      </c>
      <c r="D509" s="30">
        <f t="array" ref="D509">J509/J$127*D$127</f>
        <v>7726.677719</v>
      </c>
      <c r="E509" s="30">
        <f t="array" ref="E509">K509/K$127*E$127</f>
        <v>10907.97242</v>
      </c>
      <c r="F509" s="42">
        <f t="array" ref="F509">J509-D509</f>
        <v>2087.322281</v>
      </c>
      <c r="G509" s="42">
        <f t="array" ref="G509">K509-E509</f>
        <v>4357.027575</v>
      </c>
      <c r="H509" s="29">
        <f t="array" ref="H509">E509+D509</f>
        <v>18634.65014</v>
      </c>
      <c r="I509" s="43">
        <f t="array" ref="I509">G509+F509</f>
        <v>6444.349857</v>
      </c>
      <c r="J509" s="41">
        <v>9814.0</v>
      </c>
      <c r="K509" s="41">
        <v>15265.0</v>
      </c>
      <c r="L509" s="13">
        <f t="array" ref="L509">L510-1</f>
        <v>2021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11"/>
      <c r="B510" s="12" t="str">
        <f t="array" ref="B510">"Total emigration in "&amp;L510</f>
        <v>Total emigration in 2022</v>
      </c>
      <c r="C510" s="30">
        <f t="array" ref="C510">D510+E510+F510+G510</f>
        <v>30954</v>
      </c>
      <c r="D510" s="30">
        <f t="array" ref="D510">J510/J$127*D$127</f>
        <v>8628.149696</v>
      </c>
      <c r="E510" s="30">
        <f t="array" ref="E510">K510/K$127*E$127</f>
        <v>14287.90754</v>
      </c>
      <c r="F510" s="42">
        <f t="array" ref="F510">J510-D510</f>
        <v>2330.850304</v>
      </c>
      <c r="G510" s="42">
        <f t="array" ref="G510">K510-E510</f>
        <v>5707.092458</v>
      </c>
      <c r="H510" s="29">
        <f t="array" ref="H510">E510+D510</f>
        <v>22916.05724</v>
      </c>
      <c r="I510" s="43">
        <f t="array" ref="I510">G510+F510</f>
        <v>8037.942761</v>
      </c>
      <c r="J510" s="41">
        <v>10959.0</v>
      </c>
      <c r="K510" s="41">
        <v>19995.0</v>
      </c>
      <c r="L510" s="13">
        <f t="array" ref="L510">L511-1</f>
        <v>2022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11"/>
      <c r="B511" s="12" t="str">
        <f t="array" ref="B511">"Total emigration in "&amp;L511</f>
        <v>Total emigration in 2023</v>
      </c>
      <c r="C511" s="30">
        <f t="array" ref="C511">D511+E511+F511+G511</f>
        <v>33666</v>
      </c>
      <c r="D511" s="30">
        <f t="array" ref="D511">J511/J$127*D$127</f>
        <v>8618.701955</v>
      </c>
      <c r="E511" s="30">
        <f t="array" ref="E511">K511/K$127*E$127</f>
        <v>16234.40717</v>
      </c>
      <c r="F511" s="42">
        <f t="array" ref="F511">J511-D511</f>
        <v>2328.298045</v>
      </c>
      <c r="G511" s="42">
        <f t="array" ref="G511">K511-E511</f>
        <v>6484.592826</v>
      </c>
      <c r="H511" s="29">
        <f t="array" ref="H511">E511+D511</f>
        <v>24853.10913</v>
      </c>
      <c r="I511" s="43">
        <f t="array" ref="I511">G511+F511</f>
        <v>8812.890871</v>
      </c>
      <c r="J511" s="41">
        <v>10947.0</v>
      </c>
      <c r="K511" s="41">
        <v>22719.0</v>
      </c>
      <c r="L511" s="13">
        <f t="array" ref="L511">L512-1</f>
        <v>2023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11"/>
      <c r="B512" s="12" t="str">
        <f t="array" ref="B512">"Total emigration in "&amp;L512</f>
        <v>Total emigration in 2024</v>
      </c>
      <c r="C512" s="30">
        <f t="array" ref="C512">D512+E512+F512+G512</f>
        <v>33916</v>
      </c>
      <c r="D512" s="30">
        <f t="array" ref="D512">J512/J$127*D$127</f>
        <v>8735.224097</v>
      </c>
      <c r="E512" s="30">
        <f t="array" ref="E512">K512/K$127*E$127</f>
        <v>16307.29372</v>
      </c>
      <c r="F512" s="42">
        <f t="array" ref="F512">J512-D512</f>
        <v>2359.775903</v>
      </c>
      <c r="G512" s="42">
        <f t="array" ref="G512">K512-E512</f>
        <v>6513.706276</v>
      </c>
      <c r="H512" s="29">
        <f t="array" ref="H512">E512+D512</f>
        <v>25042.51782</v>
      </c>
      <c r="I512" s="43">
        <f t="array" ref="I512">G512+F512</f>
        <v>8873.482178</v>
      </c>
      <c r="J512" s="41">
        <v>11095.0</v>
      </c>
      <c r="K512" s="41">
        <v>22821.0</v>
      </c>
      <c r="L512" s="34">
        <v>2024.0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21" t="s">
        <v>594</v>
      </c>
      <c r="B513" s="22" t="s">
        <v>595</v>
      </c>
      <c r="C513" s="42">
        <f t="array" ref="C513">D513+E513+F513+G513</f>
        <v>31972.3</v>
      </c>
      <c r="D513" s="30">
        <f t="array" ref="D513">AVERAGE(D503:D512)</f>
        <v>8606.34116</v>
      </c>
      <c r="E513" s="30">
        <f t="array" ref="E513">AVERAGE(E503:E512)</f>
        <v>15035.35197</v>
      </c>
      <c r="F513" s="42">
        <f t="array" ref="F513">AVERAGE(F503:F512)</f>
        <v>2324.95884</v>
      </c>
      <c r="G513" s="42">
        <f t="array" ref="G513">AVERAGE(G503:G512)</f>
        <v>6005.648032</v>
      </c>
      <c r="H513" s="29">
        <f t="array" ref="H513">E513+D513</f>
        <v>23641.69313</v>
      </c>
      <c r="I513" s="43">
        <f t="array" ref="I513">G513+F513</f>
        <v>8330.606872</v>
      </c>
      <c r="J513" s="29">
        <f t="array" ref="J513">D513+F513</f>
        <v>10931.3</v>
      </c>
      <c r="K513" s="29">
        <f t="array" ref="K513">E513+G513</f>
        <v>21041</v>
      </c>
      <c r="L513" s="1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11"/>
      <c r="B514" s="12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11"/>
      <c r="B515" s="22" t="s">
        <v>596</v>
      </c>
      <c r="C515" s="42">
        <f t="array" ref="C515">D515+E515+F515+G515</f>
        <v>67876.3</v>
      </c>
      <c r="D515" s="42">
        <f t="array" ref="D515">D391-D513</f>
        <v>5120.85884</v>
      </c>
      <c r="E515" s="42">
        <f t="array" ref="E515">E391-E513</f>
        <v>10803.64803</v>
      </c>
      <c r="F515" s="42">
        <f t="array" ref="F515">F391-F513</f>
        <v>27007.04116</v>
      </c>
      <c r="G515" s="42">
        <f t="array" ref="G515">G391-G513</f>
        <v>24944.75197</v>
      </c>
      <c r="H515" s="43">
        <f t="array" ref="H515">E515+D515</f>
        <v>15924.50687</v>
      </c>
      <c r="I515" s="43">
        <f t="array" ref="I515">G515+F515</f>
        <v>51951.79313</v>
      </c>
      <c r="J515" s="29">
        <f t="array" ref="J515">D515+F515</f>
        <v>32127.9</v>
      </c>
      <c r="K515" s="29">
        <f t="array" ref="K515">E515+G515</f>
        <v>35748.4</v>
      </c>
      <c r="L515" s="1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11"/>
      <c r="B516" s="12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21" t="s">
        <v>597</v>
      </c>
      <c r="B517" s="22" t="s">
        <v>47</v>
      </c>
      <c r="C517" s="30">
        <f t="array" ref="C517">D517+E517+F517+G517</f>
        <v>0</v>
      </c>
      <c r="D517" s="30">
        <f t="array" ref="D517">D$513*$L517</f>
        <v>0</v>
      </c>
      <c r="E517" s="30">
        <f t="array" ref="E517">E$513*$L517</f>
        <v>0</v>
      </c>
      <c r="F517" s="30">
        <f t="array" ref="F517">F$513*$L517</f>
        <v>0</v>
      </c>
      <c r="G517" s="30">
        <f t="array" ref="G517">G$513*$L517</f>
        <v>0</v>
      </c>
      <c r="H517" s="29">
        <f t="array" ref="H517">E517+D517</f>
        <v>0</v>
      </c>
      <c r="I517" s="29">
        <f t="array" ref="I517">G517+F517</f>
        <v>0</v>
      </c>
      <c r="J517" s="29">
        <f t="array" ref="J517">D517+F517</f>
        <v>0</v>
      </c>
      <c r="K517" s="29">
        <f t="array" ref="K517">E517+G517</f>
        <v>0</v>
      </c>
      <c r="L517" s="1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21" t="s">
        <v>598</v>
      </c>
      <c r="B518" s="22" t="s">
        <v>49</v>
      </c>
      <c r="C518" s="30">
        <f t="array" ref="C518">D518+E518+F518+G518</f>
        <v>0</v>
      </c>
      <c r="D518" s="30">
        <f t="array" ref="D518">D$513*$L518</f>
        <v>0</v>
      </c>
      <c r="E518" s="30">
        <f t="array" ref="E518">E$513*$L518</f>
        <v>0</v>
      </c>
      <c r="F518" s="30">
        <f t="array" ref="F518">F$513*$L518</f>
        <v>0</v>
      </c>
      <c r="G518" s="30">
        <f t="array" ref="G518">G$513*$L518</f>
        <v>0</v>
      </c>
      <c r="H518" s="29">
        <f t="array" ref="H518">E518+D518</f>
        <v>0</v>
      </c>
      <c r="I518" s="29">
        <f t="array" ref="I518">G518+F518</f>
        <v>0</v>
      </c>
      <c r="J518" s="29">
        <f t="array" ref="J518">D518+F518</f>
        <v>0</v>
      </c>
      <c r="K518" s="29">
        <f t="array" ref="K518">E518+G518</f>
        <v>0</v>
      </c>
      <c r="L518" s="1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21" t="s">
        <v>599</v>
      </c>
      <c r="B519" s="22" t="s">
        <v>51</v>
      </c>
      <c r="C519" s="30">
        <f t="array" ref="C519">D519+E519+F519+G519</f>
        <v>0</v>
      </c>
      <c r="D519" s="30">
        <f t="array" ref="D519">D$513*$L519</f>
        <v>0</v>
      </c>
      <c r="E519" s="30">
        <f t="array" ref="E519">E$513*$L519</f>
        <v>0</v>
      </c>
      <c r="F519" s="30">
        <f t="array" ref="F519">F$513*$L519</f>
        <v>0</v>
      </c>
      <c r="G519" s="30">
        <f t="array" ref="G519">G$513*$L519</f>
        <v>0</v>
      </c>
      <c r="H519" s="29">
        <f t="array" ref="H519">E519+D519</f>
        <v>0</v>
      </c>
      <c r="I519" s="29">
        <f t="array" ref="I519">G519+F519</f>
        <v>0</v>
      </c>
      <c r="J519" s="29">
        <f t="array" ref="J519">D519+F519</f>
        <v>0</v>
      </c>
      <c r="K519" s="29">
        <f t="array" ref="K519">E519+G519</f>
        <v>0</v>
      </c>
      <c r="L519" s="1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21" t="s">
        <v>600</v>
      </c>
      <c r="B520" s="22" t="s">
        <v>53</v>
      </c>
      <c r="C520" s="30">
        <f t="array" ref="C520">D520+E520+F520+G520</f>
        <v>0</v>
      </c>
      <c r="D520" s="30">
        <f t="array" ref="D520">D$513*$L520</f>
        <v>0</v>
      </c>
      <c r="E520" s="30">
        <f t="array" ref="E520">E$513*$L520</f>
        <v>0</v>
      </c>
      <c r="F520" s="30">
        <f t="array" ref="F520">F$513*$L520</f>
        <v>0</v>
      </c>
      <c r="G520" s="30">
        <f t="array" ref="G520">G$513*$L520</f>
        <v>0</v>
      </c>
      <c r="H520" s="29">
        <f t="array" ref="H520">E520+D520</f>
        <v>0</v>
      </c>
      <c r="I520" s="29">
        <f t="array" ref="I520">G520+F520</f>
        <v>0</v>
      </c>
      <c r="J520" s="29">
        <f t="array" ref="J520">D520+F520</f>
        <v>0</v>
      </c>
      <c r="K520" s="29">
        <f t="array" ref="K520">E520+G520</f>
        <v>0</v>
      </c>
      <c r="L520" s="1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21" t="s">
        <v>601</v>
      </c>
      <c r="B521" s="22" t="s">
        <v>55</v>
      </c>
      <c r="C521" s="30">
        <f t="array" ref="C521">D521+E521+F521+G521</f>
        <v>0</v>
      </c>
      <c r="D521" s="30">
        <f t="array" ref="D521">D$513*$L521</f>
        <v>0</v>
      </c>
      <c r="E521" s="30">
        <f t="array" ref="E521">E$513*$L521</f>
        <v>0</v>
      </c>
      <c r="F521" s="30">
        <f t="array" ref="F521">F$513*$L521</f>
        <v>0</v>
      </c>
      <c r="G521" s="30">
        <f t="array" ref="G521">G$513*$L521</f>
        <v>0</v>
      </c>
      <c r="H521" s="29">
        <f t="array" ref="H521">E521+D521</f>
        <v>0</v>
      </c>
      <c r="I521" s="29">
        <f t="array" ref="I521">G521+F521</f>
        <v>0</v>
      </c>
      <c r="J521" s="29">
        <f t="array" ref="J521">D521+F521</f>
        <v>0</v>
      </c>
      <c r="K521" s="29">
        <f t="array" ref="K521">E521+G521</f>
        <v>0</v>
      </c>
      <c r="L521" s="1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21" t="s">
        <v>602</v>
      </c>
      <c r="B522" s="22" t="s">
        <v>57</v>
      </c>
      <c r="C522" s="30">
        <f t="array" ref="C522">D522+E522+F522+G522</f>
        <v>0</v>
      </c>
      <c r="D522" s="30">
        <f t="array" ref="D522">D$513*$L522</f>
        <v>0</v>
      </c>
      <c r="E522" s="30">
        <f t="array" ref="E522">E$513*$L522</f>
        <v>0</v>
      </c>
      <c r="F522" s="30">
        <f t="array" ref="F522">F$513*$L522</f>
        <v>0</v>
      </c>
      <c r="G522" s="30">
        <f t="array" ref="G522">G$513*$L522</f>
        <v>0</v>
      </c>
      <c r="H522" s="29">
        <f t="array" ref="H522">E522+D522</f>
        <v>0</v>
      </c>
      <c r="I522" s="29">
        <f t="array" ref="I522">G522+F522</f>
        <v>0</v>
      </c>
      <c r="J522" s="29">
        <f t="array" ref="J522">D522+F522</f>
        <v>0</v>
      </c>
      <c r="K522" s="29">
        <f t="array" ref="K522">E522+G522</f>
        <v>0</v>
      </c>
      <c r="L522" s="1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21" t="s">
        <v>603</v>
      </c>
      <c r="B523" s="22" t="s">
        <v>59</v>
      </c>
      <c r="C523" s="30">
        <f t="array" ref="C523">D523+E523+F523+G523</f>
        <v>221.0794324</v>
      </c>
      <c r="D523" s="30">
        <f t="array" ref="D523">D$513*$L523</f>
        <v>59.51042054</v>
      </c>
      <c r="E523" s="30">
        <f t="array" ref="E523">E$513*$L523</f>
        <v>103.9652161</v>
      </c>
      <c r="F523" s="30">
        <f t="array" ref="F523">F$513*$L523</f>
        <v>16.0764343</v>
      </c>
      <c r="G523" s="30">
        <f t="array" ref="G523">G$513*$L523</f>
        <v>41.52736143</v>
      </c>
      <c r="H523" s="29">
        <f t="array" ref="H523">E523+D523</f>
        <v>163.4756366</v>
      </c>
      <c r="I523" s="29">
        <f t="array" ref="I523">G523+F523</f>
        <v>57.60379574</v>
      </c>
      <c r="J523" s="29">
        <f t="array" ref="J523">D523+F523</f>
        <v>75.58685484</v>
      </c>
      <c r="K523" s="29">
        <f t="array" ref="K523">E523+G523</f>
        <v>145.4925775</v>
      </c>
      <c r="L523" s="13">
        <v>0.00691471781401273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21" t="s">
        <v>604</v>
      </c>
      <c r="B524" s="22" t="s">
        <v>61</v>
      </c>
      <c r="C524" s="30">
        <f t="array" ref="C524">D524+E524+F524+G524</f>
        <v>266.0071787</v>
      </c>
      <c r="D524" s="30">
        <f t="array" ref="D524">D$513*$L524</f>
        <v>71.60412392</v>
      </c>
      <c r="E524" s="30">
        <f t="array" ref="E524">E$513*$L524</f>
        <v>125.0930198</v>
      </c>
      <c r="F524" s="30">
        <f t="array" ref="F524">F$513*$L524</f>
        <v>19.34348613</v>
      </c>
      <c r="G524" s="30">
        <f t="array" ref="G524">G$513*$L524</f>
        <v>49.96654884</v>
      </c>
      <c r="H524" s="29">
        <f t="array" ref="H524">E524+D524</f>
        <v>196.6971438</v>
      </c>
      <c r="I524" s="29">
        <f t="array" ref="I524">G524+F524</f>
        <v>69.31003497</v>
      </c>
      <c r="J524" s="29">
        <f t="array" ref="J524">D524+F524</f>
        <v>90.94761005</v>
      </c>
      <c r="K524" s="29">
        <f t="array" ref="K524">E524+G524</f>
        <v>175.0595687</v>
      </c>
      <c r="L524" s="13">
        <v>0.00831992627142165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21" t="s">
        <v>605</v>
      </c>
      <c r="B525" s="22" t="s">
        <v>63</v>
      </c>
      <c r="C525" s="30">
        <f t="array" ref="C525">D525+E525+F525+G525</f>
        <v>316.880416</v>
      </c>
      <c r="D525" s="30">
        <f t="array" ref="D525">D$513*$L525</f>
        <v>85.2982415</v>
      </c>
      <c r="E525" s="30">
        <f t="array" ref="E525">E$513*$L525</f>
        <v>149.0167609</v>
      </c>
      <c r="F525" s="30">
        <f t="array" ref="F525">F$513*$L525</f>
        <v>23.04288162</v>
      </c>
      <c r="G525" s="30">
        <f t="array" ref="G525">G$513*$L525</f>
        <v>59.5225319</v>
      </c>
      <c r="H525" s="29">
        <f t="array" ref="H525">E525+D525</f>
        <v>234.3150024</v>
      </c>
      <c r="I525" s="29">
        <f t="array" ref="I525">G525+F525</f>
        <v>82.56541352</v>
      </c>
      <c r="J525" s="29">
        <f t="array" ref="J525">D525+F525</f>
        <v>108.3411231</v>
      </c>
      <c r="K525" s="29">
        <f t="array" ref="K525">E525+G525</f>
        <v>208.5392928</v>
      </c>
      <c r="L525" s="13">
        <v>0.00991109228790794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21" t="s">
        <v>606</v>
      </c>
      <c r="B526" s="22" t="s">
        <v>65</v>
      </c>
      <c r="C526" s="30">
        <f t="array" ref="C526">D526+E526+F526+G526</f>
        <v>373.7269943</v>
      </c>
      <c r="D526" s="30">
        <f t="array" ref="D526">D$513*$L526</f>
        <v>100.60027</v>
      </c>
      <c r="E526" s="30">
        <f t="array" ref="E526">E$513*$L526</f>
        <v>175.7495363</v>
      </c>
      <c r="F526" s="30">
        <f t="array" ref="F526">F$513*$L526</f>
        <v>27.176646</v>
      </c>
      <c r="G526" s="30">
        <f t="array" ref="G526">G$513*$L526</f>
        <v>70.20054196</v>
      </c>
      <c r="H526" s="29">
        <f t="array" ref="H526">E526+D526</f>
        <v>276.3498063</v>
      </c>
      <c r="I526" s="29">
        <f t="array" ref="I526">G526+F526</f>
        <v>97.37718796</v>
      </c>
      <c r="J526" s="29">
        <f t="array" ref="J526">D526+F526</f>
        <v>127.776916</v>
      </c>
      <c r="K526" s="29">
        <f t="array" ref="K526">E526+G526</f>
        <v>245.9500782</v>
      </c>
      <c r="L526" s="13">
        <v>0.0116890869364543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21" t="s">
        <v>607</v>
      </c>
      <c r="B527" s="22" t="s">
        <v>67</v>
      </c>
      <c r="C527" s="30">
        <f t="array" ref="C527">D527+E527+F527+G527</f>
        <v>436.3857523</v>
      </c>
      <c r="D527" s="30">
        <f t="array" ref="D527">D$513*$L527</f>
        <v>117.4668279</v>
      </c>
      <c r="E527" s="30">
        <f t="array" ref="E527">E$513*$L527</f>
        <v>205.2155578</v>
      </c>
      <c r="F527" s="30">
        <f t="array" ref="F527">F$513*$L527</f>
        <v>31.73305994</v>
      </c>
      <c r="G527" s="30">
        <f t="array" ref="G527">G$513*$L527</f>
        <v>81.97030663</v>
      </c>
      <c r="H527" s="29">
        <f t="array" ref="H527">E527+D527</f>
        <v>322.6823857</v>
      </c>
      <c r="I527" s="29">
        <f t="array" ref="I527">G527+F527</f>
        <v>113.7033666</v>
      </c>
      <c r="J527" s="29">
        <f t="array" ref="J527">D527+F527</f>
        <v>149.1998878</v>
      </c>
      <c r="K527" s="29">
        <f t="array" ref="K527">E527+G527</f>
        <v>287.1858645</v>
      </c>
      <c r="L527" s="13">
        <v>0.0136488695618289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21" t="s">
        <v>608</v>
      </c>
      <c r="B528" s="22" t="s">
        <v>69</v>
      </c>
      <c r="C528" s="30">
        <f t="array" ref="C528">D528+E528+F528+G528</f>
        <v>504.4796865</v>
      </c>
      <c r="D528" s="30">
        <f t="array" ref="D528">D$513*$L528</f>
        <v>135.7964329</v>
      </c>
      <c r="E528" s="30">
        <f t="array" ref="E528">E$513*$L528</f>
        <v>237.2375352</v>
      </c>
      <c r="F528" s="30">
        <f t="array" ref="F528">F$513*$L528</f>
        <v>36.68470853</v>
      </c>
      <c r="G528" s="30">
        <f t="array" ref="G528">G$513*$L528</f>
        <v>94.7610099</v>
      </c>
      <c r="H528" s="29">
        <f t="array" ref="H528">E528+D528</f>
        <v>373.0339681</v>
      </c>
      <c r="I528" s="29">
        <f t="array" ref="I528">G528+F528</f>
        <v>131.4457184</v>
      </c>
      <c r="J528" s="29">
        <f t="array" ref="J528">D528+F528</f>
        <v>172.4811414</v>
      </c>
      <c r="K528" s="29">
        <f t="array" ref="K528">E528+G528</f>
        <v>331.9985451</v>
      </c>
      <c r="L528" s="13">
        <v>0.0157786485973353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21" t="s">
        <v>609</v>
      </c>
      <c r="B529" s="22" t="s">
        <v>71</v>
      </c>
      <c r="C529" s="30">
        <f t="array" ref="C529">D529+E529+F529+G529</f>
        <v>577.3960793</v>
      </c>
      <c r="D529" s="30">
        <f t="array" ref="D529">D$513*$L529</f>
        <v>155.4241529</v>
      </c>
      <c r="E529" s="30">
        <f t="array" ref="E529">E$513*$L529</f>
        <v>271.5273307</v>
      </c>
      <c r="F529" s="30">
        <f t="array" ref="F529">F$513*$L529</f>
        <v>41.98703623</v>
      </c>
      <c r="G529" s="30">
        <f t="array" ref="G529">G$513*$L529</f>
        <v>108.4575594</v>
      </c>
      <c r="H529" s="29">
        <f t="array" ref="H529">E529+D529</f>
        <v>426.9514836</v>
      </c>
      <c r="I529" s="29">
        <f t="array" ref="I529">G529+F529</f>
        <v>150.4445957</v>
      </c>
      <c r="J529" s="29">
        <f t="array" ref="J529">D529+F529</f>
        <v>197.4111891</v>
      </c>
      <c r="K529" s="29">
        <f t="array" ref="K529">E529+G529</f>
        <v>379.9848902</v>
      </c>
      <c r="L529" s="13">
        <v>0.0180592600248171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21" t="s">
        <v>610</v>
      </c>
      <c r="B530" s="22" t="s">
        <v>73</v>
      </c>
      <c r="C530" s="30">
        <f t="array" ref="C530">D530+E530+F530+G530</f>
        <v>654.2760208</v>
      </c>
      <c r="D530" s="30">
        <f t="array" ref="D530">D$513*$L530</f>
        <v>176.1187856</v>
      </c>
      <c r="E530" s="30">
        <f t="array" ref="E530">E$513*$L530</f>
        <v>307.6810319</v>
      </c>
      <c r="F530" s="30">
        <f t="array" ref="F530">F$513*$L530</f>
        <v>47.57758491</v>
      </c>
      <c r="G530" s="30">
        <f t="array" ref="G530">G$513*$L530</f>
        <v>122.8986184</v>
      </c>
      <c r="H530" s="29">
        <f t="array" ref="H530">E530+D530</f>
        <v>483.7998175</v>
      </c>
      <c r="I530" s="29">
        <f t="array" ref="I530">G530+F530</f>
        <v>170.4762033</v>
      </c>
      <c r="J530" s="29">
        <f t="array" ref="J530">D530+F530</f>
        <v>223.6963705</v>
      </c>
      <c r="K530" s="29">
        <f t="array" ref="K530">E530+G530</f>
        <v>430.5796503</v>
      </c>
      <c r="L530" s="13">
        <v>0.020463839660522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21" t="s">
        <v>611</v>
      </c>
      <c r="B531" s="22" t="s">
        <v>75</v>
      </c>
      <c r="C531" s="30">
        <f t="array" ref="C531">D531+E531+F531+G531</f>
        <v>734.0154528</v>
      </c>
      <c r="D531" s="30">
        <f t="array" ref="D531">D$513*$L531</f>
        <v>197.5831393</v>
      </c>
      <c r="E531" s="30">
        <f t="array" ref="E531">E$513*$L531</f>
        <v>345.1794423</v>
      </c>
      <c r="F531" s="30">
        <f t="array" ref="F531">F$513*$L531</f>
        <v>53.37606977</v>
      </c>
      <c r="G531" s="30">
        <f t="array" ref="G531">G$513*$L531</f>
        <v>137.8768015</v>
      </c>
      <c r="H531" s="29">
        <f t="array" ref="H531">E531+D531</f>
        <v>542.7625816</v>
      </c>
      <c r="I531" s="29">
        <f t="array" ref="I531">G531+F531</f>
        <v>191.2528713</v>
      </c>
      <c r="J531" s="29">
        <f t="array" ref="J531">D531+F531</f>
        <v>250.9592091</v>
      </c>
      <c r="K531" s="29">
        <f t="array" ref="K531">E531+G531</f>
        <v>483.0562438</v>
      </c>
      <c r="L531" s="13">
        <v>0.0229578557950625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21" t="s">
        <v>612</v>
      </c>
      <c r="B532" s="22" t="s">
        <v>77</v>
      </c>
      <c r="C532" s="30">
        <f t="array" ref="C532">D532+E532+F532+G532</f>
        <v>815.2793239</v>
      </c>
      <c r="D532" s="30">
        <f t="array" ref="D532">D$513*$L532</f>
        <v>219.4578433</v>
      </c>
      <c r="E532" s="30">
        <f t="array" ref="E532">E$513*$L532</f>
        <v>383.3947381</v>
      </c>
      <c r="F532" s="30">
        <f t="array" ref="F532">F$513*$L532</f>
        <v>59.28540864</v>
      </c>
      <c r="G532" s="30">
        <f t="array" ref="G532">G$513*$L532</f>
        <v>153.1413338</v>
      </c>
      <c r="H532" s="29">
        <f t="array" ref="H532">E532+D532</f>
        <v>602.8525814</v>
      </c>
      <c r="I532" s="29">
        <f t="array" ref="I532">G532+F532</f>
        <v>212.4267425</v>
      </c>
      <c r="J532" s="29">
        <f t="array" ref="J532">D532+F532</f>
        <v>278.7432519</v>
      </c>
      <c r="K532" s="29">
        <f t="array" ref="K532">E532+G532</f>
        <v>536.536072</v>
      </c>
      <c r="L532" s="13">
        <v>0.0254995519211285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21" t="s">
        <v>613</v>
      </c>
      <c r="B533" s="22" t="s">
        <v>79</v>
      </c>
      <c r="C533" s="30">
        <f t="array" ref="C533">D533+E533+F533+G533</f>
        <v>896.5296973</v>
      </c>
      <c r="D533" s="30">
        <f t="array" ref="D533">D$513*$L533</f>
        <v>241.3289139</v>
      </c>
      <c r="E533" s="30">
        <f t="array" ref="E533">E$513*$L533</f>
        <v>421.6036866</v>
      </c>
      <c r="F533" s="30">
        <f t="array" ref="F533">F$513*$L533</f>
        <v>65.193766</v>
      </c>
      <c r="G533" s="30">
        <f t="array" ref="G533">G$513*$L533</f>
        <v>168.4033308</v>
      </c>
      <c r="H533" s="29">
        <f t="array" ref="H533">E533+D533</f>
        <v>662.9326005</v>
      </c>
      <c r="I533" s="29">
        <f t="array" ref="I533">G533+F533</f>
        <v>233.5970968</v>
      </c>
      <c r="J533" s="29">
        <f t="array" ref="J533">D533+F533</f>
        <v>306.5226799</v>
      </c>
      <c r="K533" s="29">
        <f t="array" ref="K533">E533+G533</f>
        <v>590.0070173</v>
      </c>
      <c r="L533" s="13">
        <v>0.0280408258796095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21" t="s">
        <v>614</v>
      </c>
      <c r="B534" s="22" t="s">
        <v>81</v>
      </c>
      <c r="C534" s="30">
        <f t="array" ref="C534">D534+E534+F534+G534</f>
        <v>976.0677368</v>
      </c>
      <c r="D534" s="30">
        <f t="array" ref="D534">D$513*$L534</f>
        <v>262.7390566</v>
      </c>
      <c r="E534" s="30">
        <f t="array" ref="E534">E$513*$L534</f>
        <v>459.0073898</v>
      </c>
      <c r="F534" s="30">
        <f t="array" ref="F534">F$513*$L534</f>
        <v>70.97760601</v>
      </c>
      <c r="G534" s="30">
        <f t="array" ref="G534">G$513*$L534</f>
        <v>183.3436845</v>
      </c>
      <c r="H534" s="29">
        <f t="array" ref="H534">E534+D534</f>
        <v>721.7464463</v>
      </c>
      <c r="I534" s="29">
        <f t="array" ref="I534">G534+F534</f>
        <v>254.3212905</v>
      </c>
      <c r="J534" s="29">
        <f t="array" ref="J534">D534+F534</f>
        <v>333.7166626</v>
      </c>
      <c r="K534" s="29">
        <f t="array" ref="K534">E534+G534</f>
        <v>642.3510742</v>
      </c>
      <c r="L534" s="13">
        <v>0.0305285430463022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21" t="s">
        <v>615</v>
      </c>
      <c r="B535" s="22" t="s">
        <v>83</v>
      </c>
      <c r="C535" s="30">
        <f t="array" ref="C535">D535+E535+F535+G535</f>
        <v>1052.088471</v>
      </c>
      <c r="D535" s="30">
        <f t="array" ref="D535">D$513*$L535</f>
        <v>283.2024069</v>
      </c>
      <c r="E535" s="30">
        <f t="array" ref="E535">E$513*$L535</f>
        <v>494.7570386</v>
      </c>
      <c r="F535" s="30">
        <f t="array" ref="F535">F$513*$L535</f>
        <v>76.50567495</v>
      </c>
      <c r="G535" s="30">
        <f t="array" ref="G535">G$513*$L535</f>
        <v>197.6233507</v>
      </c>
      <c r="H535" s="29">
        <f t="array" ref="H535">E535+D535</f>
        <v>777.9594455</v>
      </c>
      <c r="I535" s="29">
        <f t="array" ref="I535">G535+F535</f>
        <v>274.1290257</v>
      </c>
      <c r="J535" s="29">
        <f t="array" ref="J535">D535+F535</f>
        <v>359.7080819</v>
      </c>
      <c r="K535" s="29">
        <f t="array" ref="K535">E535+G535</f>
        <v>692.3803894</v>
      </c>
      <c r="L535" s="13">
        <v>0.0329062491973627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21" t="s">
        <v>616</v>
      </c>
      <c r="B536" s="22" t="s">
        <v>85</v>
      </c>
      <c r="C536" s="30">
        <f t="array" ref="C536">D536+E536+F536+G536</f>
        <v>1122.746194</v>
      </c>
      <c r="D536" s="30">
        <f t="array" ref="D536">D$513*$L536</f>
        <v>302.2221356</v>
      </c>
      <c r="E536" s="30">
        <f t="array" ref="E536">E$513*$L536</f>
        <v>527.9846681</v>
      </c>
      <c r="F536" s="30">
        <f t="array" ref="F536">F$513*$L536</f>
        <v>81.64375691</v>
      </c>
      <c r="G536" s="30">
        <f t="array" ref="G536">G$513*$L536</f>
        <v>210.8956338</v>
      </c>
      <c r="H536" s="29">
        <f t="array" ref="H536">E536+D536</f>
        <v>830.2068036</v>
      </c>
      <c r="I536" s="29">
        <f t="array" ref="I536">G536+F536</f>
        <v>292.5393907</v>
      </c>
      <c r="J536" s="29">
        <f t="array" ref="J536">D536+F536</f>
        <v>383.8658925</v>
      </c>
      <c r="K536" s="29">
        <f t="array" ref="K536">E536+G536</f>
        <v>738.8803019</v>
      </c>
      <c r="L536" s="13">
        <v>0.0351162160482748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21" t="s">
        <v>617</v>
      </c>
      <c r="B537" s="22" t="s">
        <v>87</v>
      </c>
      <c r="C537" s="30">
        <f t="array" ref="C537">D537+E537+F537+G537</f>
        <v>1186.22739</v>
      </c>
      <c r="D537" s="30">
        <f t="array" ref="D537">D$513*$L537</f>
        <v>319.3100783</v>
      </c>
      <c r="E537" s="30">
        <f t="array" ref="E537">E$513*$L537</f>
        <v>557.8374508</v>
      </c>
      <c r="F537" s="30">
        <f t="array" ref="F537">F$513*$L537</f>
        <v>86.25997683</v>
      </c>
      <c r="G537" s="30">
        <f t="array" ref="G537">G$513*$L537</f>
        <v>222.8198845</v>
      </c>
      <c r="H537" s="29">
        <f t="array" ref="H537">E537+D537</f>
        <v>877.1475291</v>
      </c>
      <c r="I537" s="29">
        <f t="array" ref="I537">G537+F537</f>
        <v>309.0798613</v>
      </c>
      <c r="J537" s="29">
        <f t="array" ref="J537">D537+F537</f>
        <v>405.5700551</v>
      </c>
      <c r="K537" s="29">
        <f t="array" ref="K537">E537+G537</f>
        <v>780.6573353</v>
      </c>
      <c r="L537" s="13">
        <v>0.0371017221299194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21" t="s">
        <v>618</v>
      </c>
      <c r="B538" s="22" t="s">
        <v>89</v>
      </c>
      <c r="C538" s="30">
        <f t="array" ref="C538">D538+E538+F538+G538</f>
        <v>1240.827272</v>
      </c>
      <c r="D538" s="30">
        <f t="array" ref="D538">D$513*$L538</f>
        <v>334.0073383</v>
      </c>
      <c r="E538" s="30">
        <f t="array" ref="E538">E$513*$L538</f>
        <v>583.5136904</v>
      </c>
      <c r="F538" s="30">
        <f t="array" ref="F538">F$513*$L538</f>
        <v>90.2303661</v>
      </c>
      <c r="G538" s="30">
        <f t="array" ref="G538">G$513*$L538</f>
        <v>233.0758771</v>
      </c>
      <c r="H538" s="29">
        <f t="array" ref="H538">E538+D538</f>
        <v>917.5210287</v>
      </c>
      <c r="I538" s="29">
        <f t="array" ref="I538">G538+F538</f>
        <v>323.3062432</v>
      </c>
      <c r="J538" s="29">
        <f t="array" ref="J538">D538+F538</f>
        <v>424.2377044</v>
      </c>
      <c r="K538" s="29">
        <f t="array" ref="K538">E538+G538</f>
        <v>816.5895675</v>
      </c>
      <c r="L538" s="13">
        <v>0.0388094466731873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21" t="s">
        <v>619</v>
      </c>
      <c r="B539" s="22" t="s">
        <v>91</v>
      </c>
      <c r="C539" s="30">
        <f t="array" ref="C539">D539+E539+F539+G539</f>
        <v>1285.025479</v>
      </c>
      <c r="D539" s="30">
        <f t="array" ref="D539">D$513*$L539</f>
        <v>345.9046634</v>
      </c>
      <c r="E539" s="30">
        <f t="array" ref="E539">E$513*$L539</f>
        <v>604.2984195</v>
      </c>
      <c r="F539" s="30">
        <f t="array" ref="F539">F$513*$L539</f>
        <v>93.44436733</v>
      </c>
      <c r="G539" s="30">
        <f t="array" ref="G539">G$513*$L539</f>
        <v>241.3780284</v>
      </c>
      <c r="H539" s="29">
        <f t="array" ref="H539">E539+D539</f>
        <v>950.2030829</v>
      </c>
      <c r="I539" s="29">
        <f t="array" ref="I539">G539+F539</f>
        <v>334.8223957</v>
      </c>
      <c r="J539" s="29">
        <f t="array" ref="J539">D539+F539</f>
        <v>439.3490307</v>
      </c>
      <c r="K539" s="29">
        <f t="array" ref="K539">E539+G539</f>
        <v>845.6764479</v>
      </c>
      <c r="L539" s="13">
        <v>0.0401918372661238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21" t="s">
        <v>620</v>
      </c>
      <c r="B540" s="22" t="s">
        <v>93</v>
      </c>
      <c r="C540" s="30">
        <f t="array" ref="C540">D540+E540+F540+G540</f>
        <v>1317.556274</v>
      </c>
      <c r="D540" s="30">
        <f t="array" ref="D540">D$513*$L540</f>
        <v>354.6613409</v>
      </c>
      <c r="E540" s="30">
        <f t="array" ref="E540">E$513*$L540</f>
        <v>619.5964104</v>
      </c>
      <c r="F540" s="30">
        <f t="array" ref="F540">F$513*$L540</f>
        <v>95.80993876</v>
      </c>
      <c r="G540" s="30">
        <f t="array" ref="G540">G$513*$L540</f>
        <v>247.4885836</v>
      </c>
      <c r="H540" s="29">
        <f t="array" ref="H540">E540+D540</f>
        <v>974.2577513</v>
      </c>
      <c r="I540" s="29">
        <f t="array" ref="I540">G540+F540</f>
        <v>343.2985224</v>
      </c>
      <c r="J540" s="29">
        <f t="array" ref="J540">D540+F540</f>
        <v>450.4712797</v>
      </c>
      <c r="K540" s="29">
        <f t="array" ref="K540">E540+G540</f>
        <v>867.084994</v>
      </c>
      <c r="L540" s="13">
        <v>0.0412093053576299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21" t="s">
        <v>621</v>
      </c>
      <c r="B541" s="22" t="s">
        <v>95</v>
      </c>
      <c r="C541" s="30">
        <f t="array" ref="C541">D541+E541+F541+G541</f>
        <v>1337.468721</v>
      </c>
      <c r="D541" s="30">
        <f t="array" ref="D541">D$513*$L541</f>
        <v>360.0213968</v>
      </c>
      <c r="E541" s="30">
        <f t="array" ref="E541">E$513*$L541</f>
        <v>628.960474</v>
      </c>
      <c r="F541" s="30">
        <f t="array" ref="F541">F$513*$L541</f>
        <v>97.25793031</v>
      </c>
      <c r="G541" s="30">
        <f t="array" ref="G541">G$513*$L541</f>
        <v>251.2289198</v>
      </c>
      <c r="H541" s="29">
        <f t="array" ref="H541">E541+D541</f>
        <v>988.9818708</v>
      </c>
      <c r="I541" s="29">
        <f t="array" ref="I541">G541+F541</f>
        <v>348.4868501</v>
      </c>
      <c r="J541" s="29">
        <f t="array" ref="J541">D541+F541</f>
        <v>457.2793271</v>
      </c>
      <c r="K541" s="29">
        <f t="array" ref="K541">E541+G541</f>
        <v>880.1893938</v>
      </c>
      <c r="L541" s="13">
        <v>0.0418321084469291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21" t="s">
        <v>622</v>
      </c>
      <c r="B542" s="22" t="s">
        <v>97</v>
      </c>
      <c r="C542" s="30">
        <f t="array" ref="C542">D542+E542+F542+G542</f>
        <v>1344.172856</v>
      </c>
      <c r="D542" s="30">
        <f t="array" ref="D542">D$513*$L542</f>
        <v>361.8260236</v>
      </c>
      <c r="E542" s="30">
        <f t="array" ref="E542">E$513*$L542</f>
        <v>632.1131727</v>
      </c>
      <c r="F542" s="30">
        <f t="array" ref="F542">F$513*$L542</f>
        <v>97.74544098</v>
      </c>
      <c r="G542" s="30">
        <f t="array" ref="G542">G$513*$L542</f>
        <v>252.4882184</v>
      </c>
      <c r="H542" s="29">
        <f t="array" ref="H542">E542+D542</f>
        <v>993.9391963</v>
      </c>
      <c r="I542" s="29">
        <f t="array" ref="I542">G542+F542</f>
        <v>350.2336594</v>
      </c>
      <c r="J542" s="29">
        <f t="array" ref="J542">D542+F542</f>
        <v>459.5714646</v>
      </c>
      <c r="K542" s="29">
        <f t="array" ref="K542">E542+G542</f>
        <v>884.6013911</v>
      </c>
      <c r="L542" s="13">
        <v>0.042041794168341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21" t="s">
        <v>623</v>
      </c>
      <c r="B543" s="22" t="s">
        <v>99</v>
      </c>
      <c r="C543" s="30">
        <f t="array" ref="C543">D543+E543+F543+G543</f>
        <v>1337.468721</v>
      </c>
      <c r="D543" s="30">
        <f t="array" ref="D543">D$513*$L543</f>
        <v>360.0213968</v>
      </c>
      <c r="E543" s="30">
        <f t="array" ref="E543">E$513*$L543</f>
        <v>628.960474</v>
      </c>
      <c r="F543" s="30">
        <f t="array" ref="F543">F$513*$L543</f>
        <v>97.25793031</v>
      </c>
      <c r="G543" s="30">
        <f t="array" ref="G543">G$513*$L543</f>
        <v>251.2289198</v>
      </c>
      <c r="H543" s="29">
        <f t="array" ref="H543">E543+D543</f>
        <v>988.9818708</v>
      </c>
      <c r="I543" s="29">
        <f t="array" ref="I543">G543+F543</f>
        <v>348.4868501</v>
      </c>
      <c r="J543" s="29">
        <f t="array" ref="J543">D543+F543</f>
        <v>457.2793271</v>
      </c>
      <c r="K543" s="29">
        <f t="array" ref="K543">E543+G543</f>
        <v>880.1893938</v>
      </c>
      <c r="L543" s="13">
        <v>0.0418321084469291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21" t="s">
        <v>624</v>
      </c>
      <c r="B544" s="22" t="s">
        <v>101</v>
      </c>
      <c r="C544" s="30">
        <f t="array" ref="C544">D544+E544+F544+G544</f>
        <v>1317.556274</v>
      </c>
      <c r="D544" s="30">
        <f t="array" ref="D544">D$513*$L544</f>
        <v>354.6613409</v>
      </c>
      <c r="E544" s="30">
        <f t="array" ref="E544">E$513*$L544</f>
        <v>619.5964104</v>
      </c>
      <c r="F544" s="30">
        <f t="array" ref="F544">F$513*$L544</f>
        <v>95.80993876</v>
      </c>
      <c r="G544" s="30">
        <f t="array" ref="G544">G$513*$L544</f>
        <v>247.4885836</v>
      </c>
      <c r="H544" s="29">
        <f t="array" ref="H544">E544+D544</f>
        <v>974.2577513</v>
      </c>
      <c r="I544" s="29">
        <f t="array" ref="I544">G544+F544</f>
        <v>343.2985224</v>
      </c>
      <c r="J544" s="29">
        <f t="array" ref="J544">D544+F544</f>
        <v>450.4712797</v>
      </c>
      <c r="K544" s="29">
        <f t="array" ref="K544">E544+G544</f>
        <v>867.084994</v>
      </c>
      <c r="L544" s="13">
        <v>0.0412093053576299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21" t="s">
        <v>625</v>
      </c>
      <c r="B545" s="22" t="s">
        <v>103</v>
      </c>
      <c r="C545" s="30">
        <f t="array" ref="C545">D545+E545+F545+G545</f>
        <v>1285.025479</v>
      </c>
      <c r="D545" s="30">
        <f t="array" ref="D545">D$513*$L545</f>
        <v>345.9046634</v>
      </c>
      <c r="E545" s="30">
        <f t="array" ref="E545">E$513*$L545</f>
        <v>604.2984195</v>
      </c>
      <c r="F545" s="30">
        <f t="array" ref="F545">F$513*$L545</f>
        <v>93.44436733</v>
      </c>
      <c r="G545" s="30">
        <f t="array" ref="G545">G$513*$L545</f>
        <v>241.3780284</v>
      </c>
      <c r="H545" s="29">
        <f t="array" ref="H545">E545+D545</f>
        <v>950.2030829</v>
      </c>
      <c r="I545" s="29">
        <f t="array" ref="I545">G545+F545</f>
        <v>334.8223957</v>
      </c>
      <c r="J545" s="29">
        <f t="array" ref="J545">D545+F545</f>
        <v>439.3490307</v>
      </c>
      <c r="K545" s="29">
        <f t="array" ref="K545">E545+G545</f>
        <v>845.6764479</v>
      </c>
      <c r="L545" s="13">
        <v>0.0401918372661238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21" t="s">
        <v>626</v>
      </c>
      <c r="B546" s="22" t="s">
        <v>105</v>
      </c>
      <c r="C546" s="30">
        <f t="array" ref="C546">D546+E546+F546+G546</f>
        <v>1240.827272</v>
      </c>
      <c r="D546" s="30">
        <f t="array" ref="D546">D$513*$L546</f>
        <v>334.0073383</v>
      </c>
      <c r="E546" s="30">
        <f t="array" ref="E546">E$513*$L546</f>
        <v>583.5136904</v>
      </c>
      <c r="F546" s="30">
        <f t="array" ref="F546">F$513*$L546</f>
        <v>90.2303661</v>
      </c>
      <c r="G546" s="30">
        <f t="array" ref="G546">G$513*$L546</f>
        <v>233.0758771</v>
      </c>
      <c r="H546" s="29">
        <f t="array" ref="H546">E546+D546</f>
        <v>917.5210287</v>
      </c>
      <c r="I546" s="29">
        <f t="array" ref="I546">G546+F546</f>
        <v>323.3062432</v>
      </c>
      <c r="J546" s="29">
        <f t="array" ref="J546">D546+F546</f>
        <v>424.2377044</v>
      </c>
      <c r="K546" s="29">
        <f t="array" ref="K546">E546+G546</f>
        <v>816.5895675</v>
      </c>
      <c r="L546" s="13">
        <v>0.0388094466731873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21" t="s">
        <v>627</v>
      </c>
      <c r="B547" s="22" t="s">
        <v>107</v>
      </c>
      <c r="C547" s="30">
        <f t="array" ref="C547">D547+E547+F547+G547</f>
        <v>1186.22739</v>
      </c>
      <c r="D547" s="30">
        <f t="array" ref="D547">D$513*$L547</f>
        <v>319.3100783</v>
      </c>
      <c r="E547" s="30">
        <f t="array" ref="E547">E$513*$L547</f>
        <v>557.8374508</v>
      </c>
      <c r="F547" s="30">
        <f t="array" ref="F547">F$513*$L547</f>
        <v>86.25997683</v>
      </c>
      <c r="G547" s="30">
        <f t="array" ref="G547">G$513*$L547</f>
        <v>222.8198845</v>
      </c>
      <c r="H547" s="29">
        <f t="array" ref="H547">E547+D547</f>
        <v>877.1475291</v>
      </c>
      <c r="I547" s="29">
        <f t="array" ref="I547">G547+F547</f>
        <v>309.0798613</v>
      </c>
      <c r="J547" s="29">
        <f t="array" ref="J547">D547+F547</f>
        <v>405.5700551</v>
      </c>
      <c r="K547" s="29">
        <f t="array" ref="K547">E547+G547</f>
        <v>780.6573353</v>
      </c>
      <c r="L547" s="13">
        <v>0.0371017221299194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21" t="s">
        <v>628</v>
      </c>
      <c r="B548" s="22" t="s">
        <v>109</v>
      </c>
      <c r="C548" s="30">
        <f t="array" ref="C548">D548+E548+F548+G548</f>
        <v>1122.746194</v>
      </c>
      <c r="D548" s="30">
        <f t="array" ref="D548">D$513*$L548</f>
        <v>302.2221356</v>
      </c>
      <c r="E548" s="30">
        <f t="array" ref="E548">E$513*$L548</f>
        <v>527.9846681</v>
      </c>
      <c r="F548" s="30">
        <f t="array" ref="F548">F$513*$L548</f>
        <v>81.64375691</v>
      </c>
      <c r="G548" s="30">
        <f t="array" ref="G548">G$513*$L548</f>
        <v>210.8956338</v>
      </c>
      <c r="H548" s="29">
        <f t="array" ref="H548">E548+D548</f>
        <v>830.2068036</v>
      </c>
      <c r="I548" s="29">
        <f t="array" ref="I548">G548+F548</f>
        <v>292.5393907</v>
      </c>
      <c r="J548" s="29">
        <f t="array" ref="J548">D548+F548</f>
        <v>383.8658925</v>
      </c>
      <c r="K548" s="29">
        <f t="array" ref="K548">E548+G548</f>
        <v>738.8803019</v>
      </c>
      <c r="L548" s="13">
        <v>0.0351162160482748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21" t="s">
        <v>629</v>
      </c>
      <c r="B549" s="22" t="s">
        <v>111</v>
      </c>
      <c r="C549" s="30">
        <f t="array" ref="C549">D549+E549+F549+G549</f>
        <v>1052.088471</v>
      </c>
      <c r="D549" s="30">
        <f t="array" ref="D549">D$513*$L549</f>
        <v>283.2024069</v>
      </c>
      <c r="E549" s="30">
        <f t="array" ref="E549">E$513*$L549</f>
        <v>494.7570386</v>
      </c>
      <c r="F549" s="30">
        <f t="array" ref="F549">F$513*$L549</f>
        <v>76.50567495</v>
      </c>
      <c r="G549" s="30">
        <f t="array" ref="G549">G$513*$L549</f>
        <v>197.6233507</v>
      </c>
      <c r="H549" s="29">
        <f t="array" ref="H549">E549+D549</f>
        <v>777.9594455</v>
      </c>
      <c r="I549" s="29">
        <f t="array" ref="I549">G549+F549</f>
        <v>274.1290257</v>
      </c>
      <c r="J549" s="29">
        <f t="array" ref="J549">D549+F549</f>
        <v>359.7080819</v>
      </c>
      <c r="K549" s="29">
        <f t="array" ref="K549">E549+G549</f>
        <v>692.3803894</v>
      </c>
      <c r="L549" s="13">
        <v>0.0329062491973627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21" t="s">
        <v>630</v>
      </c>
      <c r="B550" s="22" t="s">
        <v>113</v>
      </c>
      <c r="C550" s="30">
        <f t="array" ref="C550">D550+E550+F550+G550</f>
        <v>976.0677368</v>
      </c>
      <c r="D550" s="30">
        <f t="array" ref="D550">D$513*$L550</f>
        <v>262.7390566</v>
      </c>
      <c r="E550" s="30">
        <f t="array" ref="E550">E$513*$L550</f>
        <v>459.0073898</v>
      </c>
      <c r="F550" s="30">
        <f t="array" ref="F550">F$513*$L550</f>
        <v>70.97760601</v>
      </c>
      <c r="G550" s="30">
        <f t="array" ref="G550">G$513*$L550</f>
        <v>183.3436845</v>
      </c>
      <c r="H550" s="29">
        <f t="array" ref="H550">E550+D550</f>
        <v>721.7464463</v>
      </c>
      <c r="I550" s="29">
        <f t="array" ref="I550">G550+F550</f>
        <v>254.3212905</v>
      </c>
      <c r="J550" s="29">
        <f t="array" ref="J550">D550+F550</f>
        <v>333.7166626</v>
      </c>
      <c r="K550" s="29">
        <f t="array" ref="K550">E550+G550</f>
        <v>642.3510742</v>
      </c>
      <c r="L550" s="13">
        <v>0.0305285430463022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21" t="s">
        <v>631</v>
      </c>
      <c r="B551" s="22" t="s">
        <v>115</v>
      </c>
      <c r="C551" s="30">
        <f t="array" ref="C551">D551+E551+F551+G551</f>
        <v>896.5296973</v>
      </c>
      <c r="D551" s="30">
        <f t="array" ref="D551">D$513*$L551</f>
        <v>241.3289139</v>
      </c>
      <c r="E551" s="30">
        <f t="array" ref="E551">E$513*$L551</f>
        <v>421.6036866</v>
      </c>
      <c r="F551" s="30">
        <f t="array" ref="F551">F$513*$L551</f>
        <v>65.193766</v>
      </c>
      <c r="G551" s="30">
        <f t="array" ref="G551">G$513*$L551</f>
        <v>168.4033308</v>
      </c>
      <c r="H551" s="29">
        <f t="array" ref="H551">E551+D551</f>
        <v>662.9326005</v>
      </c>
      <c r="I551" s="29">
        <f t="array" ref="I551">G551+F551</f>
        <v>233.5970968</v>
      </c>
      <c r="J551" s="29">
        <f t="array" ref="J551">D551+F551</f>
        <v>306.5226799</v>
      </c>
      <c r="K551" s="29">
        <f t="array" ref="K551">E551+G551</f>
        <v>590.0070173</v>
      </c>
      <c r="L551" s="13">
        <v>0.0280408258796095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21" t="s">
        <v>632</v>
      </c>
      <c r="B552" s="22" t="s">
        <v>117</v>
      </c>
      <c r="C552" s="30">
        <f t="array" ref="C552">D552+E552+F552+G552</f>
        <v>815.2793239</v>
      </c>
      <c r="D552" s="30">
        <f t="array" ref="D552">D$513*$L552</f>
        <v>219.4578433</v>
      </c>
      <c r="E552" s="30">
        <f t="array" ref="E552">E$513*$L552</f>
        <v>383.3947381</v>
      </c>
      <c r="F552" s="30">
        <f t="array" ref="F552">F$513*$L552</f>
        <v>59.28540864</v>
      </c>
      <c r="G552" s="30">
        <f t="array" ref="G552">G$513*$L552</f>
        <v>153.1413338</v>
      </c>
      <c r="H552" s="29">
        <f t="array" ref="H552">E552+D552</f>
        <v>602.8525814</v>
      </c>
      <c r="I552" s="29">
        <f t="array" ref="I552">G552+F552</f>
        <v>212.4267425</v>
      </c>
      <c r="J552" s="29">
        <f t="array" ref="J552">D552+F552</f>
        <v>278.7432519</v>
      </c>
      <c r="K552" s="29">
        <f t="array" ref="K552">E552+G552</f>
        <v>536.536072</v>
      </c>
      <c r="L552" s="13">
        <v>0.0254995519211285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21" t="s">
        <v>633</v>
      </c>
      <c r="B553" s="22" t="s">
        <v>119</v>
      </c>
      <c r="C553" s="30">
        <f t="array" ref="C553">D553+E553+F553+G553</f>
        <v>734.0154528</v>
      </c>
      <c r="D553" s="30">
        <f t="array" ref="D553">D$513*$L553</f>
        <v>197.5831393</v>
      </c>
      <c r="E553" s="30">
        <f t="array" ref="E553">E$513*$L553</f>
        <v>345.1794423</v>
      </c>
      <c r="F553" s="30">
        <f t="array" ref="F553">F$513*$L553</f>
        <v>53.37606977</v>
      </c>
      <c r="G553" s="30">
        <f t="array" ref="G553">G$513*$L553</f>
        <v>137.8768015</v>
      </c>
      <c r="H553" s="29">
        <f t="array" ref="H553">E553+D553</f>
        <v>542.7625816</v>
      </c>
      <c r="I553" s="29">
        <f t="array" ref="I553">G553+F553</f>
        <v>191.2528713</v>
      </c>
      <c r="J553" s="29">
        <f t="array" ref="J553">D553+F553</f>
        <v>250.9592091</v>
      </c>
      <c r="K553" s="29">
        <f t="array" ref="K553">E553+G553</f>
        <v>483.0562438</v>
      </c>
      <c r="L553" s="13">
        <v>0.0229578557950625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21" t="s">
        <v>634</v>
      </c>
      <c r="B554" s="22" t="s">
        <v>121</v>
      </c>
      <c r="C554" s="30">
        <f t="array" ref="C554">D554+E554+F554+G554</f>
        <v>654.2760208</v>
      </c>
      <c r="D554" s="30">
        <f t="array" ref="D554">D$513*$L554</f>
        <v>176.1187856</v>
      </c>
      <c r="E554" s="30">
        <f t="array" ref="E554">E$513*$L554</f>
        <v>307.6810319</v>
      </c>
      <c r="F554" s="30">
        <f t="array" ref="F554">F$513*$L554</f>
        <v>47.57758491</v>
      </c>
      <c r="G554" s="30">
        <f t="array" ref="G554">G$513*$L554</f>
        <v>122.8986184</v>
      </c>
      <c r="H554" s="29">
        <f t="array" ref="H554">E554+D554</f>
        <v>483.7998175</v>
      </c>
      <c r="I554" s="29">
        <f t="array" ref="I554">G554+F554</f>
        <v>170.4762033</v>
      </c>
      <c r="J554" s="29">
        <f t="array" ref="J554">D554+F554</f>
        <v>223.6963705</v>
      </c>
      <c r="K554" s="29">
        <f t="array" ref="K554">E554+G554</f>
        <v>430.5796503</v>
      </c>
      <c r="L554" s="13">
        <v>0.020463839660522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21" t="s">
        <v>635</v>
      </c>
      <c r="B555" s="22" t="s">
        <v>123</v>
      </c>
      <c r="C555" s="30">
        <f t="array" ref="C555">D555+E555+F555+G555</f>
        <v>577.3960793</v>
      </c>
      <c r="D555" s="30">
        <f t="array" ref="D555">D$513*$L555</f>
        <v>155.4241529</v>
      </c>
      <c r="E555" s="30">
        <f t="array" ref="E555">E$513*$L555</f>
        <v>271.5273307</v>
      </c>
      <c r="F555" s="30">
        <f t="array" ref="F555">F$513*$L555</f>
        <v>41.98703623</v>
      </c>
      <c r="G555" s="30">
        <f t="array" ref="G555">G$513*$L555</f>
        <v>108.4575594</v>
      </c>
      <c r="H555" s="29">
        <f t="array" ref="H555">E555+D555</f>
        <v>426.9514836</v>
      </c>
      <c r="I555" s="29">
        <f t="array" ref="I555">G555+F555</f>
        <v>150.4445957</v>
      </c>
      <c r="J555" s="29">
        <f t="array" ref="J555">D555+F555</f>
        <v>197.4111891</v>
      </c>
      <c r="K555" s="29">
        <f t="array" ref="K555">E555+G555</f>
        <v>379.9848902</v>
      </c>
      <c r="L555" s="13">
        <v>0.0180592600248171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21" t="s">
        <v>636</v>
      </c>
      <c r="B556" s="22" t="s">
        <v>125</v>
      </c>
      <c r="C556" s="30">
        <f t="array" ref="C556">D556+E556+F556+G556</f>
        <v>504.4796865</v>
      </c>
      <c r="D556" s="30">
        <f t="array" ref="D556">D$513*$L556</f>
        <v>135.7964329</v>
      </c>
      <c r="E556" s="30">
        <f t="array" ref="E556">E$513*$L556</f>
        <v>237.2375352</v>
      </c>
      <c r="F556" s="30">
        <f t="array" ref="F556">F$513*$L556</f>
        <v>36.68470853</v>
      </c>
      <c r="G556" s="30">
        <f t="array" ref="G556">G$513*$L556</f>
        <v>94.7610099</v>
      </c>
      <c r="H556" s="29">
        <f t="array" ref="H556">E556+D556</f>
        <v>373.0339681</v>
      </c>
      <c r="I556" s="29">
        <f t="array" ref="I556">G556+F556</f>
        <v>131.4457184</v>
      </c>
      <c r="J556" s="29">
        <f t="array" ref="J556">D556+F556</f>
        <v>172.4811414</v>
      </c>
      <c r="K556" s="29">
        <f t="array" ref="K556">E556+G556</f>
        <v>331.9985451</v>
      </c>
      <c r="L556" s="13">
        <v>0.0157786485973353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21" t="s">
        <v>637</v>
      </c>
      <c r="B557" s="22" t="s">
        <v>127</v>
      </c>
      <c r="C557" s="30">
        <f t="array" ref="C557">D557+E557+F557+G557</f>
        <v>436.3857523</v>
      </c>
      <c r="D557" s="30">
        <f t="array" ref="D557">D$513*$L557</f>
        <v>117.4668279</v>
      </c>
      <c r="E557" s="30">
        <f t="array" ref="E557">E$513*$L557</f>
        <v>205.2155578</v>
      </c>
      <c r="F557" s="30">
        <f t="array" ref="F557">F$513*$L557</f>
        <v>31.73305994</v>
      </c>
      <c r="G557" s="30">
        <f t="array" ref="G557">G$513*$L557</f>
        <v>81.97030663</v>
      </c>
      <c r="H557" s="29">
        <f t="array" ref="H557">E557+D557</f>
        <v>322.6823857</v>
      </c>
      <c r="I557" s="29">
        <f t="array" ref="I557">G557+F557</f>
        <v>113.7033666</v>
      </c>
      <c r="J557" s="29">
        <f t="array" ref="J557">D557+F557</f>
        <v>149.1998878</v>
      </c>
      <c r="K557" s="29">
        <f t="array" ref="K557">E557+G557</f>
        <v>287.1858645</v>
      </c>
      <c r="L557" s="13">
        <v>0.0136488695618289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21" t="s">
        <v>638</v>
      </c>
      <c r="B558" s="22" t="s">
        <v>129</v>
      </c>
      <c r="C558" s="30">
        <f t="array" ref="C558">D558+E558+F558+G558</f>
        <v>373.7269943</v>
      </c>
      <c r="D558" s="30">
        <f t="array" ref="D558">D$513*$L558</f>
        <v>100.60027</v>
      </c>
      <c r="E558" s="30">
        <f t="array" ref="E558">E$513*$L558</f>
        <v>175.7495363</v>
      </c>
      <c r="F558" s="30">
        <f t="array" ref="F558">F$513*$L558</f>
        <v>27.176646</v>
      </c>
      <c r="G558" s="30">
        <f t="array" ref="G558">G$513*$L558</f>
        <v>70.20054196</v>
      </c>
      <c r="H558" s="29">
        <f t="array" ref="H558">E558+D558</f>
        <v>276.3498063</v>
      </c>
      <c r="I558" s="29">
        <f t="array" ref="I558">G558+F558</f>
        <v>97.37718796</v>
      </c>
      <c r="J558" s="29">
        <f t="array" ref="J558">D558+F558</f>
        <v>127.776916</v>
      </c>
      <c r="K558" s="29">
        <f t="array" ref="K558">E558+G558</f>
        <v>245.9500782</v>
      </c>
      <c r="L558" s="13">
        <v>0.0116890869364543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21" t="s">
        <v>639</v>
      </c>
      <c r="B559" s="22" t="s">
        <v>131</v>
      </c>
      <c r="C559" s="30">
        <f t="array" ref="C559">D559+E559+F559+G559</f>
        <v>316.880416</v>
      </c>
      <c r="D559" s="30">
        <f t="array" ref="D559">D$513*$L559</f>
        <v>85.2982415</v>
      </c>
      <c r="E559" s="30">
        <f t="array" ref="E559">E$513*$L559</f>
        <v>149.0167609</v>
      </c>
      <c r="F559" s="30">
        <f t="array" ref="F559">F$513*$L559</f>
        <v>23.04288162</v>
      </c>
      <c r="G559" s="30">
        <f t="array" ref="G559">G$513*$L559</f>
        <v>59.5225319</v>
      </c>
      <c r="H559" s="29">
        <f t="array" ref="H559">E559+D559</f>
        <v>234.3150024</v>
      </c>
      <c r="I559" s="29">
        <f t="array" ref="I559">G559+F559</f>
        <v>82.56541352</v>
      </c>
      <c r="J559" s="29">
        <f t="array" ref="J559">D559+F559</f>
        <v>108.3411231</v>
      </c>
      <c r="K559" s="29">
        <f t="array" ref="K559">E559+G559</f>
        <v>208.5392928</v>
      </c>
      <c r="L559" s="13">
        <v>0.00991109228790794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21" t="s">
        <v>640</v>
      </c>
      <c r="B560" s="22" t="s">
        <v>133</v>
      </c>
      <c r="C560" s="30">
        <f t="array" ref="C560">D560+E560+F560+G560</f>
        <v>266.0071787</v>
      </c>
      <c r="D560" s="30">
        <f t="array" ref="D560">D$513*$L560</f>
        <v>71.60412392</v>
      </c>
      <c r="E560" s="30">
        <f t="array" ref="E560">E$513*$L560</f>
        <v>125.0930198</v>
      </c>
      <c r="F560" s="30">
        <f t="array" ref="F560">F$513*$L560</f>
        <v>19.34348613</v>
      </c>
      <c r="G560" s="30">
        <f t="array" ref="G560">G$513*$L560</f>
        <v>49.96654884</v>
      </c>
      <c r="H560" s="29">
        <f t="array" ref="H560">E560+D560</f>
        <v>196.6971438</v>
      </c>
      <c r="I560" s="29">
        <f t="array" ref="I560">G560+F560</f>
        <v>69.31003497</v>
      </c>
      <c r="J560" s="29">
        <f t="array" ref="J560">D560+F560</f>
        <v>90.94761005</v>
      </c>
      <c r="K560" s="29">
        <f t="array" ref="K560">E560+G560</f>
        <v>175.0595687</v>
      </c>
      <c r="L560" s="13">
        <v>0.00831992627142165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21" t="s">
        <v>641</v>
      </c>
      <c r="B561" s="22" t="s">
        <v>135</v>
      </c>
      <c r="C561" s="30">
        <f t="array" ref="C561">D561+E561+F561+G561</f>
        <v>221.0794324</v>
      </c>
      <c r="D561" s="30">
        <f t="array" ref="D561">D$513*$L561</f>
        <v>59.51042054</v>
      </c>
      <c r="E561" s="30">
        <f t="array" ref="E561">E$513*$L561</f>
        <v>103.9652161</v>
      </c>
      <c r="F561" s="30">
        <f t="array" ref="F561">F$513*$L561</f>
        <v>16.0764343</v>
      </c>
      <c r="G561" s="30">
        <f t="array" ref="G561">G$513*$L561</f>
        <v>41.52736143</v>
      </c>
      <c r="H561" s="29">
        <f t="array" ref="H561">E561+D561</f>
        <v>163.4756366</v>
      </c>
      <c r="I561" s="29">
        <f t="array" ref="I561">G561+F561</f>
        <v>57.60379574</v>
      </c>
      <c r="J561" s="29">
        <f t="array" ref="J561">D561+F561</f>
        <v>75.58685484</v>
      </c>
      <c r="K561" s="29">
        <f t="array" ref="K561">E561+G561</f>
        <v>145.4925775</v>
      </c>
      <c r="L561" s="13">
        <v>0.00691471781401273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21" t="s">
        <v>642</v>
      </c>
      <c r="B562" s="22" t="s">
        <v>137</v>
      </c>
      <c r="C562" s="30">
        <f t="array" ref="C562">D562+E562+F562+G562</f>
        <v>0</v>
      </c>
      <c r="D562" s="30">
        <f t="array" ref="D562">D$513*$L562</f>
        <v>0</v>
      </c>
      <c r="E562" s="30">
        <f t="array" ref="E562">E$513*$L562</f>
        <v>0</v>
      </c>
      <c r="F562" s="30">
        <f t="array" ref="F562">F$513*$L562</f>
        <v>0</v>
      </c>
      <c r="G562" s="30">
        <f t="array" ref="G562">G$513*$L562</f>
        <v>0</v>
      </c>
      <c r="H562" s="29">
        <f t="array" ref="H562">E562+D562</f>
        <v>0</v>
      </c>
      <c r="I562" s="29">
        <f t="array" ref="I562">G562+F562</f>
        <v>0</v>
      </c>
      <c r="J562" s="29">
        <f t="array" ref="J562">D562+F562</f>
        <v>0</v>
      </c>
      <c r="K562" s="29">
        <f t="array" ref="K562">E562+G562</f>
        <v>0</v>
      </c>
      <c r="L562" s="1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21" t="s">
        <v>643</v>
      </c>
      <c r="B563" s="22" t="s">
        <v>139</v>
      </c>
      <c r="C563" s="30">
        <f t="array" ref="C563">D563+E563+F563+G563</f>
        <v>0</v>
      </c>
      <c r="D563" s="30">
        <f t="array" ref="D563">D$513*$L563</f>
        <v>0</v>
      </c>
      <c r="E563" s="30">
        <f t="array" ref="E563">E$513*$L563</f>
        <v>0</v>
      </c>
      <c r="F563" s="30">
        <f t="array" ref="F563">F$513*$L563</f>
        <v>0</v>
      </c>
      <c r="G563" s="30">
        <f t="array" ref="G563">G$513*$L563</f>
        <v>0</v>
      </c>
      <c r="H563" s="29">
        <f t="array" ref="H563">E563+D563</f>
        <v>0</v>
      </c>
      <c r="I563" s="29">
        <f t="array" ref="I563">G563+F563</f>
        <v>0</v>
      </c>
      <c r="J563" s="29">
        <f t="array" ref="J563">D563+F563</f>
        <v>0</v>
      </c>
      <c r="K563" s="29">
        <f t="array" ref="K563">E563+G563</f>
        <v>0</v>
      </c>
      <c r="L563" s="1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21" t="s">
        <v>644</v>
      </c>
      <c r="B564" s="22" t="s">
        <v>141</v>
      </c>
      <c r="C564" s="30">
        <f t="array" ref="C564">D564+E564+F564+G564</f>
        <v>0</v>
      </c>
      <c r="D564" s="30">
        <f t="array" ref="D564">D$513*$L564</f>
        <v>0</v>
      </c>
      <c r="E564" s="30">
        <f t="array" ref="E564">E$513*$L564</f>
        <v>0</v>
      </c>
      <c r="F564" s="30">
        <f t="array" ref="F564">F$513*$L564</f>
        <v>0</v>
      </c>
      <c r="G564" s="30">
        <f t="array" ref="G564">G$513*$L564</f>
        <v>0</v>
      </c>
      <c r="H564" s="29">
        <f t="array" ref="H564">E564+D564</f>
        <v>0</v>
      </c>
      <c r="I564" s="29">
        <f t="array" ref="I564">G564+F564</f>
        <v>0</v>
      </c>
      <c r="J564" s="29">
        <f t="array" ref="J564">D564+F564</f>
        <v>0</v>
      </c>
      <c r="K564" s="29">
        <f t="array" ref="K564">E564+G564</f>
        <v>0</v>
      </c>
      <c r="L564" s="1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21" t="s">
        <v>645</v>
      </c>
      <c r="B565" s="22" t="s">
        <v>143</v>
      </c>
      <c r="C565" s="30">
        <f t="array" ref="C565">D565+E565+F565+G565</f>
        <v>0</v>
      </c>
      <c r="D565" s="30">
        <f t="array" ref="D565">D$513*$L565</f>
        <v>0</v>
      </c>
      <c r="E565" s="30">
        <f t="array" ref="E565">E$513*$L565</f>
        <v>0</v>
      </c>
      <c r="F565" s="30">
        <f t="array" ref="F565">F$513*$L565</f>
        <v>0</v>
      </c>
      <c r="G565" s="30">
        <f t="array" ref="G565">G$513*$L565</f>
        <v>0</v>
      </c>
      <c r="H565" s="29">
        <f t="array" ref="H565">E565+D565</f>
        <v>0</v>
      </c>
      <c r="I565" s="29">
        <f t="array" ref="I565">G565+F565</f>
        <v>0</v>
      </c>
      <c r="J565" s="29">
        <f t="array" ref="J565">D565+F565</f>
        <v>0</v>
      </c>
      <c r="K565" s="29">
        <f t="array" ref="K565">E565+G565</f>
        <v>0</v>
      </c>
      <c r="L565" s="1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21" t="s">
        <v>646</v>
      </c>
      <c r="B566" s="22" t="s">
        <v>145</v>
      </c>
      <c r="C566" s="30">
        <f t="array" ref="C566">D566+E566+F566+G566</f>
        <v>0</v>
      </c>
      <c r="D566" s="30">
        <f t="array" ref="D566">D$513*$L566</f>
        <v>0</v>
      </c>
      <c r="E566" s="30">
        <f t="array" ref="E566">E$513*$L566</f>
        <v>0</v>
      </c>
      <c r="F566" s="30">
        <f t="array" ref="F566">F$513*$L566</f>
        <v>0</v>
      </c>
      <c r="G566" s="30">
        <f t="array" ref="G566">G$513*$L566</f>
        <v>0</v>
      </c>
      <c r="H566" s="29">
        <f t="array" ref="H566">E566+D566</f>
        <v>0</v>
      </c>
      <c r="I566" s="29">
        <f t="array" ref="I566">G566+F566</f>
        <v>0</v>
      </c>
      <c r="J566" s="29">
        <f t="array" ref="J566">D566+F566</f>
        <v>0</v>
      </c>
      <c r="K566" s="29">
        <f t="array" ref="K566">E566+G566</f>
        <v>0</v>
      </c>
      <c r="L566" s="1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21" t="s">
        <v>647</v>
      </c>
      <c r="B567" s="22" t="s">
        <v>147</v>
      </c>
      <c r="C567" s="30">
        <f t="array" ref="C567">D567+E567+F567+G567</f>
        <v>0</v>
      </c>
      <c r="D567" s="30">
        <f t="array" ref="D567">D$513*$L567</f>
        <v>0</v>
      </c>
      <c r="E567" s="30">
        <f t="array" ref="E567">E$513*$L567</f>
        <v>0</v>
      </c>
      <c r="F567" s="30">
        <f t="array" ref="F567">F$513*$L567</f>
        <v>0</v>
      </c>
      <c r="G567" s="30">
        <f t="array" ref="G567">G$513*$L567</f>
        <v>0</v>
      </c>
      <c r="H567" s="29">
        <f t="array" ref="H567">E567+D567</f>
        <v>0</v>
      </c>
      <c r="I567" s="29">
        <f t="array" ref="I567">G567+F567</f>
        <v>0</v>
      </c>
      <c r="J567" s="29">
        <f t="array" ref="J567">D567+F567</f>
        <v>0</v>
      </c>
      <c r="K567" s="29">
        <f t="array" ref="K567">E567+G567</f>
        <v>0</v>
      </c>
      <c r="L567" s="1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21" t="s">
        <v>648</v>
      </c>
      <c r="B568" s="22" t="s">
        <v>149</v>
      </c>
      <c r="C568" s="30">
        <f t="array" ref="C568">D568+E568+F568+G568</f>
        <v>0</v>
      </c>
      <c r="D568" s="30">
        <f t="array" ref="D568">D$513*$L568</f>
        <v>0</v>
      </c>
      <c r="E568" s="30">
        <f t="array" ref="E568">E$513*$L568</f>
        <v>0</v>
      </c>
      <c r="F568" s="30">
        <f t="array" ref="F568">F$513*$L568</f>
        <v>0</v>
      </c>
      <c r="G568" s="30">
        <f t="array" ref="G568">G$513*$L568</f>
        <v>0</v>
      </c>
      <c r="H568" s="29">
        <f t="array" ref="H568">E568+D568</f>
        <v>0</v>
      </c>
      <c r="I568" s="29">
        <f t="array" ref="I568">G568+F568</f>
        <v>0</v>
      </c>
      <c r="J568" s="29">
        <f t="array" ref="J568">D568+F568</f>
        <v>0</v>
      </c>
      <c r="K568" s="29">
        <f t="array" ref="K568">E568+G568</f>
        <v>0</v>
      </c>
      <c r="L568" s="1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21" t="s">
        <v>649</v>
      </c>
      <c r="B569" s="22" t="s">
        <v>151</v>
      </c>
      <c r="C569" s="30">
        <f t="array" ref="C569">D569+E569+F569+G569</f>
        <v>0</v>
      </c>
      <c r="D569" s="30">
        <f t="array" ref="D569">D$513*$L569</f>
        <v>0</v>
      </c>
      <c r="E569" s="30">
        <f t="array" ref="E569">E$513*$L569</f>
        <v>0</v>
      </c>
      <c r="F569" s="30">
        <f t="array" ref="F569">F$513*$L569</f>
        <v>0</v>
      </c>
      <c r="G569" s="30">
        <f t="array" ref="G569">G$513*$L569</f>
        <v>0</v>
      </c>
      <c r="H569" s="29">
        <f t="array" ref="H569">E569+D569</f>
        <v>0</v>
      </c>
      <c r="I569" s="29">
        <f t="array" ref="I569">G569+F569</f>
        <v>0</v>
      </c>
      <c r="J569" s="29">
        <f t="array" ref="J569">D569+F569</f>
        <v>0</v>
      </c>
      <c r="K569" s="29">
        <f t="array" ref="K569">E569+G569</f>
        <v>0</v>
      </c>
      <c r="L569" s="1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21" t="s">
        <v>650</v>
      </c>
      <c r="B570" s="22" t="s">
        <v>153</v>
      </c>
      <c r="C570" s="30">
        <f t="array" ref="C570">D570+E570+F570+G570</f>
        <v>0</v>
      </c>
      <c r="D570" s="30">
        <f t="array" ref="D570">D$513*$L570</f>
        <v>0</v>
      </c>
      <c r="E570" s="30">
        <f t="array" ref="E570">E$513*$L570</f>
        <v>0</v>
      </c>
      <c r="F570" s="30">
        <f t="array" ref="F570">F$513*$L570</f>
        <v>0</v>
      </c>
      <c r="G570" s="30">
        <f t="array" ref="G570">G$513*$L570</f>
        <v>0</v>
      </c>
      <c r="H570" s="29">
        <f t="array" ref="H570">E570+D570</f>
        <v>0</v>
      </c>
      <c r="I570" s="29">
        <f t="array" ref="I570">G570+F570</f>
        <v>0</v>
      </c>
      <c r="J570" s="29">
        <f t="array" ref="J570">D570+F570</f>
        <v>0</v>
      </c>
      <c r="K570" s="29">
        <f t="array" ref="K570">E570+G570</f>
        <v>0</v>
      </c>
      <c r="L570" s="1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21" t="s">
        <v>651</v>
      </c>
      <c r="B571" s="22" t="s">
        <v>155</v>
      </c>
      <c r="C571" s="30">
        <f t="array" ref="C571">D571+E571+F571+G571</f>
        <v>0</v>
      </c>
      <c r="D571" s="30">
        <f t="array" ref="D571">D$513*$L571</f>
        <v>0</v>
      </c>
      <c r="E571" s="30">
        <f t="array" ref="E571">E$513*$L571</f>
        <v>0</v>
      </c>
      <c r="F571" s="30">
        <f t="array" ref="F571">F$513*$L571</f>
        <v>0</v>
      </c>
      <c r="G571" s="30">
        <f t="array" ref="G571">G$513*$L571</f>
        <v>0</v>
      </c>
      <c r="H571" s="29">
        <f t="array" ref="H571">E571+D571</f>
        <v>0</v>
      </c>
      <c r="I571" s="29">
        <f t="array" ref="I571">G571+F571</f>
        <v>0</v>
      </c>
      <c r="J571" s="29">
        <f t="array" ref="J571">D571+F571</f>
        <v>0</v>
      </c>
      <c r="K571" s="29">
        <f t="array" ref="K571">E571+G571</f>
        <v>0</v>
      </c>
      <c r="L571" s="1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21" t="s">
        <v>652</v>
      </c>
      <c r="B572" s="22" t="s">
        <v>157</v>
      </c>
      <c r="C572" s="30">
        <f t="array" ref="C572">D572+E572+F572+G572</f>
        <v>0</v>
      </c>
      <c r="D572" s="30">
        <f t="array" ref="D572">D$513*$L572</f>
        <v>0</v>
      </c>
      <c r="E572" s="30">
        <f t="array" ref="E572">E$513*$L572</f>
        <v>0</v>
      </c>
      <c r="F572" s="30">
        <f t="array" ref="F572">F$513*$L572</f>
        <v>0</v>
      </c>
      <c r="G572" s="30">
        <f t="array" ref="G572">G$513*$L572</f>
        <v>0</v>
      </c>
      <c r="H572" s="29">
        <f t="array" ref="H572">E572+D572</f>
        <v>0</v>
      </c>
      <c r="I572" s="29">
        <f t="array" ref="I572">G572+F572</f>
        <v>0</v>
      </c>
      <c r="J572" s="29">
        <f t="array" ref="J572">D572+F572</f>
        <v>0</v>
      </c>
      <c r="K572" s="29">
        <f t="array" ref="K572">E572+G572</f>
        <v>0</v>
      </c>
      <c r="L572" s="1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21" t="s">
        <v>653</v>
      </c>
      <c r="B573" s="22" t="s">
        <v>159</v>
      </c>
      <c r="C573" s="30">
        <f t="array" ref="C573">D573+E573+F573+G573</f>
        <v>0</v>
      </c>
      <c r="D573" s="30">
        <f t="array" ref="D573">D$513*$L573</f>
        <v>0</v>
      </c>
      <c r="E573" s="30">
        <f t="array" ref="E573">E$513*$L573</f>
        <v>0</v>
      </c>
      <c r="F573" s="30">
        <f t="array" ref="F573">F$513*$L573</f>
        <v>0</v>
      </c>
      <c r="G573" s="30">
        <f t="array" ref="G573">G$513*$L573</f>
        <v>0</v>
      </c>
      <c r="H573" s="29">
        <f t="array" ref="H573">E573+D573</f>
        <v>0</v>
      </c>
      <c r="I573" s="29">
        <f t="array" ref="I573">G573+F573</f>
        <v>0</v>
      </c>
      <c r="J573" s="29">
        <f t="array" ref="J573">D573+F573</f>
        <v>0</v>
      </c>
      <c r="K573" s="29">
        <f t="array" ref="K573">E573+G573</f>
        <v>0</v>
      </c>
      <c r="L573" s="1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21" t="s">
        <v>654</v>
      </c>
      <c r="B574" s="22" t="s">
        <v>161</v>
      </c>
      <c r="C574" s="30">
        <f t="array" ref="C574">D574+E574+F574+G574</f>
        <v>0</v>
      </c>
      <c r="D574" s="30">
        <f t="array" ref="D574">D$513*$L574</f>
        <v>0</v>
      </c>
      <c r="E574" s="30">
        <f t="array" ref="E574">E$513*$L574</f>
        <v>0</v>
      </c>
      <c r="F574" s="30">
        <f t="array" ref="F574">F$513*$L574</f>
        <v>0</v>
      </c>
      <c r="G574" s="30">
        <f t="array" ref="G574">G$513*$L574</f>
        <v>0</v>
      </c>
      <c r="H574" s="29">
        <f t="array" ref="H574">E574+D574</f>
        <v>0</v>
      </c>
      <c r="I574" s="29">
        <f t="array" ref="I574">G574+F574</f>
        <v>0</v>
      </c>
      <c r="J574" s="29">
        <f t="array" ref="J574">D574+F574</f>
        <v>0</v>
      </c>
      <c r="K574" s="29">
        <f t="array" ref="K574">E574+G574</f>
        <v>0</v>
      </c>
      <c r="L574" s="1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21" t="s">
        <v>655</v>
      </c>
      <c r="B575" s="22" t="s">
        <v>163</v>
      </c>
      <c r="C575" s="30">
        <f t="array" ref="C575">D575+E575+F575+G575</f>
        <v>0</v>
      </c>
      <c r="D575" s="30">
        <f t="array" ref="D575">D$513*$L575</f>
        <v>0</v>
      </c>
      <c r="E575" s="30">
        <f t="array" ref="E575">E$513*$L575</f>
        <v>0</v>
      </c>
      <c r="F575" s="30">
        <f t="array" ref="F575">F$513*$L575</f>
        <v>0</v>
      </c>
      <c r="G575" s="30">
        <f t="array" ref="G575">G$513*$L575</f>
        <v>0</v>
      </c>
      <c r="H575" s="29">
        <f t="array" ref="H575">E575+D575</f>
        <v>0</v>
      </c>
      <c r="I575" s="29">
        <f t="array" ref="I575">G575+F575</f>
        <v>0</v>
      </c>
      <c r="J575" s="29">
        <f t="array" ref="J575">D575+F575</f>
        <v>0</v>
      </c>
      <c r="K575" s="29">
        <f t="array" ref="K575">E575+G575</f>
        <v>0</v>
      </c>
      <c r="L575" s="1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21" t="s">
        <v>656</v>
      </c>
      <c r="B576" s="22" t="s">
        <v>165</v>
      </c>
      <c r="C576" s="30">
        <f t="array" ref="C576">D576+E576+F576+G576</f>
        <v>0</v>
      </c>
      <c r="D576" s="30">
        <f t="array" ref="D576">D$513*$L576</f>
        <v>0</v>
      </c>
      <c r="E576" s="30">
        <f t="array" ref="E576">E$513*$L576</f>
        <v>0</v>
      </c>
      <c r="F576" s="30">
        <f t="array" ref="F576">F$513*$L576</f>
        <v>0</v>
      </c>
      <c r="G576" s="30">
        <f t="array" ref="G576">G$513*$L576</f>
        <v>0</v>
      </c>
      <c r="H576" s="29">
        <f t="array" ref="H576">E576+D576</f>
        <v>0</v>
      </c>
      <c r="I576" s="29">
        <f t="array" ref="I576">G576+F576</f>
        <v>0</v>
      </c>
      <c r="J576" s="29">
        <f t="array" ref="J576">D576+F576</f>
        <v>0</v>
      </c>
      <c r="K576" s="29">
        <f t="array" ref="K576">E576+G576</f>
        <v>0</v>
      </c>
      <c r="L576" s="1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21" t="s">
        <v>657</v>
      </c>
      <c r="B577" s="22" t="s">
        <v>167</v>
      </c>
      <c r="C577" s="30">
        <f t="array" ref="C577">D577+E577+F577+G577</f>
        <v>0</v>
      </c>
      <c r="D577" s="30">
        <f t="array" ref="D577">D$513*$L577</f>
        <v>0</v>
      </c>
      <c r="E577" s="30">
        <f t="array" ref="E577">E$513*$L577</f>
        <v>0</v>
      </c>
      <c r="F577" s="30">
        <f t="array" ref="F577">F$513*$L577</f>
        <v>0</v>
      </c>
      <c r="G577" s="30">
        <f t="array" ref="G577">G$513*$L577</f>
        <v>0</v>
      </c>
      <c r="H577" s="29">
        <f t="array" ref="H577">E577+D577</f>
        <v>0</v>
      </c>
      <c r="I577" s="29">
        <f t="array" ref="I577">G577+F577</f>
        <v>0</v>
      </c>
      <c r="J577" s="29">
        <f t="array" ref="J577">D577+F577</f>
        <v>0</v>
      </c>
      <c r="K577" s="29">
        <f t="array" ref="K577">E577+G577</f>
        <v>0</v>
      </c>
      <c r="L577" s="1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21" t="s">
        <v>658</v>
      </c>
      <c r="B578" s="22" t="s">
        <v>169</v>
      </c>
      <c r="C578" s="30">
        <f t="array" ref="C578">D578+E578+F578+G578</f>
        <v>0</v>
      </c>
      <c r="D578" s="30">
        <f t="array" ref="D578">D$513*$L578</f>
        <v>0</v>
      </c>
      <c r="E578" s="30">
        <f t="array" ref="E578">E$513*$L578</f>
        <v>0</v>
      </c>
      <c r="F578" s="30">
        <f t="array" ref="F578">F$513*$L578</f>
        <v>0</v>
      </c>
      <c r="G578" s="30">
        <f t="array" ref="G578">G$513*$L578</f>
        <v>0</v>
      </c>
      <c r="H578" s="29">
        <f t="array" ref="H578">E578+D578</f>
        <v>0</v>
      </c>
      <c r="I578" s="29">
        <f t="array" ref="I578">G578+F578</f>
        <v>0</v>
      </c>
      <c r="J578" s="29">
        <f t="array" ref="J578">D578+F578</f>
        <v>0</v>
      </c>
      <c r="K578" s="29">
        <f t="array" ref="K578">E578+G578</f>
        <v>0</v>
      </c>
      <c r="L578" s="1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21" t="s">
        <v>659</v>
      </c>
      <c r="B579" s="22" t="s">
        <v>171</v>
      </c>
      <c r="C579" s="30">
        <f t="array" ref="C579">D579+E579+F579+G579</f>
        <v>0</v>
      </c>
      <c r="D579" s="30">
        <f t="array" ref="D579">D$513*$L579</f>
        <v>0</v>
      </c>
      <c r="E579" s="30">
        <f t="array" ref="E579">E$513*$L579</f>
        <v>0</v>
      </c>
      <c r="F579" s="30">
        <f t="array" ref="F579">F$513*$L579</f>
        <v>0</v>
      </c>
      <c r="G579" s="30">
        <f t="array" ref="G579">G$513*$L579</f>
        <v>0</v>
      </c>
      <c r="H579" s="29">
        <f t="array" ref="H579">E579+D579</f>
        <v>0</v>
      </c>
      <c r="I579" s="29">
        <f t="array" ref="I579">G579+F579</f>
        <v>0</v>
      </c>
      <c r="J579" s="29">
        <f t="array" ref="J579">D579+F579</f>
        <v>0</v>
      </c>
      <c r="K579" s="29">
        <f t="array" ref="K579">E579+G579</f>
        <v>0</v>
      </c>
      <c r="L579" s="1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21" t="s">
        <v>660</v>
      </c>
      <c r="B580" s="22" t="s">
        <v>173</v>
      </c>
      <c r="C580" s="30">
        <f t="array" ref="C580">D580+E580+F580+G580</f>
        <v>0</v>
      </c>
      <c r="D580" s="30">
        <f t="array" ref="D580">D$513*$L580</f>
        <v>0</v>
      </c>
      <c r="E580" s="30">
        <f t="array" ref="E580">E$513*$L580</f>
        <v>0</v>
      </c>
      <c r="F580" s="30">
        <f t="array" ref="F580">F$513*$L580</f>
        <v>0</v>
      </c>
      <c r="G580" s="30">
        <f t="array" ref="G580">G$513*$L580</f>
        <v>0</v>
      </c>
      <c r="H580" s="29">
        <f t="array" ref="H580">E580+D580</f>
        <v>0</v>
      </c>
      <c r="I580" s="29">
        <f t="array" ref="I580">G580+F580</f>
        <v>0</v>
      </c>
      <c r="J580" s="29">
        <f t="array" ref="J580">D580+F580</f>
        <v>0</v>
      </c>
      <c r="K580" s="29">
        <f t="array" ref="K580">E580+G580</f>
        <v>0</v>
      </c>
      <c r="L580" s="1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21" t="s">
        <v>661</v>
      </c>
      <c r="B581" s="22" t="s">
        <v>175</v>
      </c>
      <c r="C581" s="30">
        <f t="array" ref="C581">D581+E581+F581+G581</f>
        <v>0</v>
      </c>
      <c r="D581" s="30">
        <f t="array" ref="D581">D$513*$L581</f>
        <v>0</v>
      </c>
      <c r="E581" s="30">
        <f t="array" ref="E581">E$513*$L581</f>
        <v>0</v>
      </c>
      <c r="F581" s="30">
        <f t="array" ref="F581">F$513*$L581</f>
        <v>0</v>
      </c>
      <c r="G581" s="30">
        <f t="array" ref="G581">G$513*$L581</f>
        <v>0</v>
      </c>
      <c r="H581" s="29">
        <f t="array" ref="H581">E581+D581</f>
        <v>0</v>
      </c>
      <c r="I581" s="29">
        <f t="array" ref="I581">G581+F581</f>
        <v>0</v>
      </c>
      <c r="J581" s="29">
        <f t="array" ref="J581">D581+F581</f>
        <v>0</v>
      </c>
      <c r="K581" s="29">
        <f t="array" ref="K581">E581+G581</f>
        <v>0</v>
      </c>
      <c r="L581" s="1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21" t="s">
        <v>662</v>
      </c>
      <c r="B582" s="22" t="s">
        <v>177</v>
      </c>
      <c r="C582" s="30">
        <f t="array" ref="C582">D582+E582+F582+G582</f>
        <v>0</v>
      </c>
      <c r="D582" s="30">
        <f t="array" ref="D582">D$513*$L582</f>
        <v>0</v>
      </c>
      <c r="E582" s="30">
        <f t="array" ref="E582">E$513*$L582</f>
        <v>0</v>
      </c>
      <c r="F582" s="30">
        <f t="array" ref="F582">F$513*$L582</f>
        <v>0</v>
      </c>
      <c r="G582" s="30">
        <f t="array" ref="G582">G$513*$L582</f>
        <v>0</v>
      </c>
      <c r="H582" s="29">
        <f t="array" ref="H582">E582+D582</f>
        <v>0</v>
      </c>
      <c r="I582" s="29">
        <f t="array" ref="I582">G582+F582</f>
        <v>0</v>
      </c>
      <c r="J582" s="29">
        <f t="array" ref="J582">D582+F582</f>
        <v>0</v>
      </c>
      <c r="K582" s="29">
        <f t="array" ref="K582">E582+G582</f>
        <v>0</v>
      </c>
      <c r="L582" s="1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21" t="s">
        <v>663</v>
      </c>
      <c r="B583" s="22" t="s">
        <v>179</v>
      </c>
      <c r="C583" s="30">
        <f t="array" ref="C583">D583+E583+F583+G583</f>
        <v>0</v>
      </c>
      <c r="D583" s="30">
        <f t="array" ref="D583">D$513*$L583</f>
        <v>0</v>
      </c>
      <c r="E583" s="30">
        <f t="array" ref="E583">E$513*$L583</f>
        <v>0</v>
      </c>
      <c r="F583" s="30">
        <f t="array" ref="F583">F$513*$L583</f>
        <v>0</v>
      </c>
      <c r="G583" s="30">
        <f t="array" ref="G583">G$513*$L583</f>
        <v>0</v>
      </c>
      <c r="H583" s="29">
        <f t="array" ref="H583">E583+D583</f>
        <v>0</v>
      </c>
      <c r="I583" s="29">
        <f t="array" ref="I583">G583+F583</f>
        <v>0</v>
      </c>
      <c r="J583" s="29">
        <f t="array" ref="J583">D583+F583</f>
        <v>0</v>
      </c>
      <c r="K583" s="29">
        <f t="array" ref="K583">E583+G583</f>
        <v>0</v>
      </c>
      <c r="L583" s="1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21" t="s">
        <v>664</v>
      </c>
      <c r="B584" s="22" t="s">
        <v>181</v>
      </c>
      <c r="C584" s="30">
        <f t="array" ref="C584">D584+E584+F584+G584</f>
        <v>0</v>
      </c>
      <c r="D584" s="30">
        <f t="array" ref="D584">D$513*$L584</f>
        <v>0</v>
      </c>
      <c r="E584" s="30">
        <f t="array" ref="E584">E$513*$L584</f>
        <v>0</v>
      </c>
      <c r="F584" s="30">
        <f t="array" ref="F584">F$513*$L584</f>
        <v>0</v>
      </c>
      <c r="G584" s="30">
        <f t="array" ref="G584">G$513*$L584</f>
        <v>0</v>
      </c>
      <c r="H584" s="29">
        <f t="array" ref="H584">E584+D584</f>
        <v>0</v>
      </c>
      <c r="I584" s="29">
        <f t="array" ref="I584">G584+F584</f>
        <v>0</v>
      </c>
      <c r="J584" s="29">
        <f t="array" ref="J584">D584+F584</f>
        <v>0</v>
      </c>
      <c r="K584" s="29">
        <f t="array" ref="K584">E584+G584</f>
        <v>0</v>
      </c>
      <c r="L584" s="1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21" t="s">
        <v>665</v>
      </c>
      <c r="B585" s="22" t="s">
        <v>183</v>
      </c>
      <c r="C585" s="30">
        <f t="array" ref="C585">D585+E585+F585+G585</f>
        <v>0</v>
      </c>
      <c r="D585" s="30">
        <f t="array" ref="D585">D$513*$L585</f>
        <v>0</v>
      </c>
      <c r="E585" s="30">
        <f t="array" ref="E585">E$513*$L585</f>
        <v>0</v>
      </c>
      <c r="F585" s="30">
        <f t="array" ref="F585">F$513*$L585</f>
        <v>0</v>
      </c>
      <c r="G585" s="30">
        <f t="array" ref="G585">G$513*$L585</f>
        <v>0</v>
      </c>
      <c r="H585" s="29">
        <f t="array" ref="H585">E585+D585</f>
        <v>0</v>
      </c>
      <c r="I585" s="29">
        <f t="array" ref="I585">G585+F585</f>
        <v>0</v>
      </c>
      <c r="J585" s="29">
        <f t="array" ref="J585">D585+F585</f>
        <v>0</v>
      </c>
      <c r="K585" s="29">
        <f t="array" ref="K585">E585+G585</f>
        <v>0</v>
      </c>
      <c r="L585" s="1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21" t="s">
        <v>666</v>
      </c>
      <c r="B586" s="22" t="s">
        <v>185</v>
      </c>
      <c r="C586" s="30">
        <f t="array" ref="C586">D586+E586+F586+G586</f>
        <v>0</v>
      </c>
      <c r="D586" s="30">
        <f t="array" ref="D586">D$513*$L586</f>
        <v>0</v>
      </c>
      <c r="E586" s="30">
        <f t="array" ref="E586">E$513*$L586</f>
        <v>0</v>
      </c>
      <c r="F586" s="30">
        <f t="array" ref="F586">F$513*$L586</f>
        <v>0</v>
      </c>
      <c r="G586" s="30">
        <f t="array" ref="G586">G$513*$L586</f>
        <v>0</v>
      </c>
      <c r="H586" s="29">
        <f t="array" ref="H586">E586+D586</f>
        <v>0</v>
      </c>
      <c r="I586" s="29">
        <f t="array" ref="I586">G586+F586</f>
        <v>0</v>
      </c>
      <c r="J586" s="29">
        <f t="array" ref="J586">D586+F586</f>
        <v>0</v>
      </c>
      <c r="K586" s="29">
        <f t="array" ref="K586">E586+G586</f>
        <v>0</v>
      </c>
      <c r="L586" s="1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21" t="s">
        <v>667</v>
      </c>
      <c r="B587" s="22" t="s">
        <v>187</v>
      </c>
      <c r="C587" s="30">
        <f t="array" ref="C587">D587+E587+F587+G587</f>
        <v>0</v>
      </c>
      <c r="D587" s="30">
        <f t="array" ref="D587">D$513*$L587</f>
        <v>0</v>
      </c>
      <c r="E587" s="30">
        <f t="array" ref="E587">E$513*$L587</f>
        <v>0</v>
      </c>
      <c r="F587" s="30">
        <f t="array" ref="F587">F$513*$L587</f>
        <v>0</v>
      </c>
      <c r="G587" s="30">
        <f t="array" ref="G587">G$513*$L587</f>
        <v>0</v>
      </c>
      <c r="H587" s="29">
        <f t="array" ref="H587">E587+D587</f>
        <v>0</v>
      </c>
      <c r="I587" s="29">
        <f t="array" ref="I587">G587+F587</f>
        <v>0</v>
      </c>
      <c r="J587" s="29">
        <f t="array" ref="J587">D587+F587</f>
        <v>0</v>
      </c>
      <c r="K587" s="29">
        <f t="array" ref="K587">E587+G587</f>
        <v>0</v>
      </c>
      <c r="L587" s="1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21" t="s">
        <v>668</v>
      </c>
      <c r="B588" s="22" t="s">
        <v>189</v>
      </c>
      <c r="C588" s="30">
        <f t="array" ref="C588">D588+E588+F588+G588</f>
        <v>0</v>
      </c>
      <c r="D588" s="30">
        <f t="array" ref="D588">D$513*$L588</f>
        <v>0</v>
      </c>
      <c r="E588" s="30">
        <f t="array" ref="E588">E$513*$L588</f>
        <v>0</v>
      </c>
      <c r="F588" s="30">
        <f t="array" ref="F588">F$513*$L588</f>
        <v>0</v>
      </c>
      <c r="G588" s="30">
        <f t="array" ref="G588">G$513*$L588</f>
        <v>0</v>
      </c>
      <c r="H588" s="29">
        <f t="array" ref="H588">E588+D588</f>
        <v>0</v>
      </c>
      <c r="I588" s="29">
        <f t="array" ref="I588">G588+F588</f>
        <v>0</v>
      </c>
      <c r="J588" s="29">
        <f t="array" ref="J588">D588+F588</f>
        <v>0</v>
      </c>
      <c r="K588" s="29">
        <f t="array" ref="K588">E588+G588</f>
        <v>0</v>
      </c>
      <c r="L588" s="1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21" t="s">
        <v>669</v>
      </c>
      <c r="B589" s="22" t="s">
        <v>191</v>
      </c>
      <c r="C589" s="30">
        <f t="array" ref="C589">D589+E589+F589+G589</f>
        <v>0</v>
      </c>
      <c r="D589" s="30">
        <f t="array" ref="D589">D$513*$L589</f>
        <v>0</v>
      </c>
      <c r="E589" s="30">
        <f t="array" ref="E589">E$513*$L589</f>
        <v>0</v>
      </c>
      <c r="F589" s="30">
        <f t="array" ref="F589">F$513*$L589</f>
        <v>0</v>
      </c>
      <c r="G589" s="30">
        <f t="array" ref="G589">G$513*$L589</f>
        <v>0</v>
      </c>
      <c r="H589" s="29">
        <f t="array" ref="H589">E589+D589</f>
        <v>0</v>
      </c>
      <c r="I589" s="29">
        <f t="array" ref="I589">G589+F589</f>
        <v>0</v>
      </c>
      <c r="J589" s="29">
        <f t="array" ref="J589">D589+F589</f>
        <v>0</v>
      </c>
      <c r="K589" s="29">
        <f t="array" ref="K589">E589+G589</f>
        <v>0</v>
      </c>
      <c r="L589" s="1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21" t="s">
        <v>670</v>
      </c>
      <c r="B590" s="22" t="s">
        <v>193</v>
      </c>
      <c r="C590" s="30">
        <f t="array" ref="C590">D590+E590+F590+G590</f>
        <v>0</v>
      </c>
      <c r="D590" s="30">
        <f t="array" ref="D590">D$513*$L590</f>
        <v>0</v>
      </c>
      <c r="E590" s="30">
        <f t="array" ref="E590">E$513*$L590</f>
        <v>0</v>
      </c>
      <c r="F590" s="30">
        <f t="array" ref="F590">F$513*$L590</f>
        <v>0</v>
      </c>
      <c r="G590" s="30">
        <f t="array" ref="G590">G$513*$L590</f>
        <v>0</v>
      </c>
      <c r="H590" s="29">
        <f t="array" ref="H590">E590+D590</f>
        <v>0</v>
      </c>
      <c r="I590" s="29">
        <f t="array" ref="I590">G590+F590</f>
        <v>0</v>
      </c>
      <c r="J590" s="29">
        <f t="array" ref="J590">D590+F590</f>
        <v>0</v>
      </c>
      <c r="K590" s="29">
        <f t="array" ref="K590">E590+G590</f>
        <v>0</v>
      </c>
      <c r="L590" s="1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21" t="s">
        <v>671</v>
      </c>
      <c r="B591" s="22" t="s">
        <v>195</v>
      </c>
      <c r="C591" s="30">
        <f t="array" ref="C591">D591+E591+F591+G591</f>
        <v>0</v>
      </c>
      <c r="D591" s="30">
        <f t="array" ref="D591">D$513*$L591</f>
        <v>0</v>
      </c>
      <c r="E591" s="30">
        <f t="array" ref="E591">E$513*$L591</f>
        <v>0</v>
      </c>
      <c r="F591" s="30">
        <f t="array" ref="F591">F$513*$L591</f>
        <v>0</v>
      </c>
      <c r="G591" s="30">
        <f t="array" ref="G591">G$513*$L591</f>
        <v>0</v>
      </c>
      <c r="H591" s="29">
        <f t="array" ref="H591">E591+D591</f>
        <v>0</v>
      </c>
      <c r="I591" s="29">
        <f t="array" ref="I591">G591+F591</f>
        <v>0</v>
      </c>
      <c r="J591" s="29">
        <f t="array" ref="J591">D591+F591</f>
        <v>0</v>
      </c>
      <c r="K591" s="29">
        <f t="array" ref="K591">E591+G591</f>
        <v>0</v>
      </c>
      <c r="L591" s="1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21" t="s">
        <v>672</v>
      </c>
      <c r="B592" s="22" t="s">
        <v>197</v>
      </c>
      <c r="C592" s="30">
        <f t="array" ref="C592">D592+E592+F592+G592</f>
        <v>0</v>
      </c>
      <c r="D592" s="30">
        <f t="array" ref="D592">D$513*$L592</f>
        <v>0</v>
      </c>
      <c r="E592" s="30">
        <f t="array" ref="E592">E$513*$L592</f>
        <v>0</v>
      </c>
      <c r="F592" s="30">
        <f t="array" ref="F592">F$513*$L592</f>
        <v>0</v>
      </c>
      <c r="G592" s="30">
        <f t="array" ref="G592">G$513*$L592</f>
        <v>0</v>
      </c>
      <c r="H592" s="29">
        <f t="array" ref="H592">E592+D592</f>
        <v>0</v>
      </c>
      <c r="I592" s="29">
        <f t="array" ref="I592">G592+F592</f>
        <v>0</v>
      </c>
      <c r="J592" s="29">
        <f t="array" ref="J592">D592+F592</f>
        <v>0</v>
      </c>
      <c r="K592" s="29">
        <f t="array" ref="K592">E592+G592</f>
        <v>0</v>
      </c>
      <c r="L592" s="1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21" t="s">
        <v>673</v>
      </c>
      <c r="B593" s="22" t="s">
        <v>199</v>
      </c>
      <c r="C593" s="30">
        <f t="array" ref="C593">D593+E593+F593+G593</f>
        <v>0</v>
      </c>
      <c r="D593" s="30">
        <f t="array" ref="D593">D$513*$L593</f>
        <v>0</v>
      </c>
      <c r="E593" s="30">
        <f t="array" ref="E593">E$513*$L593</f>
        <v>0</v>
      </c>
      <c r="F593" s="30">
        <f t="array" ref="F593">F$513*$L593</f>
        <v>0</v>
      </c>
      <c r="G593" s="30">
        <f t="array" ref="G593">G$513*$L593</f>
        <v>0</v>
      </c>
      <c r="H593" s="29">
        <f t="array" ref="H593">E593+D593</f>
        <v>0</v>
      </c>
      <c r="I593" s="29">
        <f t="array" ref="I593">G593+F593</f>
        <v>0</v>
      </c>
      <c r="J593" s="29">
        <f t="array" ref="J593">D593+F593</f>
        <v>0</v>
      </c>
      <c r="K593" s="29">
        <f t="array" ref="K593">E593+G593</f>
        <v>0</v>
      </c>
      <c r="L593" s="1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21" t="s">
        <v>674</v>
      </c>
      <c r="B594" s="22" t="s">
        <v>201</v>
      </c>
      <c r="C594" s="30">
        <f t="array" ref="C594">D594+E594+F594+G594</f>
        <v>0</v>
      </c>
      <c r="D594" s="30">
        <f t="array" ref="D594">D$513*$L594</f>
        <v>0</v>
      </c>
      <c r="E594" s="30">
        <f t="array" ref="E594">E$513*$L594</f>
        <v>0</v>
      </c>
      <c r="F594" s="30">
        <f t="array" ref="F594">F$513*$L594</f>
        <v>0</v>
      </c>
      <c r="G594" s="30">
        <f t="array" ref="G594">G$513*$L594</f>
        <v>0</v>
      </c>
      <c r="H594" s="29">
        <f t="array" ref="H594">E594+D594</f>
        <v>0</v>
      </c>
      <c r="I594" s="29">
        <f t="array" ref="I594">G594+F594</f>
        <v>0</v>
      </c>
      <c r="J594" s="29">
        <f t="array" ref="J594">D594+F594</f>
        <v>0</v>
      </c>
      <c r="K594" s="29">
        <f t="array" ref="K594">E594+G594</f>
        <v>0</v>
      </c>
      <c r="L594" s="1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21" t="s">
        <v>675</v>
      </c>
      <c r="B595" s="22" t="s">
        <v>203</v>
      </c>
      <c r="C595" s="30">
        <f t="array" ref="C595">D595+E595+F595+G595</f>
        <v>0</v>
      </c>
      <c r="D595" s="30">
        <f t="array" ref="D595">D$513*$L595</f>
        <v>0</v>
      </c>
      <c r="E595" s="30">
        <f t="array" ref="E595">E$513*$L595</f>
        <v>0</v>
      </c>
      <c r="F595" s="30">
        <f t="array" ref="F595">F$513*$L595</f>
        <v>0</v>
      </c>
      <c r="G595" s="30">
        <f t="array" ref="G595">G$513*$L595</f>
        <v>0</v>
      </c>
      <c r="H595" s="29">
        <f t="array" ref="H595">E595+D595</f>
        <v>0</v>
      </c>
      <c r="I595" s="29">
        <f t="array" ref="I595">G595+F595</f>
        <v>0</v>
      </c>
      <c r="J595" s="29">
        <f t="array" ref="J595">D595+F595</f>
        <v>0</v>
      </c>
      <c r="K595" s="29">
        <f t="array" ref="K595">E595+G595</f>
        <v>0</v>
      </c>
      <c r="L595" s="1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21" t="s">
        <v>676</v>
      </c>
      <c r="B596" s="22" t="s">
        <v>205</v>
      </c>
      <c r="C596" s="30">
        <f t="array" ref="C596">D596+E596+F596+G596</f>
        <v>0</v>
      </c>
      <c r="D596" s="30">
        <f t="array" ref="D596">D$513*$L596</f>
        <v>0</v>
      </c>
      <c r="E596" s="30">
        <f t="array" ref="E596">E$513*$L596</f>
        <v>0</v>
      </c>
      <c r="F596" s="30">
        <f t="array" ref="F596">F$513*$L596</f>
        <v>0</v>
      </c>
      <c r="G596" s="30">
        <f t="array" ref="G596">G$513*$L596</f>
        <v>0</v>
      </c>
      <c r="H596" s="29">
        <f t="array" ref="H596">E596+D596</f>
        <v>0</v>
      </c>
      <c r="I596" s="29">
        <f t="array" ref="I596">G596+F596</f>
        <v>0</v>
      </c>
      <c r="J596" s="29">
        <f t="array" ref="J596">D596+F596</f>
        <v>0</v>
      </c>
      <c r="K596" s="29">
        <f t="array" ref="K596">E596+G596</f>
        <v>0</v>
      </c>
      <c r="L596" s="1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21" t="s">
        <v>677</v>
      </c>
      <c r="B597" s="22" t="s">
        <v>207</v>
      </c>
      <c r="C597" s="30">
        <f t="array" ref="C597">D597+E597+F597+G597</f>
        <v>0</v>
      </c>
      <c r="D597" s="30">
        <f t="array" ref="D597">D$513*$L597</f>
        <v>0</v>
      </c>
      <c r="E597" s="30">
        <f t="array" ref="E597">E$513*$L597</f>
        <v>0</v>
      </c>
      <c r="F597" s="30">
        <f t="array" ref="F597">F$513*$L597</f>
        <v>0</v>
      </c>
      <c r="G597" s="30">
        <f t="array" ref="G597">G$513*$L597</f>
        <v>0</v>
      </c>
      <c r="H597" s="29">
        <f t="array" ref="H597">E597+D597</f>
        <v>0</v>
      </c>
      <c r="I597" s="29">
        <f t="array" ref="I597">G597+F597</f>
        <v>0</v>
      </c>
      <c r="J597" s="29">
        <f t="array" ref="J597">D597+F597</f>
        <v>0</v>
      </c>
      <c r="K597" s="29">
        <f t="array" ref="K597">E597+G597</f>
        <v>0</v>
      </c>
      <c r="L597" s="1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21" t="s">
        <v>678</v>
      </c>
      <c r="B598" s="22" t="s">
        <v>209</v>
      </c>
      <c r="C598" s="30">
        <f t="array" ref="C598">D598+E598+F598+G598</f>
        <v>0</v>
      </c>
      <c r="D598" s="30">
        <f t="array" ref="D598">D$513*$L598</f>
        <v>0</v>
      </c>
      <c r="E598" s="30">
        <f t="array" ref="E598">E$513*$L598</f>
        <v>0</v>
      </c>
      <c r="F598" s="30">
        <f t="array" ref="F598">F$513*$L598</f>
        <v>0</v>
      </c>
      <c r="G598" s="30">
        <f t="array" ref="G598">G$513*$L598</f>
        <v>0</v>
      </c>
      <c r="H598" s="29">
        <f t="array" ref="H598">E598+D598</f>
        <v>0</v>
      </c>
      <c r="I598" s="29">
        <f t="array" ref="I598">G598+F598</f>
        <v>0</v>
      </c>
      <c r="J598" s="29">
        <f t="array" ref="J598">D598+F598</f>
        <v>0</v>
      </c>
      <c r="K598" s="29">
        <f t="array" ref="K598">E598+G598</f>
        <v>0</v>
      </c>
      <c r="L598" s="1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21" t="s">
        <v>679</v>
      </c>
      <c r="B599" s="22" t="s">
        <v>211</v>
      </c>
      <c r="C599" s="30">
        <f t="array" ref="C599">D599+E599+F599+G599</f>
        <v>0</v>
      </c>
      <c r="D599" s="30">
        <f t="array" ref="D599">D$513*$L599</f>
        <v>0</v>
      </c>
      <c r="E599" s="30">
        <f t="array" ref="E599">E$513*$L599</f>
        <v>0</v>
      </c>
      <c r="F599" s="30">
        <f t="array" ref="F599">F$513*$L599</f>
        <v>0</v>
      </c>
      <c r="G599" s="30">
        <f t="array" ref="G599">G$513*$L599</f>
        <v>0</v>
      </c>
      <c r="H599" s="29">
        <f t="array" ref="H599">E599+D599</f>
        <v>0</v>
      </c>
      <c r="I599" s="29">
        <f t="array" ref="I599">G599+F599</f>
        <v>0</v>
      </c>
      <c r="J599" s="29">
        <f t="array" ref="J599">D599+F599</f>
        <v>0</v>
      </c>
      <c r="K599" s="29">
        <f t="array" ref="K599">E599+G599</f>
        <v>0</v>
      </c>
      <c r="L599" s="1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21" t="s">
        <v>680</v>
      </c>
      <c r="B600" s="22" t="s">
        <v>213</v>
      </c>
      <c r="C600" s="30">
        <f t="array" ref="C600">D600+E600+F600+G600</f>
        <v>0</v>
      </c>
      <c r="D600" s="30">
        <f t="array" ref="D600">D$513*$L600</f>
        <v>0</v>
      </c>
      <c r="E600" s="30">
        <f t="array" ref="E600">E$513*$L600</f>
        <v>0</v>
      </c>
      <c r="F600" s="30">
        <f t="array" ref="F600">F$513*$L600</f>
        <v>0</v>
      </c>
      <c r="G600" s="30">
        <f t="array" ref="G600">G$513*$L600</f>
        <v>0</v>
      </c>
      <c r="H600" s="29">
        <f t="array" ref="H600">E600+D600</f>
        <v>0</v>
      </c>
      <c r="I600" s="29">
        <f t="array" ref="I600">G600+F600</f>
        <v>0</v>
      </c>
      <c r="J600" s="29">
        <f t="array" ref="J600">D600+F600</f>
        <v>0</v>
      </c>
      <c r="K600" s="29">
        <f t="array" ref="K600">E600+G600</f>
        <v>0</v>
      </c>
      <c r="L600" s="1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21" t="s">
        <v>681</v>
      </c>
      <c r="B601" s="22" t="s">
        <v>215</v>
      </c>
      <c r="C601" s="30">
        <f t="array" ref="C601">D601+E601+F601+G601</f>
        <v>0</v>
      </c>
      <c r="D601" s="30">
        <f t="array" ref="D601">D$513*$L601</f>
        <v>0</v>
      </c>
      <c r="E601" s="30">
        <f t="array" ref="E601">E$513*$L601</f>
        <v>0</v>
      </c>
      <c r="F601" s="30">
        <f t="array" ref="F601">F$513*$L601</f>
        <v>0</v>
      </c>
      <c r="G601" s="30">
        <f t="array" ref="G601">G$513*$L601</f>
        <v>0</v>
      </c>
      <c r="H601" s="29">
        <f t="array" ref="H601">E601+D601</f>
        <v>0</v>
      </c>
      <c r="I601" s="29">
        <f t="array" ref="I601">G601+F601</f>
        <v>0</v>
      </c>
      <c r="J601" s="29">
        <f t="array" ref="J601">D601+F601</f>
        <v>0</v>
      </c>
      <c r="K601" s="29">
        <f t="array" ref="K601">E601+G601</f>
        <v>0</v>
      </c>
      <c r="L601" s="1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21" t="s">
        <v>682</v>
      </c>
      <c r="B602" s="22" t="s">
        <v>217</v>
      </c>
      <c r="C602" s="30">
        <f t="array" ref="C602">D602+E602+F602+G602</f>
        <v>0</v>
      </c>
      <c r="D602" s="30">
        <f t="array" ref="D602">D$513*$L602</f>
        <v>0</v>
      </c>
      <c r="E602" s="30">
        <f t="array" ref="E602">E$513*$L602</f>
        <v>0</v>
      </c>
      <c r="F602" s="30">
        <f t="array" ref="F602">F$513*$L602</f>
        <v>0</v>
      </c>
      <c r="G602" s="30">
        <f t="array" ref="G602">G$513*$L602</f>
        <v>0</v>
      </c>
      <c r="H602" s="29">
        <f t="array" ref="H602">E602+D602</f>
        <v>0</v>
      </c>
      <c r="I602" s="29">
        <f t="array" ref="I602">G602+F602</f>
        <v>0</v>
      </c>
      <c r="J602" s="29">
        <f t="array" ref="J602">D602+F602</f>
        <v>0</v>
      </c>
      <c r="K602" s="29">
        <f t="array" ref="K602">E602+G602</f>
        <v>0</v>
      </c>
      <c r="L602" s="1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21" t="s">
        <v>683</v>
      </c>
      <c r="B603" s="22" t="s">
        <v>219</v>
      </c>
      <c r="C603" s="30">
        <f t="array" ref="C603">D603+E603+F603+G603</f>
        <v>0</v>
      </c>
      <c r="D603" s="30">
        <f t="array" ref="D603">D$513*$L603</f>
        <v>0</v>
      </c>
      <c r="E603" s="30">
        <f t="array" ref="E603">E$513*$L603</f>
        <v>0</v>
      </c>
      <c r="F603" s="30">
        <f t="array" ref="F603">F$513*$L603</f>
        <v>0</v>
      </c>
      <c r="G603" s="30">
        <f t="array" ref="G603">G$513*$L603</f>
        <v>0</v>
      </c>
      <c r="H603" s="29">
        <f t="array" ref="H603">E603+D603</f>
        <v>0</v>
      </c>
      <c r="I603" s="29">
        <f t="array" ref="I603">G603+F603</f>
        <v>0</v>
      </c>
      <c r="J603" s="29">
        <f t="array" ref="J603">D603+F603</f>
        <v>0</v>
      </c>
      <c r="K603" s="29">
        <f t="array" ref="K603">E603+G603</f>
        <v>0</v>
      </c>
      <c r="L603" s="1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21" t="s">
        <v>684</v>
      </c>
      <c r="B604" s="22" t="s">
        <v>221</v>
      </c>
      <c r="C604" s="30">
        <f t="array" ref="C604">D604+E604+F604+G604</f>
        <v>0</v>
      </c>
      <c r="D604" s="30">
        <f t="array" ref="D604">D$513*$L604</f>
        <v>0</v>
      </c>
      <c r="E604" s="30">
        <f t="array" ref="E604">E$513*$L604</f>
        <v>0</v>
      </c>
      <c r="F604" s="30">
        <f t="array" ref="F604">F$513*$L604</f>
        <v>0</v>
      </c>
      <c r="G604" s="30">
        <f t="array" ref="G604">G$513*$L604</f>
        <v>0</v>
      </c>
      <c r="H604" s="29">
        <f t="array" ref="H604">E604+D604</f>
        <v>0</v>
      </c>
      <c r="I604" s="29">
        <f t="array" ref="I604">G604+F604</f>
        <v>0</v>
      </c>
      <c r="J604" s="29">
        <f t="array" ref="J604">D604+F604</f>
        <v>0</v>
      </c>
      <c r="K604" s="29">
        <f t="array" ref="K604">E604+G604</f>
        <v>0</v>
      </c>
      <c r="L604" s="1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21" t="s">
        <v>685</v>
      </c>
      <c r="B605" s="22" t="s">
        <v>223</v>
      </c>
      <c r="C605" s="30">
        <f t="array" ref="C605">D605+E605+F605+G605</f>
        <v>0</v>
      </c>
      <c r="D605" s="30">
        <f t="array" ref="D605">D$513*$L605</f>
        <v>0</v>
      </c>
      <c r="E605" s="30">
        <f t="array" ref="E605">E$513*$L605</f>
        <v>0</v>
      </c>
      <c r="F605" s="30">
        <f t="array" ref="F605">F$513*$L605</f>
        <v>0</v>
      </c>
      <c r="G605" s="30">
        <f t="array" ref="G605">G$513*$L605</f>
        <v>0</v>
      </c>
      <c r="H605" s="29">
        <f t="array" ref="H605">E605+D605</f>
        <v>0</v>
      </c>
      <c r="I605" s="29">
        <f t="array" ref="I605">G605+F605</f>
        <v>0</v>
      </c>
      <c r="J605" s="29">
        <f t="array" ref="J605">D605+F605</f>
        <v>0</v>
      </c>
      <c r="K605" s="29">
        <f t="array" ref="K605">E605+G605</f>
        <v>0</v>
      </c>
      <c r="L605" s="1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21" t="s">
        <v>686</v>
      </c>
      <c r="B606" s="22" t="s">
        <v>225</v>
      </c>
      <c r="C606" s="30">
        <f t="array" ref="C606">D606+E606+F606+G606</f>
        <v>0</v>
      </c>
      <c r="D606" s="30">
        <f t="array" ref="D606">D$513*$L606</f>
        <v>0</v>
      </c>
      <c r="E606" s="30">
        <f t="array" ref="E606">E$513*$L606</f>
        <v>0</v>
      </c>
      <c r="F606" s="30">
        <f t="array" ref="F606">F$513*$L606</f>
        <v>0</v>
      </c>
      <c r="G606" s="30">
        <f t="array" ref="G606">G$513*$L606</f>
        <v>0</v>
      </c>
      <c r="H606" s="29">
        <f t="array" ref="H606">E606+D606</f>
        <v>0</v>
      </c>
      <c r="I606" s="29">
        <f t="array" ref="I606">G606+F606</f>
        <v>0</v>
      </c>
      <c r="J606" s="29">
        <f t="array" ref="J606">D606+F606</f>
        <v>0</v>
      </c>
      <c r="K606" s="29">
        <f t="array" ref="K606">E606+G606</f>
        <v>0</v>
      </c>
      <c r="L606" s="1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21" t="s">
        <v>687</v>
      </c>
      <c r="B607" s="22" t="s">
        <v>227</v>
      </c>
      <c r="C607" s="30">
        <f t="array" ref="C607">D607+E607+F607+G607</f>
        <v>0</v>
      </c>
      <c r="D607" s="30">
        <f t="array" ref="D607">D$513*$L607</f>
        <v>0</v>
      </c>
      <c r="E607" s="30">
        <f t="array" ref="E607">E$513*$L607</f>
        <v>0</v>
      </c>
      <c r="F607" s="30">
        <f t="array" ref="F607">F$513*$L607</f>
        <v>0</v>
      </c>
      <c r="G607" s="30">
        <f t="array" ref="G607">G$513*$L607</f>
        <v>0</v>
      </c>
      <c r="H607" s="29">
        <f t="array" ref="H607">E607+D607</f>
        <v>0</v>
      </c>
      <c r="I607" s="29">
        <f t="array" ref="I607">G607+F607</f>
        <v>0</v>
      </c>
      <c r="J607" s="29">
        <f t="array" ref="J607">D607+F607</f>
        <v>0</v>
      </c>
      <c r="K607" s="29">
        <f t="array" ref="K607">E607+G607</f>
        <v>0</v>
      </c>
      <c r="L607" s="1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21" t="s">
        <v>688</v>
      </c>
      <c r="B608" s="22" t="s">
        <v>229</v>
      </c>
      <c r="C608" s="30">
        <f t="array" ref="C608">D608+E608+F608+G608</f>
        <v>0</v>
      </c>
      <c r="D608" s="30">
        <f t="array" ref="D608">D$513*$L608</f>
        <v>0</v>
      </c>
      <c r="E608" s="30">
        <f t="array" ref="E608">E$513*$L608</f>
        <v>0</v>
      </c>
      <c r="F608" s="30">
        <f t="array" ref="F608">F$513*$L608</f>
        <v>0</v>
      </c>
      <c r="G608" s="30">
        <f t="array" ref="G608">G$513*$L608</f>
        <v>0</v>
      </c>
      <c r="H608" s="29">
        <f t="array" ref="H608">E608+D608</f>
        <v>0</v>
      </c>
      <c r="I608" s="29">
        <f t="array" ref="I608">G608+F608</f>
        <v>0</v>
      </c>
      <c r="J608" s="29">
        <f t="array" ref="J608">D608+F608</f>
        <v>0</v>
      </c>
      <c r="K608" s="29">
        <f t="array" ref="K608">E608+G608</f>
        <v>0</v>
      </c>
      <c r="L608" s="1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21" t="s">
        <v>689</v>
      </c>
      <c r="B609" s="22" t="s">
        <v>231</v>
      </c>
      <c r="C609" s="30">
        <f t="array" ref="C609">D609+E609+F609+G609</f>
        <v>0</v>
      </c>
      <c r="D609" s="30">
        <f t="array" ref="D609">D$513*$L609</f>
        <v>0</v>
      </c>
      <c r="E609" s="30">
        <f t="array" ref="E609">E$513*$L609</f>
        <v>0</v>
      </c>
      <c r="F609" s="30">
        <f t="array" ref="F609">F$513*$L609</f>
        <v>0</v>
      </c>
      <c r="G609" s="30">
        <f t="array" ref="G609">G$513*$L609</f>
        <v>0</v>
      </c>
      <c r="H609" s="29">
        <f t="array" ref="H609">E609+D609</f>
        <v>0</v>
      </c>
      <c r="I609" s="29">
        <f t="array" ref="I609">G609+F609</f>
        <v>0</v>
      </c>
      <c r="J609" s="29">
        <f t="array" ref="J609">D609+F609</f>
        <v>0</v>
      </c>
      <c r="K609" s="29">
        <f t="array" ref="K609">E609+G609</f>
        <v>0</v>
      </c>
      <c r="L609" s="1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21" t="s">
        <v>690</v>
      </c>
      <c r="B610" s="22" t="s">
        <v>233</v>
      </c>
      <c r="C610" s="30">
        <f t="array" ref="C610">D610+E610+F610+G610</f>
        <v>0</v>
      </c>
      <c r="D610" s="30">
        <f t="array" ref="D610">D$513*$L610</f>
        <v>0</v>
      </c>
      <c r="E610" s="30">
        <f t="array" ref="E610">E$513*$L610</f>
        <v>0</v>
      </c>
      <c r="F610" s="30">
        <f t="array" ref="F610">F$513*$L610</f>
        <v>0</v>
      </c>
      <c r="G610" s="30">
        <f t="array" ref="G610">G$513*$L610</f>
        <v>0</v>
      </c>
      <c r="H610" s="29">
        <f t="array" ref="H610">E610+D610</f>
        <v>0</v>
      </c>
      <c r="I610" s="29">
        <f t="array" ref="I610">G610+F610</f>
        <v>0</v>
      </c>
      <c r="J610" s="29">
        <f t="array" ref="J610">D610+F610</f>
        <v>0</v>
      </c>
      <c r="K610" s="29">
        <f t="array" ref="K610">E610+G610</f>
        <v>0</v>
      </c>
      <c r="L610" s="1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21" t="s">
        <v>691</v>
      </c>
      <c r="B611" s="22" t="s">
        <v>235</v>
      </c>
      <c r="C611" s="30">
        <f t="array" ref="C611">D611+E611+F611+G611</f>
        <v>0</v>
      </c>
      <c r="D611" s="30">
        <f t="array" ref="D611">D$513*$L611</f>
        <v>0</v>
      </c>
      <c r="E611" s="30">
        <f t="array" ref="E611">E$513*$L611</f>
        <v>0</v>
      </c>
      <c r="F611" s="30">
        <f t="array" ref="F611">F$513*$L611</f>
        <v>0</v>
      </c>
      <c r="G611" s="30">
        <f t="array" ref="G611">G$513*$L611</f>
        <v>0</v>
      </c>
      <c r="H611" s="29">
        <f t="array" ref="H611">E611+D611</f>
        <v>0</v>
      </c>
      <c r="I611" s="29">
        <f t="array" ref="I611">G611+F611</f>
        <v>0</v>
      </c>
      <c r="J611" s="29">
        <f t="array" ref="J611">D611+F611</f>
        <v>0</v>
      </c>
      <c r="K611" s="29">
        <f t="array" ref="K611">E611+G611</f>
        <v>0</v>
      </c>
      <c r="L611" s="1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21" t="s">
        <v>692</v>
      </c>
      <c r="B612" s="22" t="s">
        <v>237</v>
      </c>
      <c r="C612" s="30">
        <f t="array" ref="C612">D612+E612+F612+G612</f>
        <v>0</v>
      </c>
      <c r="D612" s="30">
        <f t="array" ref="D612">D$513*$L612</f>
        <v>0</v>
      </c>
      <c r="E612" s="30">
        <f t="array" ref="E612">E$513*$L612</f>
        <v>0</v>
      </c>
      <c r="F612" s="30">
        <f t="array" ref="F612">F$513*$L612</f>
        <v>0</v>
      </c>
      <c r="G612" s="30">
        <f t="array" ref="G612">G$513*$L612</f>
        <v>0</v>
      </c>
      <c r="H612" s="29">
        <f t="array" ref="H612">E612+D612</f>
        <v>0</v>
      </c>
      <c r="I612" s="29">
        <f t="array" ref="I612">G612+F612</f>
        <v>0</v>
      </c>
      <c r="J612" s="29">
        <f t="array" ref="J612">D612+F612</f>
        <v>0</v>
      </c>
      <c r="K612" s="29">
        <f t="array" ref="K612">E612+G612</f>
        <v>0</v>
      </c>
      <c r="L612" s="1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21" t="s">
        <v>693</v>
      </c>
      <c r="B613" s="22" t="s">
        <v>239</v>
      </c>
      <c r="C613" s="30">
        <f t="array" ref="C613">D613+E613+F613+G613</f>
        <v>0</v>
      </c>
      <c r="D613" s="30">
        <f t="array" ref="D613">D$513*$L613</f>
        <v>0</v>
      </c>
      <c r="E613" s="30">
        <f t="array" ref="E613">E$513*$L613</f>
        <v>0</v>
      </c>
      <c r="F613" s="30">
        <f t="array" ref="F613">F$513*$L613</f>
        <v>0</v>
      </c>
      <c r="G613" s="30">
        <f t="array" ref="G613">G$513*$L613</f>
        <v>0</v>
      </c>
      <c r="H613" s="29">
        <f t="array" ref="H613">E613+D613</f>
        <v>0</v>
      </c>
      <c r="I613" s="29">
        <f t="array" ref="I613">G613+F613</f>
        <v>0</v>
      </c>
      <c r="J613" s="29">
        <f t="array" ref="J613">D613+F613</f>
        <v>0</v>
      </c>
      <c r="K613" s="29">
        <f t="array" ref="K613">E613+G613</f>
        <v>0</v>
      </c>
      <c r="L613" s="1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21" t="s">
        <v>694</v>
      </c>
      <c r="B614" s="22" t="s">
        <v>241</v>
      </c>
      <c r="C614" s="30">
        <f t="array" ref="C614">D614+E614+F614+G614</f>
        <v>0</v>
      </c>
      <c r="D614" s="30">
        <f t="array" ref="D614">D$513*$L614</f>
        <v>0</v>
      </c>
      <c r="E614" s="30">
        <f t="array" ref="E614">E$513*$L614</f>
        <v>0</v>
      </c>
      <c r="F614" s="30">
        <f t="array" ref="F614">F$513*$L614</f>
        <v>0</v>
      </c>
      <c r="G614" s="30">
        <f t="array" ref="G614">G$513*$L614</f>
        <v>0</v>
      </c>
      <c r="H614" s="29">
        <f t="array" ref="H614">E614+D614</f>
        <v>0</v>
      </c>
      <c r="I614" s="29">
        <f t="array" ref="I614">G614+F614</f>
        <v>0</v>
      </c>
      <c r="J614" s="29">
        <f t="array" ref="J614">D614+F614</f>
        <v>0</v>
      </c>
      <c r="K614" s="29">
        <f t="array" ref="K614">E614+G614</f>
        <v>0</v>
      </c>
      <c r="L614" s="1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21" t="s">
        <v>695</v>
      </c>
      <c r="B615" s="22" t="s">
        <v>243</v>
      </c>
      <c r="C615" s="30">
        <f t="array" ref="C615">D615+E615+F615+G615</f>
        <v>0</v>
      </c>
      <c r="D615" s="30">
        <f t="array" ref="D615">D$513*$L615</f>
        <v>0</v>
      </c>
      <c r="E615" s="30">
        <f t="array" ref="E615">E$513*$L615</f>
        <v>0</v>
      </c>
      <c r="F615" s="30">
        <f t="array" ref="F615">F$513*$L615</f>
        <v>0</v>
      </c>
      <c r="G615" s="30">
        <f t="array" ref="G615">G$513*$L615</f>
        <v>0</v>
      </c>
      <c r="H615" s="29">
        <f t="array" ref="H615">E615+D615</f>
        <v>0</v>
      </c>
      <c r="I615" s="29">
        <f t="array" ref="I615">G615+F615</f>
        <v>0</v>
      </c>
      <c r="J615" s="29">
        <f t="array" ref="J615">D615+F615</f>
        <v>0</v>
      </c>
      <c r="K615" s="29">
        <f t="array" ref="K615">E615+G615</f>
        <v>0</v>
      </c>
      <c r="L615" s="1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21" t="s">
        <v>696</v>
      </c>
      <c r="B616" s="22" t="s">
        <v>245</v>
      </c>
      <c r="C616" s="30">
        <f t="array" ref="C616">D616+E616+F616+G616</f>
        <v>0</v>
      </c>
      <c r="D616" s="30">
        <f t="array" ref="D616">D$513*$L616</f>
        <v>0</v>
      </c>
      <c r="E616" s="30">
        <f t="array" ref="E616">E$513*$L616</f>
        <v>0</v>
      </c>
      <c r="F616" s="30">
        <f t="array" ref="F616">F$513*$L616</f>
        <v>0</v>
      </c>
      <c r="G616" s="30">
        <f t="array" ref="G616">G$513*$L616</f>
        <v>0</v>
      </c>
      <c r="H616" s="29">
        <f t="array" ref="H616">E616+D616</f>
        <v>0</v>
      </c>
      <c r="I616" s="29">
        <f t="array" ref="I616">G616+F616</f>
        <v>0</v>
      </c>
      <c r="J616" s="29">
        <f t="array" ref="J616">D616+F616</f>
        <v>0</v>
      </c>
      <c r="K616" s="29">
        <f t="array" ref="K616">E616+G616</f>
        <v>0</v>
      </c>
      <c r="L616" s="1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21" t="s">
        <v>697</v>
      </c>
      <c r="B617" s="22" t="s">
        <v>247</v>
      </c>
      <c r="C617" s="30">
        <f t="array" ref="C617">SUM(C517:C616)</f>
        <v>31972.3</v>
      </c>
      <c r="D617" s="30">
        <f t="array" ref="D617">SUM(D517:D616)</f>
        <v>8606.34116</v>
      </c>
      <c r="E617" s="30">
        <f t="array" ref="E617">SUM(E517:E616)</f>
        <v>15035.35197</v>
      </c>
      <c r="F617" s="30">
        <f t="array" ref="F617">SUM(F517:F616)</f>
        <v>2324.95884</v>
      </c>
      <c r="G617" s="30">
        <f t="array" ref="G617">SUM(G517:G616)</f>
        <v>6005.648032</v>
      </c>
      <c r="H617" s="29">
        <f t="array" ref="H617">SUM(H517:H616)</f>
        <v>23641.69313</v>
      </c>
      <c r="I617" s="29">
        <f t="array" ref="I617">SUM(I517:I616)</f>
        <v>8330.606872</v>
      </c>
      <c r="J617" s="29">
        <f t="array" ref="J617">SUM(J517:J616)</f>
        <v>10931.3</v>
      </c>
      <c r="K617" s="29">
        <f t="array" ref="K617">SUM(K517:K616)</f>
        <v>21041</v>
      </c>
      <c r="L617" s="13">
        <f t="array" ref="L617">SUM(L517:L616)</f>
        <v>1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11"/>
      <c r="B618" s="12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7.5" customHeight="1">
      <c r="A619" s="21" t="s">
        <v>698</v>
      </c>
      <c r="B619" s="22" t="s">
        <v>39</v>
      </c>
      <c r="C619" s="26" t="str">
        <f t="array" ref="C619">IF(C620="","?",C620)&amp;IF(C621="","","; downloaded "&amp;C621)&amp;IF(C622="","","; "&amp;C622)</f>
        <v>https://ec.europa.eu/eurostat/databrowser/view/migr_emi1ctz__custom_21284789/default/table; downloaded 46146; we used the 10-year average number of emigrants (2015-2024); not for all countries age-related data is available so the number of migrants is binomially distributed between the age of 6 and 44 (μ=25, σ=10); no distinction between native/migrant available, so we divided the emigration numbers according to the share in the population</v>
      </c>
      <c r="D619" s="25"/>
      <c r="E619" s="25"/>
      <c r="F619" s="25"/>
      <c r="G619" s="25"/>
      <c r="H619" s="25"/>
      <c r="I619" s="25"/>
      <c r="J619" s="25"/>
      <c r="K619" s="25"/>
      <c r="L619" s="25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1.5" customHeight="1">
      <c r="A620" s="11"/>
      <c r="B620" s="22" t="s">
        <v>40</v>
      </c>
      <c r="C620" s="23" t="s">
        <v>699</v>
      </c>
      <c r="D620" s="13"/>
      <c r="E620" s="13"/>
      <c r="F620" s="13"/>
      <c r="G620" s="13"/>
      <c r="H620" s="13"/>
      <c r="I620" s="13"/>
      <c r="J620" s="13"/>
      <c r="K620" s="13"/>
      <c r="L620" s="1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11"/>
      <c r="B621" s="22" t="s">
        <v>42</v>
      </c>
      <c r="C621" s="27">
        <v>46146.0</v>
      </c>
      <c r="D621" s="13"/>
      <c r="E621" s="13"/>
      <c r="F621" s="13"/>
      <c r="G621" s="13"/>
      <c r="H621" s="13"/>
      <c r="I621" s="13"/>
      <c r="J621" s="13"/>
      <c r="K621" s="13"/>
      <c r="L621" s="1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1.5" customHeight="1">
      <c r="A622" s="11"/>
      <c r="B622" s="22" t="s">
        <v>43</v>
      </c>
      <c r="C622" s="23" t="s">
        <v>700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11"/>
      <c r="B623" s="12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11"/>
      <c r="B624" s="22" t="s">
        <v>701</v>
      </c>
      <c r="C624" s="32">
        <f t="array" ref="C624">C617/C$127</f>
        <v>0.002974268429</v>
      </c>
      <c r="D624" s="32">
        <f t="array" ref="D624">D617/D$127</f>
        <v>0.001745161942</v>
      </c>
      <c r="E624" s="32">
        <f t="array" ref="E624">E617/E$127</f>
        <v>0.003517542491</v>
      </c>
      <c r="F624" s="32">
        <f t="array" ref="F624">F617/F$127</f>
        <v>0.001745161942</v>
      </c>
      <c r="G624" s="32">
        <f t="array" ref="G624">G617/G$127</f>
        <v>0.003517542491</v>
      </c>
      <c r="H624" s="32">
        <f t="array" ref="H624">H617/H$127</f>
        <v>0.002568092833</v>
      </c>
      <c r="I624" s="32">
        <f t="array" ref="I624">I617/I$127</f>
        <v>0.005396515823</v>
      </c>
      <c r="J624" s="32">
        <f t="array" ref="J624">J617/J$127</f>
        <v>0.001745161942</v>
      </c>
      <c r="K624" s="32">
        <f t="array" ref="K624">K617/K$127</f>
        <v>0.003517542491</v>
      </c>
      <c r="L624" s="1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11"/>
      <c r="B625" s="22" t="s">
        <v>702</v>
      </c>
      <c r="C625" s="32">
        <f t="array" ref="C625">C617/C493</f>
        <v>0.3202077946</v>
      </c>
      <c r="D625" s="32">
        <f t="array" ref="D625">D617/D493</f>
        <v>0.6269553267</v>
      </c>
      <c r="E625" s="32">
        <f t="array" ref="E625">E617/E493</f>
        <v>0.581885985</v>
      </c>
      <c r="F625" s="32">
        <f t="array" ref="F625">F617/F493</f>
        <v>0.07926356333</v>
      </c>
      <c r="G625" s="32">
        <f t="array" ref="G625">G617/G493</f>
        <v>0.1940410474</v>
      </c>
      <c r="H625" s="32">
        <f t="array" ref="H625">H617/H493</f>
        <v>0.5975224593</v>
      </c>
      <c r="I625" s="32">
        <f t="array" ref="I625">I617/I493</f>
        <v>0.1381930194</v>
      </c>
      <c r="J625" s="32">
        <f t="array" ref="J625">J617/J493</f>
        <v>0.2538667695</v>
      </c>
      <c r="K625" s="32">
        <f t="array" ref="K625">K617/K493</f>
        <v>0.3705092852</v>
      </c>
      <c r="L625" s="1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11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6.25" customHeight="1">
      <c r="A627" s="17"/>
      <c r="B627" s="18" t="s">
        <v>703</v>
      </c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1.5" customHeight="1">
      <c r="A628" s="11"/>
      <c r="B628" s="12"/>
      <c r="C628" s="25"/>
      <c r="D628" s="37" t="s">
        <v>368</v>
      </c>
      <c r="E628" s="37" t="s">
        <v>368</v>
      </c>
      <c r="F628" s="37" t="s">
        <v>368</v>
      </c>
      <c r="G628" s="37" t="s">
        <v>368</v>
      </c>
      <c r="H628" s="36"/>
      <c r="I628" s="36"/>
      <c r="J628" s="36"/>
      <c r="K628" s="36"/>
      <c r="L628" s="38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21" t="s">
        <v>704</v>
      </c>
      <c r="B629" s="22" t="s">
        <v>703</v>
      </c>
      <c r="C629" s="39">
        <f t="array" ref="C629">IF($C$127=0,0,($D629*$D$127+$E629*$E$127+$F629*$F$127+$G629*$G$127)/$C$127)</f>
        <v>94.11207168</v>
      </c>
      <c r="D629" s="40">
        <v>85.4</v>
      </c>
      <c r="E629" s="40">
        <v>79.7</v>
      </c>
      <c r="F629" s="40">
        <v>85.4</v>
      </c>
      <c r="G629" s="40">
        <v>79.7</v>
      </c>
      <c r="H629" s="39">
        <f t="array" ref="H629">IF($H$127=0,0,($D629*$D$127+$E629*$E$127)/$H$127)</f>
        <v>82.75344304</v>
      </c>
      <c r="I629" s="39">
        <f t="array" ref="I629">IF($I$127=0,0,($F629*$F$127+$G629*$G$127)/$I$127)</f>
        <v>161.8497914</v>
      </c>
      <c r="J629" s="39">
        <f t="array" ref="J629">IF($J$127=0,0,($D629*$D$127+$F629*$F$127)/$J$127)</f>
        <v>85.4</v>
      </c>
      <c r="K629" s="39">
        <f t="array" ref="K629">IF($K$127=0,0,($E629*$E$127+$G629*$G$127)/$K$127)</f>
        <v>79.7</v>
      </c>
      <c r="L629" s="1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11"/>
      <c r="B630" s="12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55.5" customHeight="1">
      <c r="A631" s="21" t="s">
        <v>705</v>
      </c>
      <c r="B631" s="22" t="s">
        <v>39</v>
      </c>
      <c r="C631" s="26" t="str">
        <f t="array" ref="C631">IF(C632="","?",C632)&amp;IF(C633="","","; downloaded "&amp;C633)&amp;IF(C634="","","; "&amp;C634)</f>
        <v>https://ec.europa.eu/eurostat/databrowser/view/demo_mlexpec__custom_21041253/default/table; downloaded 46122; no distinction between native/migrant available</v>
      </c>
      <c r="D631" s="25"/>
      <c r="E631" s="25"/>
      <c r="F631" s="25"/>
      <c r="G631" s="25"/>
      <c r="H631" s="25"/>
      <c r="I631" s="25"/>
      <c r="J631" s="25"/>
      <c r="K631" s="25"/>
      <c r="L631" s="25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1.5" customHeight="1">
      <c r="A632" s="11"/>
      <c r="B632" s="22" t="s">
        <v>40</v>
      </c>
      <c r="C632" s="23" t="s">
        <v>706</v>
      </c>
      <c r="D632" s="13"/>
      <c r="E632" s="13"/>
      <c r="F632" s="13"/>
      <c r="G632" s="13"/>
      <c r="H632" s="13"/>
      <c r="I632" s="13"/>
      <c r="J632" s="13"/>
      <c r="K632" s="13"/>
      <c r="L632" s="1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11"/>
      <c r="B633" s="22" t="s">
        <v>42</v>
      </c>
      <c r="C633" s="27">
        <v>46122.0</v>
      </c>
      <c r="D633" s="13"/>
      <c r="E633" s="13"/>
      <c r="F633" s="13"/>
      <c r="G633" s="13"/>
      <c r="H633" s="13"/>
      <c r="I633" s="13"/>
      <c r="J633" s="13"/>
      <c r="K633" s="13"/>
      <c r="L633" s="1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11"/>
      <c r="B634" s="22" t="s">
        <v>43</v>
      </c>
      <c r="C634" s="23" t="s">
        <v>707</v>
      </c>
      <c r="D634" s="13"/>
      <c r="E634" s="13"/>
      <c r="F634" s="13"/>
      <c r="G634" s="13"/>
      <c r="H634" s="13"/>
      <c r="I634" s="13"/>
      <c r="J634" s="13"/>
      <c r="K634" s="13"/>
      <c r="L634" s="1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11"/>
      <c r="B635" s="12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61.5" customHeight="1">
      <c r="A636" s="17"/>
      <c r="B636" s="18" t="s">
        <v>708</v>
      </c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11"/>
      <c r="B637" s="44"/>
      <c r="C637" s="13"/>
      <c r="D637" s="13"/>
      <c r="E637" s="13"/>
      <c r="F637" s="13"/>
      <c r="G637" s="13"/>
      <c r="H637" s="13"/>
      <c r="I637" s="38"/>
      <c r="J637" s="13"/>
      <c r="K637" s="13"/>
      <c r="L637" s="1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11"/>
      <c r="B638" s="45" t="s">
        <v>709</v>
      </c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21" t="s">
        <v>710</v>
      </c>
      <c r="B639" s="22" t="s">
        <v>711</v>
      </c>
      <c r="C639" s="46" t="s">
        <v>712</v>
      </c>
      <c r="D639" s="13"/>
      <c r="E639" s="13"/>
      <c r="F639" s="13"/>
      <c r="G639" s="13"/>
      <c r="H639" s="13"/>
      <c r="I639" s="34">
        <v>24.0</v>
      </c>
      <c r="J639" s="13"/>
      <c r="K639" s="13"/>
      <c r="L639" s="1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21" t="s">
        <v>713</v>
      </c>
      <c r="B640" s="22" t="s">
        <v>714</v>
      </c>
      <c r="C640" s="47" t="s">
        <v>715</v>
      </c>
      <c r="D640" s="13"/>
      <c r="E640" s="13"/>
      <c r="F640" s="13"/>
      <c r="G640" s="13"/>
      <c r="H640" s="13"/>
      <c r="I640" s="34">
        <v>147.0</v>
      </c>
      <c r="J640" s="13"/>
      <c r="K640" s="13"/>
      <c r="L640" s="1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21" t="s">
        <v>716</v>
      </c>
      <c r="B641" s="22" t="s">
        <v>717</v>
      </c>
      <c r="C641" s="47" t="s">
        <v>718</v>
      </c>
      <c r="D641" s="13"/>
      <c r="E641" s="13"/>
      <c r="F641" s="13"/>
      <c r="G641" s="13"/>
      <c r="H641" s="13"/>
      <c r="I641" s="34">
        <v>1979.0</v>
      </c>
      <c r="J641" s="13"/>
      <c r="K641" s="13"/>
      <c r="L641" s="1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21" t="s">
        <v>719</v>
      </c>
      <c r="B642" s="22" t="s">
        <v>720</v>
      </c>
      <c r="C642" s="47" t="s">
        <v>721</v>
      </c>
      <c r="D642" s="13"/>
      <c r="E642" s="13"/>
      <c r="F642" s="13"/>
      <c r="G642" s="13"/>
      <c r="H642" s="13"/>
      <c r="I642" s="34">
        <v>0.0</v>
      </c>
      <c r="J642" s="13"/>
      <c r="K642" s="13"/>
      <c r="L642" s="1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21" t="s">
        <v>722</v>
      </c>
      <c r="B643" s="22" t="s">
        <v>723</v>
      </c>
      <c r="C643" s="47" t="s">
        <v>724</v>
      </c>
      <c r="D643" s="13"/>
      <c r="E643" s="13"/>
      <c r="F643" s="13"/>
      <c r="G643" s="13"/>
      <c r="H643" s="13"/>
      <c r="I643" s="34">
        <v>72.0</v>
      </c>
      <c r="J643" s="13"/>
      <c r="K643" s="13"/>
      <c r="L643" s="1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21" t="s">
        <v>725</v>
      </c>
      <c r="B644" s="22" t="s">
        <v>726</v>
      </c>
      <c r="C644" s="47" t="s">
        <v>727</v>
      </c>
      <c r="D644" s="13"/>
      <c r="E644" s="13"/>
      <c r="F644" s="13"/>
      <c r="G644" s="13"/>
      <c r="H644" s="13"/>
      <c r="I644" s="34">
        <v>7286.0</v>
      </c>
      <c r="J644" s="13"/>
      <c r="K644" s="13"/>
      <c r="L644" s="1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21" t="s">
        <v>728</v>
      </c>
      <c r="B645" s="22" t="s">
        <v>729</v>
      </c>
      <c r="C645" s="47" t="s">
        <v>730</v>
      </c>
      <c r="D645" s="13"/>
      <c r="E645" s="13"/>
      <c r="F645" s="13"/>
      <c r="G645" s="13"/>
      <c r="H645" s="13"/>
      <c r="I645" s="34">
        <v>3950.0</v>
      </c>
      <c r="J645" s="13"/>
      <c r="K645" s="13"/>
      <c r="L645" s="1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21" t="s">
        <v>731</v>
      </c>
      <c r="B646" s="22" t="s">
        <v>732</v>
      </c>
      <c r="C646" s="47" t="s">
        <v>733</v>
      </c>
      <c r="D646" s="13"/>
      <c r="E646" s="13"/>
      <c r="F646" s="13"/>
      <c r="G646" s="13"/>
      <c r="H646" s="13"/>
      <c r="I646" s="34">
        <v>2149.0</v>
      </c>
      <c r="J646" s="13"/>
      <c r="K646" s="13"/>
      <c r="L646" s="1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21" t="s">
        <v>734</v>
      </c>
      <c r="B647" s="22" t="s">
        <v>735</v>
      </c>
      <c r="C647" s="47" t="s">
        <v>736</v>
      </c>
      <c r="D647" s="13"/>
      <c r="E647" s="13"/>
      <c r="F647" s="13"/>
      <c r="G647" s="13"/>
      <c r="H647" s="13"/>
      <c r="I647" s="34">
        <v>4058.0</v>
      </c>
      <c r="J647" s="13"/>
      <c r="K647" s="13"/>
      <c r="L647" s="1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21" t="s">
        <v>737</v>
      </c>
      <c r="B648" s="22" t="s">
        <v>738</v>
      </c>
      <c r="C648" s="47" t="s">
        <v>739</v>
      </c>
      <c r="D648" s="13"/>
      <c r="E648" s="13"/>
      <c r="F648" s="13"/>
      <c r="G648" s="13"/>
      <c r="H648" s="13"/>
      <c r="I648" s="34">
        <v>1014.0</v>
      </c>
      <c r="J648" s="13"/>
      <c r="K648" s="13"/>
      <c r="L648" s="1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21" t="s">
        <v>740</v>
      </c>
      <c r="B649" s="22" t="s">
        <v>741</v>
      </c>
      <c r="C649" s="47" t="s">
        <v>742</v>
      </c>
      <c r="D649" s="13"/>
      <c r="E649" s="13"/>
      <c r="F649" s="13"/>
      <c r="G649" s="13"/>
      <c r="H649" s="13"/>
      <c r="I649" s="34">
        <v>24868.0</v>
      </c>
      <c r="J649" s="13"/>
      <c r="K649" s="13"/>
      <c r="L649" s="1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21" t="s">
        <v>743</v>
      </c>
      <c r="B650" s="22" t="s">
        <v>744</v>
      </c>
      <c r="C650" s="47" t="s">
        <v>745</v>
      </c>
      <c r="D650" s="13"/>
      <c r="E650" s="13"/>
      <c r="F650" s="13"/>
      <c r="G650" s="13"/>
      <c r="H650" s="13"/>
      <c r="I650" s="34">
        <v>1946.0</v>
      </c>
      <c r="J650" s="13"/>
      <c r="K650" s="13"/>
      <c r="L650" s="1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21" t="s">
        <v>746</v>
      </c>
      <c r="B651" s="22" t="s">
        <v>747</v>
      </c>
      <c r="C651" s="47" t="s">
        <v>748</v>
      </c>
      <c r="D651" s="13"/>
      <c r="E651" s="13"/>
      <c r="F651" s="13"/>
      <c r="G651" s="13"/>
      <c r="H651" s="13"/>
      <c r="I651" s="34">
        <v>507.0</v>
      </c>
      <c r="J651" s="13"/>
      <c r="K651" s="13"/>
      <c r="L651" s="1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21" t="s">
        <v>749</v>
      </c>
      <c r="B652" s="22" t="s">
        <v>750</v>
      </c>
      <c r="C652" s="47" t="s">
        <v>751</v>
      </c>
      <c r="D652" s="13"/>
      <c r="E652" s="13"/>
      <c r="F652" s="13"/>
      <c r="G652" s="13"/>
      <c r="H652" s="13"/>
      <c r="I652" s="34">
        <v>22130.0</v>
      </c>
      <c r="J652" s="13"/>
      <c r="K652" s="13"/>
      <c r="L652" s="1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21" t="s">
        <v>752</v>
      </c>
      <c r="B653" s="22" t="s">
        <v>753</v>
      </c>
      <c r="C653" s="47" t="s">
        <v>754</v>
      </c>
      <c r="D653" s="13"/>
      <c r="E653" s="13"/>
      <c r="F653" s="13"/>
      <c r="G653" s="13"/>
      <c r="H653" s="13"/>
      <c r="I653" s="34">
        <v>1424.0</v>
      </c>
      <c r="J653" s="13"/>
      <c r="K653" s="13"/>
      <c r="L653" s="1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21" t="s">
        <v>755</v>
      </c>
      <c r="B654" s="22" t="s">
        <v>756</v>
      </c>
      <c r="C654" s="47" t="s">
        <v>757</v>
      </c>
      <c r="D654" s="13"/>
      <c r="E654" s="13"/>
      <c r="F654" s="13"/>
      <c r="G654" s="13"/>
      <c r="H654" s="13"/>
      <c r="I654" s="34">
        <v>0.0</v>
      </c>
      <c r="J654" s="13"/>
      <c r="K654" s="13"/>
      <c r="L654" s="1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21" t="s">
        <v>758</v>
      </c>
      <c r="B655" s="22" t="s">
        <v>759</v>
      </c>
      <c r="C655" s="47" t="s">
        <v>760</v>
      </c>
      <c r="D655" s="13"/>
      <c r="E655" s="13"/>
      <c r="F655" s="13"/>
      <c r="G655" s="13"/>
      <c r="H655" s="13"/>
      <c r="I655" s="34">
        <v>29009.0</v>
      </c>
      <c r="J655" s="13"/>
      <c r="K655" s="13"/>
      <c r="L655" s="1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1.5" customHeight="1">
      <c r="A656" s="21" t="s">
        <v>761</v>
      </c>
      <c r="B656" s="22" t="s">
        <v>762</v>
      </c>
      <c r="C656" s="47" t="s">
        <v>763</v>
      </c>
      <c r="D656" s="13"/>
      <c r="E656" s="13"/>
      <c r="F656" s="13"/>
      <c r="G656" s="13"/>
      <c r="H656" s="13"/>
      <c r="I656" s="34">
        <v>48238.0</v>
      </c>
      <c r="J656" s="13"/>
      <c r="K656" s="13"/>
      <c r="L656" s="1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21" t="s">
        <v>764</v>
      </c>
      <c r="B657" s="22" t="s">
        <v>765</v>
      </c>
      <c r="C657" s="47" t="s">
        <v>766</v>
      </c>
      <c r="D657" s="13"/>
      <c r="E657" s="13"/>
      <c r="F657" s="13"/>
      <c r="G657" s="13"/>
      <c r="H657" s="13"/>
      <c r="I657" s="34">
        <v>0.0</v>
      </c>
      <c r="J657" s="13"/>
      <c r="K657" s="13"/>
      <c r="L657" s="1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21" t="s">
        <v>767</v>
      </c>
      <c r="B658" s="22" t="s">
        <v>768</v>
      </c>
      <c r="C658" s="47" t="s">
        <v>769</v>
      </c>
      <c r="D658" s="13"/>
      <c r="E658" s="13"/>
      <c r="F658" s="13"/>
      <c r="G658" s="13"/>
      <c r="H658" s="13"/>
      <c r="I658" s="34">
        <v>0.0</v>
      </c>
      <c r="J658" s="13"/>
      <c r="K658" s="13"/>
      <c r="L658" s="1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21" t="s">
        <v>770</v>
      </c>
      <c r="B659" s="22" t="s">
        <v>771</v>
      </c>
      <c r="C659" s="47" t="s">
        <v>772</v>
      </c>
      <c r="D659" s="13"/>
      <c r="E659" s="13"/>
      <c r="F659" s="13"/>
      <c r="G659" s="13"/>
      <c r="H659" s="13"/>
      <c r="I659" s="34">
        <v>1240.0</v>
      </c>
      <c r="J659" s="13"/>
      <c r="K659" s="13"/>
      <c r="L659" s="1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21" t="s">
        <v>773</v>
      </c>
      <c r="B660" s="22" t="s">
        <v>774</v>
      </c>
      <c r="C660" s="47" t="s">
        <v>775</v>
      </c>
      <c r="D660" s="13"/>
      <c r="E660" s="13"/>
      <c r="F660" s="13"/>
      <c r="G660" s="13"/>
      <c r="H660" s="13"/>
      <c r="I660" s="34">
        <v>598.0</v>
      </c>
      <c r="J660" s="13"/>
      <c r="K660" s="13"/>
      <c r="L660" s="1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21" t="s">
        <v>776</v>
      </c>
      <c r="B661" s="22" t="s">
        <v>777</v>
      </c>
      <c r="C661" s="47" t="s">
        <v>778</v>
      </c>
      <c r="D661" s="13"/>
      <c r="E661" s="13"/>
      <c r="F661" s="13"/>
      <c r="G661" s="13"/>
      <c r="H661" s="13"/>
      <c r="I661" s="34">
        <v>1692.0</v>
      </c>
      <c r="J661" s="13"/>
      <c r="K661" s="13"/>
      <c r="L661" s="1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21" t="s">
        <v>779</v>
      </c>
      <c r="B662" s="22" t="s">
        <v>780</v>
      </c>
      <c r="C662" s="47" t="s">
        <v>781</v>
      </c>
      <c r="D662" s="13"/>
      <c r="E662" s="13"/>
      <c r="F662" s="13"/>
      <c r="G662" s="13"/>
      <c r="H662" s="13"/>
      <c r="I662" s="34">
        <v>6081.0</v>
      </c>
      <c r="J662" s="13"/>
      <c r="K662" s="13"/>
      <c r="L662" s="1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21" t="s">
        <v>782</v>
      </c>
      <c r="B663" s="22" t="s">
        <v>783</v>
      </c>
      <c r="C663" s="47" t="s">
        <v>784</v>
      </c>
      <c r="D663" s="13"/>
      <c r="E663" s="13"/>
      <c r="F663" s="13"/>
      <c r="G663" s="13"/>
      <c r="H663" s="13"/>
      <c r="I663" s="34">
        <v>0.0</v>
      </c>
      <c r="J663" s="13"/>
      <c r="K663" s="13"/>
      <c r="L663" s="1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21" t="s">
        <v>785</v>
      </c>
      <c r="B664" s="22" t="s">
        <v>786</v>
      </c>
      <c r="C664" s="47" t="s">
        <v>787</v>
      </c>
      <c r="D664" s="13"/>
      <c r="E664" s="13"/>
      <c r="F664" s="13"/>
      <c r="G664" s="13"/>
      <c r="H664" s="13"/>
      <c r="I664" s="34">
        <v>241.0</v>
      </c>
      <c r="J664" s="13"/>
      <c r="K664" s="13"/>
      <c r="L664" s="1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21" t="s">
        <v>788</v>
      </c>
      <c r="B665" s="22" t="s">
        <v>789</v>
      </c>
      <c r="C665" s="47" t="s">
        <v>790</v>
      </c>
      <c r="D665" s="13"/>
      <c r="E665" s="13"/>
      <c r="F665" s="13"/>
      <c r="G665" s="13"/>
      <c r="H665" s="13"/>
      <c r="I665" s="34">
        <v>40021.0</v>
      </c>
      <c r="J665" s="13"/>
      <c r="K665" s="13"/>
      <c r="L665" s="1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21" t="s">
        <v>791</v>
      </c>
      <c r="B666" s="22" t="s">
        <v>792</v>
      </c>
      <c r="C666" s="47" t="s">
        <v>793</v>
      </c>
      <c r="D666" s="13"/>
      <c r="E666" s="13"/>
      <c r="F666" s="13"/>
      <c r="G666" s="13"/>
      <c r="H666" s="13"/>
      <c r="I666" s="34">
        <v>0.0</v>
      </c>
      <c r="J666" s="13"/>
      <c r="K666" s="13"/>
      <c r="L666" s="1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21" t="s">
        <v>794</v>
      </c>
      <c r="B667" s="22" t="s">
        <v>795</v>
      </c>
      <c r="C667" s="47" t="s">
        <v>796</v>
      </c>
      <c r="D667" s="13"/>
      <c r="E667" s="13"/>
      <c r="F667" s="13"/>
      <c r="G667" s="13"/>
      <c r="H667" s="13"/>
      <c r="I667" s="34">
        <v>11.0</v>
      </c>
      <c r="J667" s="13"/>
      <c r="K667" s="13"/>
      <c r="L667" s="1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21" t="s">
        <v>797</v>
      </c>
      <c r="B668" s="22" t="s">
        <v>798</v>
      </c>
      <c r="C668" s="47" t="s">
        <v>799</v>
      </c>
      <c r="D668" s="13"/>
      <c r="E668" s="13"/>
      <c r="F668" s="13"/>
      <c r="G668" s="13"/>
      <c r="H668" s="13"/>
      <c r="I668" s="34">
        <v>1274.0</v>
      </c>
      <c r="J668" s="13"/>
      <c r="K668" s="13"/>
      <c r="L668" s="1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21" t="s">
        <v>800</v>
      </c>
      <c r="B669" s="22" t="s">
        <v>801</v>
      </c>
      <c r="C669" s="47" t="s">
        <v>802</v>
      </c>
      <c r="D669" s="13"/>
      <c r="E669" s="13"/>
      <c r="F669" s="13"/>
      <c r="G669" s="13"/>
      <c r="H669" s="13"/>
      <c r="I669" s="34">
        <v>830.0</v>
      </c>
      <c r="J669" s="13"/>
      <c r="K669" s="13"/>
      <c r="L669" s="1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21" t="s">
        <v>803</v>
      </c>
      <c r="B670" s="22" t="s">
        <v>804</v>
      </c>
      <c r="C670" s="47" t="s">
        <v>805</v>
      </c>
      <c r="D670" s="13"/>
      <c r="E670" s="13"/>
      <c r="F670" s="13"/>
      <c r="G670" s="13"/>
      <c r="H670" s="13"/>
      <c r="I670" s="34">
        <v>1031.0</v>
      </c>
      <c r="J670" s="13"/>
      <c r="K670" s="13"/>
      <c r="L670" s="1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21" t="s">
        <v>806</v>
      </c>
      <c r="B671" s="22" t="s">
        <v>807</v>
      </c>
      <c r="C671" s="47" t="s">
        <v>808</v>
      </c>
      <c r="D671" s="13"/>
      <c r="E671" s="13"/>
      <c r="F671" s="13"/>
      <c r="G671" s="13"/>
      <c r="H671" s="13"/>
      <c r="I671" s="34">
        <v>0.0</v>
      </c>
      <c r="J671" s="13"/>
      <c r="K671" s="13"/>
      <c r="L671" s="1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21" t="s">
        <v>809</v>
      </c>
      <c r="B672" s="22" t="s">
        <v>810</v>
      </c>
      <c r="C672" s="47" t="s">
        <v>811</v>
      </c>
      <c r="D672" s="13"/>
      <c r="E672" s="13"/>
      <c r="F672" s="13"/>
      <c r="G672" s="13"/>
      <c r="H672" s="13"/>
      <c r="I672" s="34">
        <v>5955.0</v>
      </c>
      <c r="J672" s="13"/>
      <c r="K672" s="13"/>
      <c r="L672" s="1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21" t="s">
        <v>812</v>
      </c>
      <c r="B673" s="22" t="s">
        <v>813</v>
      </c>
      <c r="C673" s="47" t="s">
        <v>814</v>
      </c>
      <c r="D673" s="13"/>
      <c r="E673" s="13"/>
      <c r="F673" s="13"/>
      <c r="G673" s="13"/>
      <c r="H673" s="13"/>
      <c r="I673" s="34">
        <v>33.0</v>
      </c>
      <c r="J673" s="13"/>
      <c r="K673" s="13"/>
      <c r="L673" s="1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21" t="s">
        <v>815</v>
      </c>
      <c r="B674" s="22" t="s">
        <v>816</v>
      </c>
      <c r="C674" s="47" t="s">
        <v>817</v>
      </c>
      <c r="D674" s="13"/>
      <c r="E674" s="13"/>
      <c r="F674" s="13"/>
      <c r="G674" s="13"/>
      <c r="H674" s="13"/>
      <c r="I674" s="34">
        <v>99.0</v>
      </c>
      <c r="J674" s="13"/>
      <c r="K674" s="13"/>
      <c r="L674" s="1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21" t="s">
        <v>818</v>
      </c>
      <c r="B675" s="22" t="s">
        <v>819</v>
      </c>
      <c r="C675" s="47" t="s">
        <v>820</v>
      </c>
      <c r="D675" s="13"/>
      <c r="E675" s="13"/>
      <c r="F675" s="13"/>
      <c r="G675" s="13"/>
      <c r="H675" s="13"/>
      <c r="I675" s="34">
        <v>208.0</v>
      </c>
      <c r="J675" s="13"/>
      <c r="K675" s="13"/>
      <c r="L675" s="1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21" t="s">
        <v>821</v>
      </c>
      <c r="B676" s="22" t="s">
        <v>822</v>
      </c>
      <c r="C676" s="47" t="s">
        <v>823</v>
      </c>
      <c r="D676" s="13"/>
      <c r="E676" s="13"/>
      <c r="F676" s="13"/>
      <c r="G676" s="13"/>
      <c r="H676" s="13"/>
      <c r="I676" s="34">
        <v>15039.0</v>
      </c>
      <c r="J676" s="13"/>
      <c r="K676" s="13"/>
      <c r="L676" s="1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21" t="s">
        <v>824</v>
      </c>
      <c r="B677" s="22" t="s">
        <v>825</v>
      </c>
      <c r="C677" s="47" t="s">
        <v>826</v>
      </c>
      <c r="D677" s="13"/>
      <c r="E677" s="13"/>
      <c r="F677" s="13"/>
      <c r="G677" s="13"/>
      <c r="H677" s="13"/>
      <c r="I677" s="34">
        <v>1356.0</v>
      </c>
      <c r="J677" s="13"/>
      <c r="K677" s="13"/>
      <c r="L677" s="1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21" t="s">
        <v>827</v>
      </c>
      <c r="B678" s="22" t="s">
        <v>828</v>
      </c>
      <c r="C678" s="47" t="s">
        <v>829</v>
      </c>
      <c r="D678" s="13"/>
      <c r="E678" s="13"/>
      <c r="F678" s="13"/>
      <c r="G678" s="13"/>
      <c r="H678" s="13"/>
      <c r="I678" s="34">
        <v>5679.0</v>
      </c>
      <c r="J678" s="13"/>
      <c r="K678" s="13"/>
      <c r="L678" s="1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21" t="s">
        <v>830</v>
      </c>
      <c r="B679" s="22" t="s">
        <v>32</v>
      </c>
      <c r="C679" s="47" t="s">
        <v>30</v>
      </c>
      <c r="D679" s="13"/>
      <c r="E679" s="13"/>
      <c r="F679" s="13"/>
      <c r="G679" s="13"/>
      <c r="H679" s="13"/>
      <c r="I679" s="34">
        <v>0.0</v>
      </c>
      <c r="J679" s="13"/>
      <c r="K679" s="13"/>
      <c r="L679" s="1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21" t="s">
        <v>831</v>
      </c>
      <c r="B680" s="22" t="s">
        <v>832</v>
      </c>
      <c r="C680" s="47" t="s">
        <v>833</v>
      </c>
      <c r="D680" s="13"/>
      <c r="E680" s="13"/>
      <c r="F680" s="13"/>
      <c r="G680" s="13"/>
      <c r="H680" s="13"/>
      <c r="I680" s="34">
        <v>18595.0</v>
      </c>
      <c r="J680" s="13"/>
      <c r="K680" s="13"/>
      <c r="L680" s="1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21" t="s">
        <v>834</v>
      </c>
      <c r="B681" s="22" t="s">
        <v>835</v>
      </c>
      <c r="C681" s="47" t="s">
        <v>836</v>
      </c>
      <c r="D681" s="13"/>
      <c r="E681" s="13"/>
      <c r="F681" s="13"/>
      <c r="G681" s="13"/>
      <c r="H681" s="13"/>
      <c r="I681" s="34">
        <v>425.0</v>
      </c>
      <c r="J681" s="13"/>
      <c r="K681" s="13"/>
      <c r="L681" s="1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21" t="s">
        <v>837</v>
      </c>
      <c r="B682" s="22" t="s">
        <v>838</v>
      </c>
      <c r="C682" s="47" t="s">
        <v>839</v>
      </c>
      <c r="D682" s="13"/>
      <c r="E682" s="13"/>
      <c r="F682" s="13"/>
      <c r="G682" s="13"/>
      <c r="H682" s="13"/>
      <c r="I682" s="34">
        <v>18509.0</v>
      </c>
      <c r="J682" s="13"/>
      <c r="K682" s="13"/>
      <c r="L682" s="1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21" t="s">
        <v>840</v>
      </c>
      <c r="B683" s="22" t="s">
        <v>841</v>
      </c>
      <c r="C683" s="47" t="s">
        <v>842</v>
      </c>
      <c r="D683" s="13"/>
      <c r="E683" s="13"/>
      <c r="F683" s="13"/>
      <c r="G683" s="13"/>
      <c r="H683" s="13"/>
      <c r="I683" s="34">
        <v>6382.0</v>
      </c>
      <c r="J683" s="13"/>
      <c r="K683" s="13"/>
      <c r="L683" s="1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21" t="s">
        <v>843</v>
      </c>
      <c r="B684" s="22" t="s">
        <v>844</v>
      </c>
      <c r="C684" s="47" t="s">
        <v>845</v>
      </c>
      <c r="D684" s="13"/>
      <c r="E684" s="13"/>
      <c r="F684" s="13"/>
      <c r="G684" s="13"/>
      <c r="H684" s="13"/>
      <c r="I684" s="34">
        <v>365.0</v>
      </c>
      <c r="J684" s="13"/>
      <c r="K684" s="13"/>
      <c r="L684" s="1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21" t="s">
        <v>846</v>
      </c>
      <c r="B685" s="22" t="s">
        <v>825</v>
      </c>
      <c r="C685" s="47" t="s">
        <v>847</v>
      </c>
      <c r="D685" s="13"/>
      <c r="E685" s="13"/>
      <c r="F685" s="13"/>
      <c r="G685" s="13"/>
      <c r="H685" s="13"/>
      <c r="I685" s="34">
        <v>1356.0</v>
      </c>
      <c r="J685" s="13"/>
      <c r="K685" s="13"/>
      <c r="L685" s="1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21" t="s">
        <v>848</v>
      </c>
      <c r="B686" s="22" t="s">
        <v>849</v>
      </c>
      <c r="C686" s="47" t="s">
        <v>850</v>
      </c>
      <c r="D686" s="13"/>
      <c r="E686" s="13"/>
      <c r="F686" s="13"/>
      <c r="G686" s="13"/>
      <c r="H686" s="13"/>
      <c r="I686" s="34">
        <v>701.0</v>
      </c>
      <c r="J686" s="13"/>
      <c r="K686" s="13"/>
      <c r="L686" s="1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21" t="s">
        <v>851</v>
      </c>
      <c r="B687" s="22" t="s">
        <v>852</v>
      </c>
      <c r="C687" s="47" t="s">
        <v>853</v>
      </c>
      <c r="D687" s="13"/>
      <c r="E687" s="13"/>
      <c r="F687" s="13"/>
      <c r="G687" s="13"/>
      <c r="H687" s="13"/>
      <c r="I687" s="34">
        <v>0.0</v>
      </c>
      <c r="J687" s="13"/>
      <c r="K687" s="13"/>
      <c r="L687" s="1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21" t="s">
        <v>854</v>
      </c>
      <c r="B688" s="22" t="s">
        <v>855</v>
      </c>
      <c r="C688" s="47" t="s">
        <v>856</v>
      </c>
      <c r="D688" s="13"/>
      <c r="E688" s="13"/>
      <c r="F688" s="13"/>
      <c r="G688" s="13"/>
      <c r="H688" s="13"/>
      <c r="I688" s="34">
        <v>79232.0</v>
      </c>
      <c r="J688" s="13"/>
      <c r="K688" s="13"/>
      <c r="L688" s="1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21" t="s">
        <v>857</v>
      </c>
      <c r="B689" s="22" t="s">
        <v>858</v>
      </c>
      <c r="C689" s="47" t="s">
        <v>859</v>
      </c>
      <c r="D689" s="13"/>
      <c r="E689" s="13"/>
      <c r="F689" s="13"/>
      <c r="G689" s="13"/>
      <c r="H689" s="13"/>
      <c r="I689" s="34">
        <v>0.0</v>
      </c>
      <c r="J689" s="13"/>
      <c r="K689" s="13"/>
      <c r="L689" s="1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21" t="s">
        <v>860</v>
      </c>
      <c r="B690" s="22" t="s">
        <v>861</v>
      </c>
      <c r="C690" s="47" t="s">
        <v>862</v>
      </c>
      <c r="D690" s="13"/>
      <c r="E690" s="13"/>
      <c r="F690" s="13"/>
      <c r="G690" s="13"/>
      <c r="H690" s="13"/>
      <c r="I690" s="34">
        <v>45.0</v>
      </c>
      <c r="J690" s="13"/>
      <c r="K690" s="13"/>
      <c r="L690" s="1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21" t="s">
        <v>863</v>
      </c>
      <c r="B691" s="48" t="s">
        <v>709</v>
      </c>
      <c r="C691" s="13"/>
      <c r="D691" s="13"/>
      <c r="E691" s="13"/>
      <c r="F691" s="13"/>
      <c r="G691" s="13"/>
      <c r="H691" s="13"/>
      <c r="I691" s="13">
        <f t="array" ref="I691">SUM(I639:I690)</f>
        <v>355799</v>
      </c>
      <c r="J691" s="13"/>
      <c r="K691" s="13"/>
      <c r="L691" s="1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11"/>
      <c r="B692" s="12"/>
      <c r="C692" s="25"/>
      <c r="D692" s="13"/>
      <c r="E692" s="13"/>
      <c r="F692" s="13"/>
      <c r="G692" s="13"/>
      <c r="H692" s="13"/>
      <c r="I692" s="13"/>
      <c r="J692" s="13"/>
      <c r="K692" s="13"/>
      <c r="L692" s="1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11"/>
      <c r="B693" s="45" t="s">
        <v>864</v>
      </c>
      <c r="C693" s="25"/>
      <c r="D693" s="13"/>
      <c r="E693" s="13"/>
      <c r="F693" s="13"/>
      <c r="G693" s="13"/>
      <c r="H693" s="13"/>
      <c r="I693" s="13"/>
      <c r="J693" s="13"/>
      <c r="K693" s="13"/>
      <c r="L693" s="1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21" t="s">
        <v>865</v>
      </c>
      <c r="B694" s="22" t="s">
        <v>866</v>
      </c>
      <c r="C694" s="47" t="s">
        <v>867</v>
      </c>
      <c r="D694" s="13"/>
      <c r="E694" s="13"/>
      <c r="F694" s="13"/>
      <c r="G694" s="13"/>
      <c r="H694" s="13"/>
      <c r="I694" s="34">
        <v>28.0</v>
      </c>
      <c r="J694" s="13"/>
      <c r="K694" s="13"/>
      <c r="L694" s="1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21" t="s">
        <v>868</v>
      </c>
      <c r="B695" s="22" t="s">
        <v>869</v>
      </c>
      <c r="C695" s="47" t="s">
        <v>870</v>
      </c>
      <c r="D695" s="13"/>
      <c r="E695" s="13"/>
      <c r="F695" s="13"/>
      <c r="G695" s="13"/>
      <c r="H695" s="13"/>
      <c r="I695" s="34">
        <v>1.0</v>
      </c>
      <c r="J695" s="13"/>
      <c r="K695" s="13"/>
      <c r="L695" s="1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21" t="s">
        <v>871</v>
      </c>
      <c r="B696" s="22" t="s">
        <v>872</v>
      </c>
      <c r="C696" s="47" t="s">
        <v>873</v>
      </c>
      <c r="D696" s="13"/>
      <c r="E696" s="13"/>
      <c r="F696" s="13"/>
      <c r="G696" s="13"/>
      <c r="H696" s="13"/>
      <c r="I696" s="34">
        <v>0.0</v>
      </c>
      <c r="J696" s="13"/>
      <c r="K696" s="13"/>
      <c r="L696" s="1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21" t="s">
        <v>874</v>
      </c>
      <c r="B697" s="22" t="s">
        <v>875</v>
      </c>
      <c r="C697" s="47" t="s">
        <v>876</v>
      </c>
      <c r="D697" s="13"/>
      <c r="E697" s="13"/>
      <c r="F697" s="13"/>
      <c r="G697" s="13"/>
      <c r="H697" s="13"/>
      <c r="I697" s="34">
        <v>6.0</v>
      </c>
      <c r="J697" s="13"/>
      <c r="K697" s="13"/>
      <c r="L697" s="1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21" t="s">
        <v>877</v>
      </c>
      <c r="B698" s="22" t="s">
        <v>878</v>
      </c>
      <c r="C698" s="47" t="s">
        <v>879</v>
      </c>
      <c r="D698" s="13"/>
      <c r="E698" s="13"/>
      <c r="F698" s="13"/>
      <c r="G698" s="13"/>
      <c r="H698" s="13"/>
      <c r="I698" s="34">
        <v>0.0</v>
      </c>
      <c r="J698" s="13"/>
      <c r="K698" s="13"/>
      <c r="L698" s="1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21" t="s">
        <v>880</v>
      </c>
      <c r="B699" s="22" t="s">
        <v>881</v>
      </c>
      <c r="C699" s="47" t="s">
        <v>882</v>
      </c>
      <c r="D699" s="13"/>
      <c r="E699" s="13"/>
      <c r="F699" s="13"/>
      <c r="G699" s="13"/>
      <c r="H699" s="13"/>
      <c r="I699" s="34">
        <v>8.0</v>
      </c>
      <c r="J699" s="13"/>
      <c r="K699" s="13"/>
      <c r="L699" s="1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21" t="s">
        <v>883</v>
      </c>
      <c r="B700" s="22" t="s">
        <v>884</v>
      </c>
      <c r="C700" s="47" t="s">
        <v>885</v>
      </c>
      <c r="D700" s="13"/>
      <c r="E700" s="13"/>
      <c r="F700" s="13"/>
      <c r="G700" s="13"/>
      <c r="H700" s="13"/>
      <c r="I700" s="34">
        <v>0.0</v>
      </c>
      <c r="J700" s="13"/>
      <c r="K700" s="13"/>
      <c r="L700" s="1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21" t="s">
        <v>886</v>
      </c>
      <c r="B701" s="22" t="s">
        <v>887</v>
      </c>
      <c r="C701" s="47" t="s">
        <v>888</v>
      </c>
      <c r="D701" s="13"/>
      <c r="E701" s="13"/>
      <c r="F701" s="13"/>
      <c r="G701" s="13"/>
      <c r="H701" s="13"/>
      <c r="I701" s="34">
        <v>5.0</v>
      </c>
      <c r="J701" s="13"/>
      <c r="K701" s="13"/>
      <c r="L701" s="1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21" t="s">
        <v>889</v>
      </c>
      <c r="B702" s="22" t="s">
        <v>890</v>
      </c>
      <c r="C702" s="47" t="s">
        <v>891</v>
      </c>
      <c r="D702" s="13"/>
      <c r="E702" s="13"/>
      <c r="F702" s="13"/>
      <c r="G702" s="13"/>
      <c r="H702" s="13"/>
      <c r="I702" s="34">
        <v>8.0</v>
      </c>
      <c r="J702" s="13"/>
      <c r="K702" s="13"/>
      <c r="L702" s="1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21" t="s">
        <v>892</v>
      </c>
      <c r="B703" s="22" t="s">
        <v>893</v>
      </c>
      <c r="C703" s="47" t="s">
        <v>894</v>
      </c>
      <c r="D703" s="13"/>
      <c r="E703" s="13"/>
      <c r="F703" s="13"/>
      <c r="G703" s="13"/>
      <c r="H703" s="13"/>
      <c r="I703" s="34">
        <v>2876.0</v>
      </c>
      <c r="J703" s="13"/>
      <c r="K703" s="13"/>
      <c r="L703" s="1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21" t="s">
        <v>895</v>
      </c>
      <c r="B704" s="22" t="s">
        <v>896</v>
      </c>
      <c r="C704" s="47" t="s">
        <v>897</v>
      </c>
      <c r="D704" s="13"/>
      <c r="E704" s="13"/>
      <c r="F704" s="13"/>
      <c r="G704" s="13"/>
      <c r="H704" s="13"/>
      <c r="I704" s="34">
        <v>221.0</v>
      </c>
      <c r="J704" s="13"/>
      <c r="K704" s="13"/>
      <c r="L704" s="1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21" t="s">
        <v>898</v>
      </c>
      <c r="B705" s="22" t="s">
        <v>899</v>
      </c>
      <c r="C705" s="47" t="s">
        <v>900</v>
      </c>
      <c r="D705" s="13"/>
      <c r="E705" s="13"/>
      <c r="F705" s="13"/>
      <c r="G705" s="13"/>
      <c r="H705" s="13"/>
      <c r="I705" s="34">
        <v>2638.0</v>
      </c>
      <c r="J705" s="13"/>
      <c r="K705" s="13"/>
      <c r="L705" s="1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21" t="s">
        <v>901</v>
      </c>
      <c r="B706" s="22" t="s">
        <v>902</v>
      </c>
      <c r="C706" s="47" t="s">
        <v>903</v>
      </c>
      <c r="D706" s="13"/>
      <c r="E706" s="13"/>
      <c r="F706" s="13"/>
      <c r="G706" s="13"/>
      <c r="H706" s="13"/>
      <c r="I706" s="34">
        <v>0.0</v>
      </c>
      <c r="J706" s="13"/>
      <c r="K706" s="13"/>
      <c r="L706" s="1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21" t="s">
        <v>904</v>
      </c>
      <c r="B707" s="22" t="s">
        <v>905</v>
      </c>
      <c r="C707" s="47" t="s">
        <v>906</v>
      </c>
      <c r="D707" s="13"/>
      <c r="E707" s="13"/>
      <c r="F707" s="13"/>
      <c r="G707" s="13"/>
      <c r="H707" s="13"/>
      <c r="I707" s="34">
        <v>57.0</v>
      </c>
      <c r="J707" s="13"/>
      <c r="K707" s="13"/>
      <c r="L707" s="1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21" t="s">
        <v>907</v>
      </c>
      <c r="B708" s="22" t="s">
        <v>908</v>
      </c>
      <c r="C708" s="47" t="s">
        <v>909</v>
      </c>
      <c r="D708" s="13"/>
      <c r="E708" s="13"/>
      <c r="F708" s="13"/>
      <c r="G708" s="13"/>
      <c r="H708" s="13"/>
      <c r="I708" s="34">
        <v>280.0</v>
      </c>
      <c r="J708" s="13"/>
      <c r="K708" s="13"/>
      <c r="L708" s="1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21" t="s">
        <v>910</v>
      </c>
      <c r="B709" s="22" t="s">
        <v>911</v>
      </c>
      <c r="C709" s="47" t="s">
        <v>912</v>
      </c>
      <c r="D709" s="13"/>
      <c r="E709" s="13"/>
      <c r="F709" s="13"/>
      <c r="G709" s="13"/>
      <c r="H709" s="13"/>
      <c r="I709" s="34">
        <v>15.0</v>
      </c>
      <c r="J709" s="13"/>
      <c r="K709" s="13"/>
      <c r="L709" s="1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21" t="s">
        <v>913</v>
      </c>
      <c r="B710" s="22" t="s">
        <v>914</v>
      </c>
      <c r="C710" s="47" t="s">
        <v>915</v>
      </c>
      <c r="D710" s="13"/>
      <c r="E710" s="13"/>
      <c r="F710" s="13"/>
      <c r="G710" s="13"/>
      <c r="H710" s="13"/>
      <c r="I710" s="34">
        <v>0.0</v>
      </c>
      <c r="J710" s="13"/>
      <c r="K710" s="13"/>
      <c r="L710" s="1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21" t="s">
        <v>916</v>
      </c>
      <c r="B711" s="22" t="s">
        <v>917</v>
      </c>
      <c r="C711" s="47" t="s">
        <v>918</v>
      </c>
      <c r="D711" s="13"/>
      <c r="E711" s="13"/>
      <c r="F711" s="13"/>
      <c r="G711" s="13"/>
      <c r="H711" s="13"/>
      <c r="I711" s="34">
        <v>0.0</v>
      </c>
      <c r="J711" s="13"/>
      <c r="K711" s="13"/>
      <c r="L711" s="1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21" t="s">
        <v>919</v>
      </c>
      <c r="B712" s="22" t="s">
        <v>920</v>
      </c>
      <c r="C712" s="47" t="s">
        <v>921</v>
      </c>
      <c r="D712" s="13"/>
      <c r="E712" s="13"/>
      <c r="F712" s="13"/>
      <c r="G712" s="13"/>
      <c r="H712" s="13"/>
      <c r="I712" s="34">
        <v>216.0</v>
      </c>
      <c r="J712" s="13"/>
      <c r="K712" s="13"/>
      <c r="L712" s="1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21" t="s">
        <v>922</v>
      </c>
      <c r="B713" s="22" t="s">
        <v>923</v>
      </c>
      <c r="C713" s="47" t="s">
        <v>924</v>
      </c>
      <c r="D713" s="13"/>
      <c r="E713" s="13"/>
      <c r="F713" s="13"/>
      <c r="G713" s="13"/>
      <c r="H713" s="13"/>
      <c r="I713" s="34">
        <v>140.0</v>
      </c>
      <c r="J713" s="13"/>
      <c r="K713" s="13"/>
      <c r="L713" s="1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21" t="s">
        <v>925</v>
      </c>
      <c r="B714" s="22" t="s">
        <v>926</v>
      </c>
      <c r="C714" s="47" t="s">
        <v>927</v>
      </c>
      <c r="D714" s="13"/>
      <c r="E714" s="13"/>
      <c r="F714" s="13"/>
      <c r="G714" s="13"/>
      <c r="H714" s="13"/>
      <c r="I714" s="34">
        <v>34.0</v>
      </c>
      <c r="J714" s="13"/>
      <c r="K714" s="13"/>
      <c r="L714" s="1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21" t="s">
        <v>928</v>
      </c>
      <c r="B715" s="22" t="s">
        <v>929</v>
      </c>
      <c r="C715" s="47" t="s">
        <v>930</v>
      </c>
      <c r="D715" s="13"/>
      <c r="E715" s="13"/>
      <c r="F715" s="13"/>
      <c r="G715" s="13"/>
      <c r="H715" s="13"/>
      <c r="I715" s="34">
        <v>33.0</v>
      </c>
      <c r="J715" s="13"/>
      <c r="K715" s="13"/>
      <c r="L715" s="1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21" t="s">
        <v>931</v>
      </c>
      <c r="B716" s="22" t="s">
        <v>932</v>
      </c>
      <c r="C716" s="47" t="s">
        <v>933</v>
      </c>
      <c r="D716" s="13"/>
      <c r="E716" s="13"/>
      <c r="F716" s="13"/>
      <c r="G716" s="13"/>
      <c r="H716" s="13"/>
      <c r="I716" s="34">
        <v>85.0</v>
      </c>
      <c r="J716" s="13"/>
      <c r="K716" s="13"/>
      <c r="L716" s="1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21" t="s">
        <v>934</v>
      </c>
      <c r="B717" s="22" t="s">
        <v>935</v>
      </c>
      <c r="C717" s="47" t="s">
        <v>936</v>
      </c>
      <c r="D717" s="13"/>
      <c r="E717" s="13"/>
      <c r="F717" s="13"/>
      <c r="G717" s="13"/>
      <c r="H717" s="13"/>
      <c r="I717" s="34">
        <v>0.0</v>
      </c>
      <c r="J717" s="13"/>
      <c r="K717" s="13"/>
      <c r="L717" s="1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21" t="s">
        <v>937</v>
      </c>
      <c r="B718" s="22" t="s">
        <v>938</v>
      </c>
      <c r="C718" s="47" t="s">
        <v>939</v>
      </c>
      <c r="D718" s="13"/>
      <c r="E718" s="13"/>
      <c r="F718" s="13"/>
      <c r="G718" s="13"/>
      <c r="H718" s="13"/>
      <c r="I718" s="34">
        <v>6.0</v>
      </c>
      <c r="J718" s="13"/>
      <c r="K718" s="13"/>
      <c r="L718" s="1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21" t="s">
        <v>940</v>
      </c>
      <c r="B719" s="22" t="s">
        <v>941</v>
      </c>
      <c r="C719" s="47" t="s">
        <v>942</v>
      </c>
      <c r="D719" s="13"/>
      <c r="E719" s="13"/>
      <c r="F719" s="13"/>
      <c r="G719" s="13"/>
      <c r="H719" s="13"/>
      <c r="I719" s="34">
        <v>0.0</v>
      </c>
      <c r="J719" s="13"/>
      <c r="K719" s="13"/>
      <c r="L719" s="1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21" t="s">
        <v>943</v>
      </c>
      <c r="B720" s="22" t="s">
        <v>944</v>
      </c>
      <c r="C720" s="47" t="s">
        <v>945</v>
      </c>
      <c r="D720" s="13"/>
      <c r="E720" s="13"/>
      <c r="F720" s="13"/>
      <c r="G720" s="13"/>
      <c r="H720" s="13"/>
      <c r="I720" s="34">
        <v>0.0</v>
      </c>
      <c r="J720" s="13"/>
      <c r="K720" s="13"/>
      <c r="L720" s="1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21" t="s">
        <v>946</v>
      </c>
      <c r="B721" s="22" t="s">
        <v>947</v>
      </c>
      <c r="C721" s="47" t="s">
        <v>948</v>
      </c>
      <c r="D721" s="13"/>
      <c r="E721" s="13"/>
      <c r="F721" s="13"/>
      <c r="G721" s="13"/>
      <c r="H721" s="13"/>
      <c r="I721" s="34">
        <v>0.0</v>
      </c>
      <c r="J721" s="13"/>
      <c r="K721" s="13"/>
      <c r="L721" s="1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21" t="s">
        <v>949</v>
      </c>
      <c r="B722" s="22" t="s">
        <v>950</v>
      </c>
      <c r="C722" s="47" t="s">
        <v>951</v>
      </c>
      <c r="D722" s="13"/>
      <c r="E722" s="13"/>
      <c r="F722" s="13"/>
      <c r="G722" s="13"/>
      <c r="H722" s="13"/>
      <c r="I722" s="34">
        <v>1492.0</v>
      </c>
      <c r="J722" s="13"/>
      <c r="K722" s="13"/>
      <c r="L722" s="1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21" t="s">
        <v>952</v>
      </c>
      <c r="B723" s="22" t="s">
        <v>953</v>
      </c>
      <c r="C723" s="47" t="s">
        <v>954</v>
      </c>
      <c r="D723" s="13"/>
      <c r="E723" s="13"/>
      <c r="F723" s="13"/>
      <c r="G723" s="13"/>
      <c r="H723" s="13"/>
      <c r="I723" s="34">
        <v>158.0</v>
      </c>
      <c r="J723" s="13"/>
      <c r="K723" s="13"/>
      <c r="L723" s="1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21" t="s">
        <v>955</v>
      </c>
      <c r="B724" s="22" t="s">
        <v>956</v>
      </c>
      <c r="C724" s="47" t="s">
        <v>957</v>
      </c>
      <c r="D724" s="13"/>
      <c r="E724" s="13"/>
      <c r="F724" s="13"/>
      <c r="G724" s="13"/>
      <c r="H724" s="13"/>
      <c r="I724" s="34">
        <v>160.0</v>
      </c>
      <c r="J724" s="13"/>
      <c r="K724" s="13"/>
      <c r="L724" s="1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21" t="s">
        <v>958</v>
      </c>
      <c r="B725" s="22" t="s">
        <v>959</v>
      </c>
      <c r="C725" s="47" t="s">
        <v>960</v>
      </c>
      <c r="D725" s="13"/>
      <c r="E725" s="13"/>
      <c r="F725" s="13"/>
      <c r="G725" s="13"/>
      <c r="H725" s="13"/>
      <c r="I725" s="34">
        <v>0.0</v>
      </c>
      <c r="J725" s="13"/>
      <c r="K725" s="13"/>
      <c r="L725" s="1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21" t="s">
        <v>961</v>
      </c>
      <c r="B726" s="22" t="s">
        <v>962</v>
      </c>
      <c r="C726" s="47" t="s">
        <v>963</v>
      </c>
      <c r="D726" s="13"/>
      <c r="E726" s="13"/>
      <c r="F726" s="13"/>
      <c r="G726" s="13"/>
      <c r="H726" s="13"/>
      <c r="I726" s="34">
        <v>0.0</v>
      </c>
      <c r="J726" s="13"/>
      <c r="K726" s="13"/>
      <c r="L726" s="1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21" t="s">
        <v>964</v>
      </c>
      <c r="B727" s="22" t="s">
        <v>965</v>
      </c>
      <c r="C727" s="47" t="s">
        <v>966</v>
      </c>
      <c r="D727" s="13"/>
      <c r="E727" s="13"/>
      <c r="F727" s="13"/>
      <c r="G727" s="13"/>
      <c r="H727" s="13"/>
      <c r="I727" s="34">
        <v>272.0</v>
      </c>
      <c r="J727" s="13"/>
      <c r="K727" s="13"/>
      <c r="L727" s="1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21" t="s">
        <v>967</v>
      </c>
      <c r="B728" s="22" t="s">
        <v>968</v>
      </c>
      <c r="C728" s="47" t="s">
        <v>969</v>
      </c>
      <c r="D728" s="13"/>
      <c r="E728" s="13"/>
      <c r="F728" s="13"/>
      <c r="G728" s="13"/>
      <c r="H728" s="13"/>
      <c r="I728" s="34">
        <v>0.0</v>
      </c>
      <c r="J728" s="13"/>
      <c r="K728" s="13"/>
      <c r="L728" s="1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21" t="s">
        <v>970</v>
      </c>
      <c r="B729" s="22" t="s">
        <v>971</v>
      </c>
      <c r="C729" s="47" t="s">
        <v>972</v>
      </c>
      <c r="D729" s="13"/>
      <c r="E729" s="13"/>
      <c r="F729" s="13"/>
      <c r="G729" s="13"/>
      <c r="H729" s="13"/>
      <c r="I729" s="34">
        <v>0.0</v>
      </c>
      <c r="J729" s="13"/>
      <c r="K729" s="13"/>
      <c r="L729" s="1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21" t="s">
        <v>973</v>
      </c>
      <c r="B730" s="22" t="s">
        <v>974</v>
      </c>
      <c r="C730" s="47" t="s">
        <v>975</v>
      </c>
      <c r="D730" s="13"/>
      <c r="E730" s="13"/>
      <c r="F730" s="13"/>
      <c r="G730" s="13"/>
      <c r="H730" s="13"/>
      <c r="I730" s="34">
        <v>36.0</v>
      </c>
      <c r="J730" s="13"/>
      <c r="K730" s="13"/>
      <c r="L730" s="1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21" t="s">
        <v>976</v>
      </c>
      <c r="B731" s="22" t="s">
        <v>977</v>
      </c>
      <c r="C731" s="47" t="s">
        <v>978</v>
      </c>
      <c r="D731" s="13"/>
      <c r="E731" s="13"/>
      <c r="F731" s="13"/>
      <c r="G731" s="13"/>
      <c r="H731" s="13"/>
      <c r="I731" s="34">
        <v>19258.0</v>
      </c>
      <c r="J731" s="13"/>
      <c r="K731" s="13"/>
      <c r="L731" s="1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21" t="s">
        <v>979</v>
      </c>
      <c r="B732" s="22" t="s">
        <v>980</v>
      </c>
      <c r="C732" s="47" t="s">
        <v>981</v>
      </c>
      <c r="D732" s="13"/>
      <c r="E732" s="13"/>
      <c r="F732" s="13"/>
      <c r="G732" s="13"/>
      <c r="H732" s="13"/>
      <c r="I732" s="34">
        <v>2.0</v>
      </c>
      <c r="J732" s="13"/>
      <c r="K732" s="13"/>
      <c r="L732" s="1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21" t="s">
        <v>982</v>
      </c>
      <c r="B733" s="22" t="s">
        <v>983</v>
      </c>
      <c r="C733" s="47" t="s">
        <v>984</v>
      </c>
      <c r="D733" s="13"/>
      <c r="E733" s="13"/>
      <c r="F733" s="13"/>
      <c r="G733" s="13"/>
      <c r="H733" s="13"/>
      <c r="I733" s="34">
        <v>0.0</v>
      </c>
      <c r="J733" s="13"/>
      <c r="K733" s="13"/>
      <c r="L733" s="1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21" t="s">
        <v>985</v>
      </c>
      <c r="B734" s="22" t="s">
        <v>986</v>
      </c>
      <c r="C734" s="47" t="s">
        <v>987</v>
      </c>
      <c r="D734" s="13"/>
      <c r="E734" s="13"/>
      <c r="F734" s="13"/>
      <c r="G734" s="13"/>
      <c r="H734" s="13"/>
      <c r="I734" s="34">
        <v>0.0</v>
      </c>
      <c r="J734" s="13"/>
      <c r="K734" s="13"/>
      <c r="L734" s="1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21" t="s">
        <v>988</v>
      </c>
      <c r="B735" s="22" t="s">
        <v>989</v>
      </c>
      <c r="C735" s="47" t="s">
        <v>990</v>
      </c>
      <c r="D735" s="13"/>
      <c r="E735" s="13"/>
      <c r="F735" s="13"/>
      <c r="G735" s="13"/>
      <c r="H735" s="13"/>
      <c r="I735" s="34">
        <v>7768.0</v>
      </c>
      <c r="J735" s="13"/>
      <c r="K735" s="13"/>
      <c r="L735" s="1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21" t="s">
        <v>991</v>
      </c>
      <c r="B736" s="48" t="s">
        <v>864</v>
      </c>
      <c r="C736" s="13"/>
      <c r="D736" s="13"/>
      <c r="E736" s="13"/>
      <c r="F736" s="13"/>
      <c r="G736" s="13"/>
      <c r="H736" s="13"/>
      <c r="I736" s="13">
        <f t="array" ref="I736">SUM(I694:I735)</f>
        <v>35803</v>
      </c>
      <c r="J736" s="13"/>
      <c r="K736" s="13"/>
      <c r="L736" s="1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11"/>
      <c r="B737" s="12"/>
      <c r="C737" s="25"/>
      <c r="D737" s="13"/>
      <c r="E737" s="13"/>
      <c r="F737" s="13"/>
      <c r="G737" s="13"/>
      <c r="H737" s="13"/>
      <c r="I737" s="13"/>
      <c r="J737" s="13"/>
      <c r="K737" s="13"/>
      <c r="L737" s="1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11"/>
      <c r="B738" s="45" t="s">
        <v>992</v>
      </c>
      <c r="C738" s="25"/>
      <c r="D738" s="13"/>
      <c r="E738" s="13"/>
      <c r="F738" s="13"/>
      <c r="G738" s="13"/>
      <c r="H738" s="13"/>
      <c r="I738" s="13"/>
      <c r="J738" s="13"/>
      <c r="K738" s="13"/>
      <c r="L738" s="1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21" t="s">
        <v>993</v>
      </c>
      <c r="B739" s="22" t="s">
        <v>994</v>
      </c>
      <c r="C739" s="47" t="s">
        <v>995</v>
      </c>
      <c r="D739" s="13"/>
      <c r="E739" s="13"/>
      <c r="F739" s="13"/>
      <c r="G739" s="13"/>
      <c r="H739" s="13"/>
      <c r="I739" s="34">
        <v>238.0</v>
      </c>
      <c r="J739" s="13"/>
      <c r="K739" s="13"/>
      <c r="L739" s="1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21" t="s">
        <v>996</v>
      </c>
      <c r="B740" s="22" t="s">
        <v>997</v>
      </c>
      <c r="C740" s="47" t="s">
        <v>998</v>
      </c>
      <c r="D740" s="13"/>
      <c r="E740" s="13"/>
      <c r="F740" s="13"/>
      <c r="G740" s="13"/>
      <c r="H740" s="13"/>
      <c r="I740" s="34">
        <v>484596.0</v>
      </c>
      <c r="J740" s="13"/>
      <c r="K740" s="13"/>
      <c r="L740" s="1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21" t="s">
        <v>999</v>
      </c>
      <c r="B741" s="22" t="s">
        <v>1000</v>
      </c>
      <c r="C741" s="47" t="s">
        <v>1001</v>
      </c>
      <c r="D741" s="13"/>
      <c r="E741" s="13"/>
      <c r="F741" s="13"/>
      <c r="G741" s="13"/>
      <c r="H741" s="13"/>
      <c r="I741" s="34">
        <v>1708.0</v>
      </c>
      <c r="J741" s="13"/>
      <c r="K741" s="13"/>
      <c r="L741" s="1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21" t="s">
        <v>1002</v>
      </c>
      <c r="B742" s="22" t="s">
        <v>1003</v>
      </c>
      <c r="C742" s="47" t="s">
        <v>1004</v>
      </c>
      <c r="D742" s="13"/>
      <c r="E742" s="13"/>
      <c r="F742" s="13"/>
      <c r="G742" s="13"/>
      <c r="H742" s="13"/>
      <c r="I742" s="34">
        <v>11979.0</v>
      </c>
      <c r="J742" s="13"/>
      <c r="K742" s="13"/>
      <c r="L742" s="1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21" t="s">
        <v>1005</v>
      </c>
      <c r="B743" s="22" t="s">
        <v>1006</v>
      </c>
      <c r="C743" s="47" t="s">
        <v>1007</v>
      </c>
      <c r="D743" s="13"/>
      <c r="E743" s="13"/>
      <c r="F743" s="13"/>
      <c r="G743" s="13"/>
      <c r="H743" s="13"/>
      <c r="I743" s="34">
        <v>1584.0</v>
      </c>
      <c r="J743" s="13"/>
      <c r="K743" s="13"/>
      <c r="L743" s="1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21" t="s">
        <v>1008</v>
      </c>
      <c r="B744" s="22" t="s">
        <v>1009</v>
      </c>
      <c r="C744" s="47" t="s">
        <v>1010</v>
      </c>
      <c r="D744" s="13"/>
      <c r="E744" s="13"/>
      <c r="F744" s="13"/>
      <c r="G744" s="13"/>
      <c r="H744" s="13"/>
      <c r="I744" s="34">
        <v>0.0</v>
      </c>
      <c r="J744" s="13"/>
      <c r="K744" s="13"/>
      <c r="L744" s="1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21" t="s">
        <v>1011</v>
      </c>
      <c r="B745" s="22" t="s">
        <v>1012</v>
      </c>
      <c r="C745" s="47" t="s">
        <v>1013</v>
      </c>
      <c r="D745" s="13"/>
      <c r="E745" s="13"/>
      <c r="F745" s="13"/>
      <c r="G745" s="13"/>
      <c r="H745" s="13"/>
      <c r="I745" s="34">
        <v>0.0</v>
      </c>
      <c r="J745" s="13"/>
      <c r="K745" s="13"/>
      <c r="L745" s="1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21" t="s">
        <v>1014</v>
      </c>
      <c r="B746" s="22" t="s">
        <v>1015</v>
      </c>
      <c r="C746" s="47" t="s">
        <v>1016</v>
      </c>
      <c r="D746" s="13"/>
      <c r="E746" s="13"/>
      <c r="F746" s="13"/>
      <c r="G746" s="13"/>
      <c r="H746" s="13"/>
      <c r="I746" s="34">
        <v>15.0</v>
      </c>
      <c r="J746" s="13"/>
      <c r="K746" s="13"/>
      <c r="L746" s="1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21" t="s">
        <v>1017</v>
      </c>
      <c r="B747" s="22" t="s">
        <v>1018</v>
      </c>
      <c r="C747" s="47" t="s">
        <v>1019</v>
      </c>
      <c r="D747" s="13"/>
      <c r="E747" s="13"/>
      <c r="F747" s="13"/>
      <c r="G747" s="13"/>
      <c r="H747" s="13"/>
      <c r="I747" s="34">
        <v>3336.0</v>
      </c>
      <c r="J747" s="13"/>
      <c r="K747" s="13"/>
      <c r="L747" s="1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21" t="s">
        <v>1020</v>
      </c>
      <c r="B748" s="22" t="s">
        <v>1021</v>
      </c>
      <c r="C748" s="47" t="s">
        <v>1022</v>
      </c>
      <c r="D748" s="13"/>
      <c r="E748" s="13"/>
      <c r="F748" s="13"/>
      <c r="G748" s="13"/>
      <c r="H748" s="13"/>
      <c r="I748" s="34">
        <v>495.0</v>
      </c>
      <c r="J748" s="13"/>
      <c r="K748" s="13"/>
      <c r="L748" s="1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21" t="s">
        <v>1023</v>
      </c>
      <c r="B749" s="22" t="s">
        <v>1024</v>
      </c>
      <c r="C749" s="47" t="s">
        <v>1025</v>
      </c>
      <c r="D749" s="13"/>
      <c r="E749" s="13"/>
      <c r="F749" s="13"/>
      <c r="G749" s="13"/>
      <c r="H749" s="13"/>
      <c r="I749" s="34">
        <v>25.0</v>
      </c>
      <c r="J749" s="13"/>
      <c r="K749" s="13"/>
      <c r="L749" s="1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21" t="s">
        <v>1026</v>
      </c>
      <c r="B750" s="22" t="s">
        <v>1027</v>
      </c>
      <c r="C750" s="47" t="s">
        <v>1028</v>
      </c>
      <c r="D750" s="13"/>
      <c r="E750" s="13"/>
      <c r="F750" s="13"/>
      <c r="G750" s="13"/>
      <c r="H750" s="13"/>
      <c r="I750" s="34">
        <v>454.0</v>
      </c>
      <c r="J750" s="13"/>
      <c r="K750" s="13"/>
      <c r="L750" s="1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21" t="s">
        <v>1029</v>
      </c>
      <c r="B751" s="22" t="s">
        <v>1030</v>
      </c>
      <c r="C751" s="47" t="s">
        <v>1031</v>
      </c>
      <c r="D751" s="13"/>
      <c r="E751" s="13"/>
      <c r="F751" s="13"/>
      <c r="G751" s="13"/>
      <c r="H751" s="13"/>
      <c r="I751" s="34">
        <v>16167.0</v>
      </c>
      <c r="J751" s="13"/>
      <c r="K751" s="13"/>
      <c r="L751" s="1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21" t="s">
        <v>1032</v>
      </c>
      <c r="B752" s="48" t="s">
        <v>992</v>
      </c>
      <c r="C752" s="13"/>
      <c r="D752" s="13"/>
      <c r="E752" s="13"/>
      <c r="F752" s="13"/>
      <c r="G752" s="13"/>
      <c r="H752" s="13"/>
      <c r="I752" s="13">
        <f t="array" ref="I752">SUM(I739:I751)</f>
        <v>520597</v>
      </c>
      <c r="J752" s="13"/>
      <c r="K752" s="13"/>
      <c r="L752" s="1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11"/>
      <c r="B753" s="12"/>
      <c r="C753" s="25"/>
      <c r="D753" s="13"/>
      <c r="E753" s="13"/>
      <c r="F753" s="13"/>
      <c r="G753" s="13"/>
      <c r="H753" s="13"/>
      <c r="I753" s="13"/>
      <c r="J753" s="13"/>
      <c r="K753" s="13"/>
      <c r="L753" s="1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11"/>
      <c r="B754" s="45" t="s">
        <v>1033</v>
      </c>
      <c r="C754" s="25"/>
      <c r="D754" s="13"/>
      <c r="E754" s="13"/>
      <c r="F754" s="13"/>
      <c r="G754" s="13"/>
      <c r="H754" s="13"/>
      <c r="I754" s="13"/>
      <c r="J754" s="13"/>
      <c r="K754" s="13"/>
      <c r="L754" s="1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21" t="s">
        <v>1034</v>
      </c>
      <c r="B755" s="22" t="s">
        <v>1035</v>
      </c>
      <c r="C755" s="47" t="s">
        <v>1036</v>
      </c>
      <c r="D755" s="13"/>
      <c r="E755" s="13"/>
      <c r="F755" s="13"/>
      <c r="G755" s="13"/>
      <c r="H755" s="13"/>
      <c r="I755" s="34">
        <v>92348.0</v>
      </c>
      <c r="J755" s="13"/>
      <c r="K755" s="13"/>
      <c r="L755" s="1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21" t="s">
        <v>1037</v>
      </c>
      <c r="B756" s="22" t="s">
        <v>1038</v>
      </c>
      <c r="C756" s="47" t="s">
        <v>1039</v>
      </c>
      <c r="D756" s="13"/>
      <c r="E756" s="13"/>
      <c r="F756" s="13"/>
      <c r="G756" s="13"/>
      <c r="H756" s="13"/>
      <c r="I756" s="34">
        <v>51.0</v>
      </c>
      <c r="J756" s="13"/>
      <c r="K756" s="13"/>
      <c r="L756" s="1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21" t="s">
        <v>1040</v>
      </c>
      <c r="B757" s="22" t="s">
        <v>1041</v>
      </c>
      <c r="C757" s="47" t="s">
        <v>1042</v>
      </c>
      <c r="D757" s="13"/>
      <c r="E757" s="13"/>
      <c r="F757" s="13"/>
      <c r="G757" s="13"/>
      <c r="H757" s="13"/>
      <c r="I757" s="34">
        <v>13.0</v>
      </c>
      <c r="J757" s="13"/>
      <c r="K757" s="13"/>
      <c r="L757" s="1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21" t="s">
        <v>1043</v>
      </c>
      <c r="B758" s="22" t="s">
        <v>1044</v>
      </c>
      <c r="C758" s="47" t="s">
        <v>1045</v>
      </c>
      <c r="D758" s="13"/>
      <c r="E758" s="13"/>
      <c r="F758" s="13"/>
      <c r="G758" s="13"/>
      <c r="H758" s="13"/>
      <c r="I758" s="34">
        <v>64.0</v>
      </c>
      <c r="J758" s="13"/>
      <c r="K758" s="13"/>
      <c r="L758" s="1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21" t="s">
        <v>1046</v>
      </c>
      <c r="B759" s="22" t="s">
        <v>1047</v>
      </c>
      <c r="C759" s="47" t="s">
        <v>1048</v>
      </c>
      <c r="D759" s="13"/>
      <c r="E759" s="13"/>
      <c r="F759" s="13"/>
      <c r="G759" s="13"/>
      <c r="H759" s="13"/>
      <c r="I759" s="34">
        <v>25.0</v>
      </c>
      <c r="J759" s="13"/>
      <c r="K759" s="13"/>
      <c r="L759" s="1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21" t="s">
        <v>1049</v>
      </c>
      <c r="B760" s="22" t="s">
        <v>1050</v>
      </c>
      <c r="C760" s="47" t="s">
        <v>1051</v>
      </c>
      <c r="D760" s="13"/>
      <c r="E760" s="13"/>
      <c r="F760" s="13"/>
      <c r="G760" s="13"/>
      <c r="H760" s="13"/>
      <c r="I760" s="34">
        <v>449.0</v>
      </c>
      <c r="J760" s="13"/>
      <c r="K760" s="13"/>
      <c r="L760" s="1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21" t="s">
        <v>1052</v>
      </c>
      <c r="B761" s="22" t="s">
        <v>1053</v>
      </c>
      <c r="C761" s="47" t="s">
        <v>1054</v>
      </c>
      <c r="D761" s="13"/>
      <c r="E761" s="13"/>
      <c r="F761" s="13"/>
      <c r="G761" s="13"/>
      <c r="H761" s="13"/>
      <c r="I761" s="34">
        <v>3.0</v>
      </c>
      <c r="J761" s="13"/>
      <c r="K761" s="13"/>
      <c r="L761" s="1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21" t="s">
        <v>1055</v>
      </c>
      <c r="B762" s="22" t="s">
        <v>1056</v>
      </c>
      <c r="C762" s="47" t="s">
        <v>1057</v>
      </c>
      <c r="D762" s="13"/>
      <c r="E762" s="13"/>
      <c r="F762" s="13"/>
      <c r="G762" s="13"/>
      <c r="H762" s="13"/>
      <c r="I762" s="34">
        <v>175.0</v>
      </c>
      <c r="J762" s="13"/>
      <c r="K762" s="13"/>
      <c r="L762" s="1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21" t="s">
        <v>1058</v>
      </c>
      <c r="B763" s="22" t="s">
        <v>1059</v>
      </c>
      <c r="C763" s="47" t="s">
        <v>1060</v>
      </c>
      <c r="D763" s="13"/>
      <c r="E763" s="13"/>
      <c r="F763" s="13"/>
      <c r="G763" s="13"/>
      <c r="H763" s="13"/>
      <c r="I763" s="34">
        <v>357.0</v>
      </c>
      <c r="J763" s="13"/>
      <c r="K763" s="13"/>
      <c r="L763" s="1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21" t="s">
        <v>1061</v>
      </c>
      <c r="B764" s="22" t="s">
        <v>1062</v>
      </c>
      <c r="C764" s="47" t="s">
        <v>1063</v>
      </c>
      <c r="D764" s="13"/>
      <c r="E764" s="13"/>
      <c r="F764" s="13"/>
      <c r="G764" s="13"/>
      <c r="H764" s="13"/>
      <c r="I764" s="34">
        <v>719.0</v>
      </c>
      <c r="J764" s="13"/>
      <c r="K764" s="13"/>
      <c r="L764" s="1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21" t="s">
        <v>1064</v>
      </c>
      <c r="B765" s="22" t="s">
        <v>1065</v>
      </c>
      <c r="C765" s="47" t="s">
        <v>1066</v>
      </c>
      <c r="D765" s="13"/>
      <c r="E765" s="13"/>
      <c r="F765" s="13"/>
      <c r="G765" s="13"/>
      <c r="H765" s="13"/>
      <c r="I765" s="34">
        <v>65507.0</v>
      </c>
      <c r="J765" s="13"/>
      <c r="K765" s="13"/>
      <c r="L765" s="1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21" t="s">
        <v>1067</v>
      </c>
      <c r="B766" s="22" t="s">
        <v>1068</v>
      </c>
      <c r="C766" s="47" t="s">
        <v>1069</v>
      </c>
      <c r="D766" s="13"/>
      <c r="E766" s="13"/>
      <c r="F766" s="13"/>
      <c r="G766" s="13"/>
      <c r="H766" s="13"/>
      <c r="I766" s="34">
        <v>8.0</v>
      </c>
      <c r="J766" s="13"/>
      <c r="K766" s="13"/>
      <c r="L766" s="1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21" t="s">
        <v>1070</v>
      </c>
      <c r="B767" s="22" t="s">
        <v>1071</v>
      </c>
      <c r="C767" s="47" t="s">
        <v>1072</v>
      </c>
      <c r="D767" s="13"/>
      <c r="E767" s="13"/>
      <c r="F767" s="13"/>
      <c r="G767" s="13"/>
      <c r="H767" s="13"/>
      <c r="I767" s="34">
        <v>13829.0</v>
      </c>
      <c r="J767" s="13"/>
      <c r="K767" s="13"/>
      <c r="L767" s="1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21" t="s">
        <v>1073</v>
      </c>
      <c r="B768" s="22" t="s">
        <v>1074</v>
      </c>
      <c r="C768" s="47" t="s">
        <v>1075</v>
      </c>
      <c r="D768" s="13"/>
      <c r="E768" s="13"/>
      <c r="F768" s="13"/>
      <c r="G768" s="13"/>
      <c r="H768" s="13"/>
      <c r="I768" s="34">
        <v>2738.0</v>
      </c>
      <c r="J768" s="13"/>
      <c r="K768" s="13"/>
      <c r="L768" s="1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21" t="s">
        <v>1076</v>
      </c>
      <c r="B769" s="22" t="s">
        <v>1077</v>
      </c>
      <c r="C769" s="47" t="s">
        <v>1078</v>
      </c>
      <c r="D769" s="13"/>
      <c r="E769" s="13"/>
      <c r="F769" s="13"/>
      <c r="G769" s="13"/>
      <c r="H769" s="13"/>
      <c r="I769" s="34">
        <v>0.0</v>
      </c>
      <c r="J769" s="13"/>
      <c r="K769" s="13"/>
      <c r="L769" s="1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21" t="s">
        <v>1079</v>
      </c>
      <c r="B770" s="22" t="s">
        <v>1080</v>
      </c>
      <c r="C770" s="47" t="s">
        <v>1081</v>
      </c>
      <c r="D770" s="13"/>
      <c r="E770" s="13"/>
      <c r="F770" s="13"/>
      <c r="G770" s="13"/>
      <c r="H770" s="13"/>
      <c r="I770" s="34">
        <v>126.0</v>
      </c>
      <c r="J770" s="13"/>
      <c r="K770" s="13"/>
      <c r="L770" s="1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21" t="s">
        <v>1082</v>
      </c>
      <c r="B771" s="22" t="s">
        <v>1083</v>
      </c>
      <c r="C771" s="47" t="s">
        <v>1084</v>
      </c>
      <c r="D771" s="13"/>
      <c r="E771" s="13"/>
      <c r="F771" s="13"/>
      <c r="G771" s="13"/>
      <c r="H771" s="13"/>
      <c r="I771" s="34">
        <v>111.0</v>
      </c>
      <c r="J771" s="13"/>
      <c r="K771" s="13"/>
      <c r="L771" s="1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21" t="s">
        <v>1085</v>
      </c>
      <c r="B772" s="22" t="s">
        <v>1086</v>
      </c>
      <c r="C772" s="47" t="s">
        <v>1087</v>
      </c>
      <c r="D772" s="13"/>
      <c r="E772" s="13"/>
      <c r="F772" s="13"/>
      <c r="G772" s="13"/>
      <c r="H772" s="13"/>
      <c r="I772" s="34">
        <v>41.0</v>
      </c>
      <c r="J772" s="13"/>
      <c r="K772" s="13"/>
      <c r="L772" s="1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21" t="s">
        <v>1088</v>
      </c>
      <c r="B773" s="22" t="s">
        <v>1089</v>
      </c>
      <c r="C773" s="47" t="s">
        <v>1090</v>
      </c>
      <c r="D773" s="13"/>
      <c r="E773" s="13"/>
      <c r="F773" s="13"/>
      <c r="G773" s="13"/>
      <c r="H773" s="13"/>
      <c r="I773" s="34">
        <v>974.0</v>
      </c>
      <c r="J773" s="13"/>
      <c r="K773" s="13"/>
      <c r="L773" s="1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21" t="s">
        <v>1091</v>
      </c>
      <c r="B774" s="22" t="s">
        <v>1092</v>
      </c>
      <c r="C774" s="47" t="s">
        <v>1093</v>
      </c>
      <c r="D774" s="13"/>
      <c r="E774" s="13"/>
      <c r="F774" s="13"/>
      <c r="G774" s="13"/>
      <c r="H774" s="13"/>
      <c r="I774" s="34">
        <v>1799.0</v>
      </c>
      <c r="J774" s="13"/>
      <c r="K774" s="13"/>
      <c r="L774" s="1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21" t="s">
        <v>1094</v>
      </c>
      <c r="B775" s="22" t="s">
        <v>1095</v>
      </c>
      <c r="C775" s="47" t="s">
        <v>1096</v>
      </c>
      <c r="D775" s="13"/>
      <c r="E775" s="13"/>
      <c r="F775" s="13"/>
      <c r="G775" s="13"/>
      <c r="H775" s="13"/>
      <c r="I775" s="34">
        <v>0.0</v>
      </c>
      <c r="J775" s="13"/>
      <c r="K775" s="13"/>
      <c r="L775" s="1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21" t="s">
        <v>1097</v>
      </c>
      <c r="B776" s="22" t="s">
        <v>1098</v>
      </c>
      <c r="C776" s="47" t="s">
        <v>1099</v>
      </c>
      <c r="D776" s="13"/>
      <c r="E776" s="13"/>
      <c r="F776" s="13"/>
      <c r="G776" s="13"/>
      <c r="H776" s="13"/>
      <c r="I776" s="34">
        <v>58.0</v>
      </c>
      <c r="J776" s="13"/>
      <c r="K776" s="13"/>
      <c r="L776" s="1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21" t="s">
        <v>1100</v>
      </c>
      <c r="B777" s="22" t="s">
        <v>1101</v>
      </c>
      <c r="C777" s="47" t="s">
        <v>1102</v>
      </c>
      <c r="D777" s="13"/>
      <c r="E777" s="13"/>
      <c r="F777" s="13"/>
      <c r="G777" s="13"/>
      <c r="H777" s="13"/>
      <c r="I777" s="34">
        <v>47252.0</v>
      </c>
      <c r="J777" s="13"/>
      <c r="K777" s="13"/>
      <c r="L777" s="1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21" t="s">
        <v>1103</v>
      </c>
      <c r="B778" s="22" t="s">
        <v>1104</v>
      </c>
      <c r="C778" s="47" t="s">
        <v>1105</v>
      </c>
      <c r="D778" s="13"/>
      <c r="E778" s="13"/>
      <c r="F778" s="13"/>
      <c r="G778" s="13"/>
      <c r="H778" s="13"/>
      <c r="I778" s="34">
        <v>0.0</v>
      </c>
      <c r="J778" s="13"/>
      <c r="K778" s="13"/>
      <c r="L778" s="1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21" t="s">
        <v>1106</v>
      </c>
      <c r="B779" s="22" t="s">
        <v>1107</v>
      </c>
      <c r="C779" s="47" t="s">
        <v>1108</v>
      </c>
      <c r="D779" s="13"/>
      <c r="E779" s="13"/>
      <c r="F779" s="13"/>
      <c r="G779" s="13"/>
      <c r="H779" s="13"/>
      <c r="I779" s="34">
        <v>259.0</v>
      </c>
      <c r="J779" s="13"/>
      <c r="K779" s="13"/>
      <c r="L779" s="1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21" t="s">
        <v>1109</v>
      </c>
      <c r="B780" s="22" t="s">
        <v>1110</v>
      </c>
      <c r="C780" s="47" t="s">
        <v>1111</v>
      </c>
      <c r="D780" s="13"/>
      <c r="E780" s="13"/>
      <c r="F780" s="13"/>
      <c r="G780" s="13"/>
      <c r="H780" s="13"/>
      <c r="I780" s="34">
        <v>6.0</v>
      </c>
      <c r="J780" s="13"/>
      <c r="K780" s="13"/>
      <c r="L780" s="1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21" t="s">
        <v>1112</v>
      </c>
      <c r="B781" s="22" t="s">
        <v>1113</v>
      </c>
      <c r="C781" s="47" t="s">
        <v>1114</v>
      </c>
      <c r="D781" s="13"/>
      <c r="E781" s="13"/>
      <c r="F781" s="13"/>
      <c r="G781" s="13"/>
      <c r="H781" s="13"/>
      <c r="I781" s="34">
        <v>56.0</v>
      </c>
      <c r="J781" s="13"/>
      <c r="K781" s="13"/>
      <c r="L781" s="1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21" t="s">
        <v>1115</v>
      </c>
      <c r="B782" s="22" t="s">
        <v>1116</v>
      </c>
      <c r="C782" s="47" t="s">
        <v>1117</v>
      </c>
      <c r="D782" s="13"/>
      <c r="E782" s="13"/>
      <c r="F782" s="13"/>
      <c r="G782" s="13"/>
      <c r="H782" s="13"/>
      <c r="I782" s="34">
        <v>4.0</v>
      </c>
      <c r="J782" s="13"/>
      <c r="K782" s="13"/>
      <c r="L782" s="1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21" t="s">
        <v>1118</v>
      </c>
      <c r="B783" s="22" t="s">
        <v>1119</v>
      </c>
      <c r="C783" s="47" t="s">
        <v>1120</v>
      </c>
      <c r="D783" s="13"/>
      <c r="E783" s="13"/>
      <c r="F783" s="13"/>
      <c r="G783" s="13"/>
      <c r="H783" s="13"/>
      <c r="I783" s="34">
        <v>194.0</v>
      </c>
      <c r="J783" s="13"/>
      <c r="K783" s="13"/>
      <c r="L783" s="1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21" t="s">
        <v>1121</v>
      </c>
      <c r="B784" s="22" t="s">
        <v>1122</v>
      </c>
      <c r="C784" s="47" t="s">
        <v>1123</v>
      </c>
      <c r="D784" s="13"/>
      <c r="E784" s="13"/>
      <c r="F784" s="13"/>
      <c r="G784" s="13"/>
      <c r="H784" s="13"/>
      <c r="I784" s="34">
        <v>12460.0</v>
      </c>
      <c r="J784" s="13"/>
      <c r="K784" s="13"/>
      <c r="L784" s="1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21" t="s">
        <v>1124</v>
      </c>
      <c r="B785" s="22" t="s">
        <v>1125</v>
      </c>
      <c r="C785" s="47" t="s">
        <v>1126</v>
      </c>
      <c r="D785" s="13"/>
      <c r="E785" s="13"/>
      <c r="F785" s="13"/>
      <c r="G785" s="13"/>
      <c r="H785" s="13"/>
      <c r="I785" s="34">
        <v>41.0</v>
      </c>
      <c r="J785" s="13"/>
      <c r="K785" s="13"/>
      <c r="L785" s="1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21" t="s">
        <v>1127</v>
      </c>
      <c r="B786" s="22" t="s">
        <v>1128</v>
      </c>
      <c r="C786" s="47" t="s">
        <v>1129</v>
      </c>
      <c r="D786" s="13"/>
      <c r="E786" s="13"/>
      <c r="F786" s="13"/>
      <c r="G786" s="13"/>
      <c r="H786" s="13"/>
      <c r="I786" s="34">
        <v>140.0</v>
      </c>
      <c r="J786" s="13"/>
      <c r="K786" s="13"/>
      <c r="L786" s="1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21" t="s">
        <v>1130</v>
      </c>
      <c r="B787" s="22" t="s">
        <v>1131</v>
      </c>
      <c r="C787" s="47" t="s">
        <v>1132</v>
      </c>
      <c r="D787" s="13"/>
      <c r="E787" s="13"/>
      <c r="F787" s="13"/>
      <c r="G787" s="13"/>
      <c r="H787" s="13"/>
      <c r="I787" s="34">
        <v>62.0</v>
      </c>
      <c r="J787" s="13"/>
      <c r="K787" s="13"/>
      <c r="L787" s="1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21" t="s">
        <v>1133</v>
      </c>
      <c r="B788" s="22" t="s">
        <v>1134</v>
      </c>
      <c r="C788" s="47" t="s">
        <v>1135</v>
      </c>
      <c r="D788" s="13"/>
      <c r="E788" s="13"/>
      <c r="F788" s="13"/>
      <c r="G788" s="13"/>
      <c r="H788" s="13"/>
      <c r="I788" s="34">
        <v>74.0</v>
      </c>
      <c r="J788" s="13"/>
      <c r="K788" s="13"/>
      <c r="L788" s="1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21" t="s">
        <v>1136</v>
      </c>
      <c r="B789" s="22" t="s">
        <v>1137</v>
      </c>
      <c r="C789" s="47" t="s">
        <v>1138</v>
      </c>
      <c r="D789" s="13"/>
      <c r="E789" s="13"/>
      <c r="F789" s="13"/>
      <c r="G789" s="13"/>
      <c r="H789" s="13"/>
      <c r="I789" s="34">
        <v>37.0</v>
      </c>
      <c r="J789" s="13"/>
      <c r="K789" s="13"/>
      <c r="L789" s="1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21" t="s">
        <v>1139</v>
      </c>
      <c r="B790" s="22" t="s">
        <v>1140</v>
      </c>
      <c r="C790" s="47" t="s">
        <v>1141</v>
      </c>
      <c r="D790" s="13"/>
      <c r="E790" s="13"/>
      <c r="F790" s="13"/>
      <c r="G790" s="13"/>
      <c r="H790" s="13"/>
      <c r="I790" s="34">
        <v>13704.0</v>
      </c>
      <c r="J790" s="13"/>
      <c r="K790" s="13"/>
      <c r="L790" s="1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21" t="s">
        <v>1142</v>
      </c>
      <c r="B791" s="22" t="s">
        <v>1143</v>
      </c>
      <c r="C791" s="47" t="s">
        <v>1144</v>
      </c>
      <c r="D791" s="13"/>
      <c r="E791" s="13"/>
      <c r="F791" s="13"/>
      <c r="G791" s="13"/>
      <c r="H791" s="13"/>
      <c r="I791" s="34">
        <v>80.0</v>
      </c>
      <c r="J791" s="13"/>
      <c r="K791" s="13"/>
      <c r="L791" s="1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21" t="s">
        <v>1145</v>
      </c>
      <c r="B792" s="22" t="s">
        <v>1146</v>
      </c>
      <c r="C792" s="47" t="s">
        <v>1147</v>
      </c>
      <c r="D792" s="13"/>
      <c r="E792" s="13"/>
      <c r="F792" s="13"/>
      <c r="G792" s="13"/>
      <c r="H792" s="13"/>
      <c r="I792" s="34">
        <v>26.0</v>
      </c>
      <c r="J792" s="13"/>
      <c r="K792" s="13"/>
      <c r="L792" s="1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21" t="s">
        <v>1148</v>
      </c>
      <c r="B793" s="22" t="s">
        <v>1149</v>
      </c>
      <c r="C793" s="47" t="s">
        <v>1150</v>
      </c>
      <c r="D793" s="13"/>
      <c r="E793" s="13"/>
      <c r="F793" s="13"/>
      <c r="G793" s="13"/>
      <c r="H793" s="13"/>
      <c r="I793" s="34">
        <v>5269.0</v>
      </c>
      <c r="J793" s="13"/>
      <c r="K793" s="13"/>
      <c r="L793" s="1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21" t="s">
        <v>1151</v>
      </c>
      <c r="B794" s="22" t="s">
        <v>1152</v>
      </c>
      <c r="C794" s="47" t="s">
        <v>1153</v>
      </c>
      <c r="D794" s="13"/>
      <c r="E794" s="13"/>
      <c r="F794" s="13"/>
      <c r="G794" s="13"/>
      <c r="H794" s="13"/>
      <c r="I794" s="34">
        <v>0.0</v>
      </c>
      <c r="J794" s="13"/>
      <c r="K794" s="13"/>
      <c r="L794" s="1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21" t="s">
        <v>1154</v>
      </c>
      <c r="B795" s="22" t="s">
        <v>1155</v>
      </c>
      <c r="C795" s="47" t="s">
        <v>1156</v>
      </c>
      <c r="D795" s="13"/>
      <c r="E795" s="13"/>
      <c r="F795" s="13"/>
      <c r="G795" s="13"/>
      <c r="H795" s="13"/>
      <c r="I795" s="34">
        <v>62.0</v>
      </c>
      <c r="J795" s="13"/>
      <c r="K795" s="13"/>
      <c r="L795" s="1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21" t="s">
        <v>1157</v>
      </c>
      <c r="B796" s="22" t="s">
        <v>1158</v>
      </c>
      <c r="C796" s="47" t="s">
        <v>1159</v>
      </c>
      <c r="D796" s="13"/>
      <c r="E796" s="13"/>
      <c r="F796" s="13"/>
      <c r="G796" s="13"/>
      <c r="H796" s="13"/>
      <c r="I796" s="34">
        <v>231.0</v>
      </c>
      <c r="J796" s="13"/>
      <c r="K796" s="13"/>
      <c r="L796" s="1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21" t="s">
        <v>1160</v>
      </c>
      <c r="B797" s="22" t="s">
        <v>1161</v>
      </c>
      <c r="C797" s="47" t="s">
        <v>1162</v>
      </c>
      <c r="D797" s="13"/>
      <c r="E797" s="13"/>
      <c r="F797" s="13"/>
      <c r="G797" s="13"/>
      <c r="H797" s="13"/>
      <c r="I797" s="34">
        <v>0.0</v>
      </c>
      <c r="J797" s="13"/>
      <c r="K797" s="13"/>
      <c r="L797" s="1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21" t="s">
        <v>1163</v>
      </c>
      <c r="B798" s="22" t="s">
        <v>1164</v>
      </c>
      <c r="C798" s="47" t="s">
        <v>1165</v>
      </c>
      <c r="D798" s="13"/>
      <c r="E798" s="13"/>
      <c r="F798" s="13"/>
      <c r="G798" s="13"/>
      <c r="H798" s="13"/>
      <c r="I798" s="34">
        <v>237.0</v>
      </c>
      <c r="J798" s="13"/>
      <c r="K798" s="13"/>
      <c r="L798" s="1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21" t="s">
        <v>1166</v>
      </c>
      <c r="B799" s="22" t="s">
        <v>1167</v>
      </c>
      <c r="C799" s="47" t="s">
        <v>1168</v>
      </c>
      <c r="D799" s="13"/>
      <c r="E799" s="13"/>
      <c r="F799" s="13"/>
      <c r="G799" s="13"/>
      <c r="H799" s="13"/>
      <c r="I799" s="34">
        <v>5256.0</v>
      </c>
      <c r="J799" s="13"/>
      <c r="K799" s="13"/>
      <c r="L799" s="1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21" t="s">
        <v>1169</v>
      </c>
      <c r="B800" s="22" t="s">
        <v>1170</v>
      </c>
      <c r="C800" s="47" t="s">
        <v>1171</v>
      </c>
      <c r="D800" s="13"/>
      <c r="E800" s="13"/>
      <c r="F800" s="13"/>
      <c r="G800" s="13"/>
      <c r="H800" s="13"/>
      <c r="I800" s="34">
        <v>94.0</v>
      </c>
      <c r="J800" s="13"/>
      <c r="K800" s="13"/>
      <c r="L800" s="1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21" t="s">
        <v>1172</v>
      </c>
      <c r="B801" s="22" t="s">
        <v>1173</v>
      </c>
      <c r="C801" s="47" t="s">
        <v>1174</v>
      </c>
      <c r="D801" s="13"/>
      <c r="E801" s="13"/>
      <c r="F801" s="13"/>
      <c r="G801" s="13"/>
      <c r="H801" s="13"/>
      <c r="I801" s="34">
        <v>71.0</v>
      </c>
      <c r="J801" s="13"/>
      <c r="K801" s="13"/>
      <c r="L801" s="1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21" t="s">
        <v>1175</v>
      </c>
      <c r="B802" s="22" t="s">
        <v>1176</v>
      </c>
      <c r="C802" s="47" t="s">
        <v>1177</v>
      </c>
      <c r="D802" s="13"/>
      <c r="E802" s="13"/>
      <c r="F802" s="13"/>
      <c r="G802" s="13"/>
      <c r="H802" s="13"/>
      <c r="I802" s="34">
        <v>40112.0</v>
      </c>
      <c r="J802" s="13"/>
      <c r="K802" s="13"/>
      <c r="L802" s="1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21" t="s">
        <v>1178</v>
      </c>
      <c r="B803" s="22" t="s">
        <v>1179</v>
      </c>
      <c r="C803" s="47" t="s">
        <v>1180</v>
      </c>
      <c r="D803" s="13"/>
      <c r="E803" s="13"/>
      <c r="F803" s="13"/>
      <c r="G803" s="13"/>
      <c r="H803" s="13"/>
      <c r="I803" s="34">
        <v>42.0</v>
      </c>
      <c r="J803" s="13"/>
      <c r="K803" s="13"/>
      <c r="L803" s="1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21" t="s">
        <v>1181</v>
      </c>
      <c r="B804" s="22" t="s">
        <v>1182</v>
      </c>
      <c r="C804" s="47" t="s">
        <v>1183</v>
      </c>
      <c r="D804" s="13"/>
      <c r="E804" s="13"/>
      <c r="F804" s="13"/>
      <c r="G804" s="13"/>
      <c r="H804" s="13"/>
      <c r="I804" s="34">
        <v>8.0</v>
      </c>
      <c r="J804" s="13"/>
      <c r="K804" s="13"/>
      <c r="L804" s="1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21" t="s">
        <v>1184</v>
      </c>
      <c r="B805" s="22" t="s">
        <v>1185</v>
      </c>
      <c r="C805" s="47" t="s">
        <v>1186</v>
      </c>
      <c r="D805" s="13"/>
      <c r="E805" s="13"/>
      <c r="F805" s="13"/>
      <c r="G805" s="13"/>
      <c r="H805" s="13"/>
      <c r="I805" s="34">
        <v>105.0</v>
      </c>
      <c r="J805" s="13"/>
      <c r="K805" s="13"/>
      <c r="L805" s="1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21" t="s">
        <v>1187</v>
      </c>
      <c r="B806" s="22" t="s">
        <v>1188</v>
      </c>
      <c r="C806" s="47" t="s">
        <v>1189</v>
      </c>
      <c r="D806" s="13"/>
      <c r="E806" s="13"/>
      <c r="F806" s="13"/>
      <c r="G806" s="13"/>
      <c r="H806" s="13"/>
      <c r="I806" s="34">
        <v>4056.0</v>
      </c>
      <c r="J806" s="13"/>
      <c r="K806" s="13"/>
      <c r="L806" s="1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21" t="s">
        <v>1190</v>
      </c>
      <c r="B807" s="22" t="s">
        <v>1191</v>
      </c>
      <c r="C807" s="47" t="s">
        <v>1192</v>
      </c>
      <c r="D807" s="13"/>
      <c r="E807" s="13"/>
      <c r="F807" s="13"/>
      <c r="G807" s="13"/>
      <c r="H807" s="13"/>
      <c r="I807" s="34">
        <v>72.0</v>
      </c>
      <c r="J807" s="13"/>
      <c r="K807" s="13"/>
      <c r="L807" s="1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21" t="s">
        <v>1193</v>
      </c>
      <c r="B808" s="22" t="s">
        <v>1194</v>
      </c>
      <c r="C808" s="47" t="s">
        <v>1195</v>
      </c>
      <c r="D808" s="13"/>
      <c r="E808" s="13"/>
      <c r="F808" s="13"/>
      <c r="G808" s="13"/>
      <c r="H808" s="13"/>
      <c r="I808" s="34">
        <v>86.0</v>
      </c>
      <c r="J808" s="13"/>
      <c r="K808" s="13"/>
      <c r="L808" s="1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21" t="s">
        <v>1196</v>
      </c>
      <c r="B809" s="22" t="s">
        <v>1197</v>
      </c>
      <c r="C809" s="47" t="s">
        <v>1198</v>
      </c>
      <c r="D809" s="13"/>
      <c r="E809" s="13"/>
      <c r="F809" s="13"/>
      <c r="G809" s="13"/>
      <c r="H809" s="13"/>
      <c r="I809" s="34">
        <v>0.0</v>
      </c>
      <c r="J809" s="13"/>
      <c r="K809" s="13"/>
      <c r="L809" s="1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21" t="s">
        <v>1199</v>
      </c>
      <c r="B810" s="22" t="s">
        <v>1200</v>
      </c>
      <c r="C810" s="47" t="s">
        <v>1201</v>
      </c>
      <c r="D810" s="13"/>
      <c r="E810" s="13"/>
      <c r="F810" s="13"/>
      <c r="G810" s="13"/>
      <c r="H810" s="13"/>
      <c r="I810" s="34">
        <v>4092.0</v>
      </c>
      <c r="J810" s="13"/>
      <c r="K810" s="13"/>
      <c r="L810" s="1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21" t="s">
        <v>1202</v>
      </c>
      <c r="B811" s="22" t="s">
        <v>1203</v>
      </c>
      <c r="C811" s="47" t="s">
        <v>1204</v>
      </c>
      <c r="D811" s="13"/>
      <c r="E811" s="13"/>
      <c r="F811" s="13"/>
      <c r="G811" s="13"/>
      <c r="H811" s="13"/>
      <c r="I811" s="34">
        <v>54.0</v>
      </c>
      <c r="J811" s="13"/>
      <c r="K811" s="13"/>
      <c r="L811" s="1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21" t="s">
        <v>1205</v>
      </c>
      <c r="B812" s="22" t="s">
        <v>1206</v>
      </c>
      <c r="C812" s="47" t="s">
        <v>1207</v>
      </c>
      <c r="D812" s="13"/>
      <c r="E812" s="13"/>
      <c r="F812" s="13"/>
      <c r="G812" s="13"/>
      <c r="H812" s="13"/>
      <c r="I812" s="34">
        <v>204.0</v>
      </c>
      <c r="J812" s="13"/>
      <c r="K812" s="13"/>
      <c r="L812" s="1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21" t="s">
        <v>1208</v>
      </c>
      <c r="B813" s="48" t="s">
        <v>1033</v>
      </c>
      <c r="C813" s="13"/>
      <c r="D813" s="13"/>
      <c r="E813" s="13"/>
      <c r="F813" s="13"/>
      <c r="G813" s="13"/>
      <c r="H813" s="13"/>
      <c r="I813" s="13">
        <f t="array" ref="I813">SUM(I755:I812)</f>
        <v>313841</v>
      </c>
      <c r="J813" s="13"/>
      <c r="K813" s="13"/>
      <c r="L813" s="1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11"/>
      <c r="B814" s="12"/>
      <c r="C814" s="25"/>
      <c r="D814" s="13"/>
      <c r="E814" s="13"/>
      <c r="F814" s="13"/>
      <c r="G814" s="13"/>
      <c r="H814" s="13"/>
      <c r="I814" s="13"/>
      <c r="J814" s="13"/>
      <c r="K814" s="13"/>
      <c r="L814" s="1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11"/>
      <c r="B815" s="45" t="s">
        <v>1209</v>
      </c>
      <c r="C815" s="25"/>
      <c r="D815" s="13"/>
      <c r="E815" s="13"/>
      <c r="F815" s="13"/>
      <c r="G815" s="13"/>
      <c r="H815" s="13"/>
      <c r="I815" s="13"/>
      <c r="J815" s="13"/>
      <c r="K815" s="13"/>
      <c r="L815" s="1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21" t="s">
        <v>1210</v>
      </c>
      <c r="B816" s="22" t="s">
        <v>1211</v>
      </c>
      <c r="C816" s="47" t="s">
        <v>1212</v>
      </c>
      <c r="D816" s="13"/>
      <c r="E816" s="13"/>
      <c r="F816" s="13"/>
      <c r="G816" s="13"/>
      <c r="H816" s="13"/>
      <c r="I816" s="34">
        <v>41.0</v>
      </c>
      <c r="J816" s="13"/>
      <c r="K816" s="13"/>
      <c r="L816" s="1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21" t="s">
        <v>1213</v>
      </c>
      <c r="B817" s="22" t="s">
        <v>1214</v>
      </c>
      <c r="C817" s="47" t="s">
        <v>1215</v>
      </c>
      <c r="D817" s="13"/>
      <c r="E817" s="13"/>
      <c r="F817" s="13"/>
      <c r="G817" s="13"/>
      <c r="H817" s="13"/>
      <c r="I817" s="34">
        <v>1231.0</v>
      </c>
      <c r="J817" s="13"/>
      <c r="K817" s="13"/>
      <c r="L817" s="1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21" t="s">
        <v>1216</v>
      </c>
      <c r="B818" s="22" t="s">
        <v>1217</v>
      </c>
      <c r="C818" s="47" t="s">
        <v>1218</v>
      </c>
      <c r="D818" s="13"/>
      <c r="E818" s="13"/>
      <c r="F818" s="13"/>
      <c r="G818" s="13"/>
      <c r="H818" s="13"/>
      <c r="I818" s="34">
        <v>287.0</v>
      </c>
      <c r="J818" s="13"/>
      <c r="K818" s="13"/>
      <c r="L818" s="1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21" t="s">
        <v>1219</v>
      </c>
      <c r="B819" s="22" t="s">
        <v>1220</v>
      </c>
      <c r="C819" s="47" t="s">
        <v>1221</v>
      </c>
      <c r="D819" s="13"/>
      <c r="E819" s="13"/>
      <c r="F819" s="13"/>
      <c r="G819" s="13"/>
      <c r="H819" s="13"/>
      <c r="I819" s="34">
        <v>30.0</v>
      </c>
      <c r="J819" s="13"/>
      <c r="K819" s="13"/>
      <c r="L819" s="1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21" t="s">
        <v>1222</v>
      </c>
      <c r="B820" s="22" t="s">
        <v>1223</v>
      </c>
      <c r="C820" s="47" t="s">
        <v>1224</v>
      </c>
      <c r="D820" s="13"/>
      <c r="E820" s="13"/>
      <c r="F820" s="13"/>
      <c r="G820" s="13"/>
      <c r="H820" s="13"/>
      <c r="I820" s="34">
        <v>245.0</v>
      </c>
      <c r="J820" s="13"/>
      <c r="K820" s="13"/>
      <c r="L820" s="1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21" t="s">
        <v>1225</v>
      </c>
      <c r="B821" s="22" t="s">
        <v>1226</v>
      </c>
      <c r="C821" s="47" t="s">
        <v>1227</v>
      </c>
      <c r="D821" s="13"/>
      <c r="E821" s="13"/>
      <c r="F821" s="13"/>
      <c r="G821" s="13"/>
      <c r="H821" s="13"/>
      <c r="I821" s="34">
        <v>729.0</v>
      </c>
      <c r="J821" s="13"/>
      <c r="K821" s="13"/>
      <c r="L821" s="1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21" t="s">
        <v>1228</v>
      </c>
      <c r="B822" s="22" t="s">
        <v>1229</v>
      </c>
      <c r="C822" s="47" t="s">
        <v>1230</v>
      </c>
      <c r="D822" s="13"/>
      <c r="E822" s="13"/>
      <c r="F822" s="13"/>
      <c r="G822" s="13"/>
      <c r="H822" s="13"/>
      <c r="I822" s="34">
        <v>1628.0</v>
      </c>
      <c r="J822" s="13"/>
      <c r="K822" s="13"/>
      <c r="L822" s="1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21" t="s">
        <v>1231</v>
      </c>
      <c r="B823" s="22" t="s">
        <v>1232</v>
      </c>
      <c r="C823" s="47" t="s">
        <v>1233</v>
      </c>
      <c r="D823" s="13"/>
      <c r="E823" s="13"/>
      <c r="F823" s="13"/>
      <c r="G823" s="13"/>
      <c r="H823" s="13"/>
      <c r="I823" s="34">
        <v>786.0</v>
      </c>
      <c r="J823" s="13"/>
      <c r="K823" s="13"/>
      <c r="L823" s="1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21" t="s">
        <v>1234</v>
      </c>
      <c r="B824" s="22" t="s">
        <v>1235</v>
      </c>
      <c r="C824" s="47" t="s">
        <v>1236</v>
      </c>
      <c r="D824" s="13"/>
      <c r="E824" s="13"/>
      <c r="F824" s="13"/>
      <c r="G824" s="13"/>
      <c r="H824" s="13"/>
      <c r="I824" s="34">
        <v>2934.0</v>
      </c>
      <c r="J824" s="13"/>
      <c r="K824" s="13"/>
      <c r="L824" s="1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21" t="s">
        <v>1237</v>
      </c>
      <c r="B825" s="22" t="s">
        <v>1238</v>
      </c>
      <c r="C825" s="47" t="s">
        <v>1239</v>
      </c>
      <c r="D825" s="13"/>
      <c r="E825" s="13"/>
      <c r="F825" s="13"/>
      <c r="G825" s="13"/>
      <c r="H825" s="13"/>
      <c r="I825" s="34">
        <v>701.0</v>
      </c>
      <c r="J825" s="13"/>
      <c r="K825" s="13"/>
      <c r="L825" s="1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21" t="s">
        <v>1240</v>
      </c>
      <c r="B826" s="22" t="s">
        <v>1241</v>
      </c>
      <c r="C826" s="47" t="s">
        <v>1242</v>
      </c>
      <c r="D826" s="13"/>
      <c r="E826" s="13"/>
      <c r="F826" s="13"/>
      <c r="G826" s="13"/>
      <c r="H826" s="13"/>
      <c r="I826" s="34">
        <v>89.0</v>
      </c>
      <c r="J826" s="13"/>
      <c r="K826" s="13"/>
      <c r="L826" s="1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21" t="s">
        <v>1243</v>
      </c>
      <c r="B827" s="22" t="s">
        <v>1244</v>
      </c>
      <c r="C827" s="47" t="s">
        <v>1245</v>
      </c>
      <c r="D827" s="13"/>
      <c r="E827" s="13"/>
      <c r="F827" s="13"/>
      <c r="G827" s="13"/>
      <c r="H827" s="13"/>
      <c r="I827" s="34">
        <v>1449.0</v>
      </c>
      <c r="J827" s="13"/>
      <c r="K827" s="13"/>
      <c r="L827" s="1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21" t="s">
        <v>1246</v>
      </c>
      <c r="B828" s="22" t="s">
        <v>1247</v>
      </c>
      <c r="C828" s="47" t="s">
        <v>1248</v>
      </c>
      <c r="D828" s="13"/>
      <c r="E828" s="13"/>
      <c r="F828" s="13"/>
      <c r="G828" s="13"/>
      <c r="H828" s="13"/>
      <c r="I828" s="34">
        <v>15.0</v>
      </c>
      <c r="J828" s="13"/>
      <c r="K828" s="13"/>
      <c r="L828" s="1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21" t="s">
        <v>1249</v>
      </c>
      <c r="B829" s="22" t="s">
        <v>1250</v>
      </c>
      <c r="C829" s="47" t="s">
        <v>1251</v>
      </c>
      <c r="D829" s="13"/>
      <c r="E829" s="13"/>
      <c r="F829" s="13"/>
      <c r="G829" s="13"/>
      <c r="H829" s="13"/>
      <c r="I829" s="34">
        <v>41508.0</v>
      </c>
      <c r="J829" s="13"/>
      <c r="K829" s="13"/>
      <c r="L829" s="1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21" t="s">
        <v>1252</v>
      </c>
      <c r="B830" s="22" t="s">
        <v>1253</v>
      </c>
      <c r="C830" s="47" t="s">
        <v>1254</v>
      </c>
      <c r="D830" s="13"/>
      <c r="E830" s="13"/>
      <c r="F830" s="13"/>
      <c r="G830" s="13"/>
      <c r="H830" s="13"/>
      <c r="I830" s="34">
        <v>123.0</v>
      </c>
      <c r="J830" s="13"/>
      <c r="K830" s="13"/>
      <c r="L830" s="1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21" t="s">
        <v>1255</v>
      </c>
      <c r="B831" s="22" t="s">
        <v>1256</v>
      </c>
      <c r="C831" s="47" t="s">
        <v>1257</v>
      </c>
      <c r="D831" s="13"/>
      <c r="E831" s="13"/>
      <c r="F831" s="13"/>
      <c r="G831" s="13"/>
      <c r="H831" s="13"/>
      <c r="I831" s="34">
        <v>13.0</v>
      </c>
      <c r="J831" s="13"/>
      <c r="K831" s="13"/>
      <c r="L831" s="1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21" t="s">
        <v>1258</v>
      </c>
      <c r="B832" s="22" t="s">
        <v>1259</v>
      </c>
      <c r="C832" s="47" t="s">
        <v>1260</v>
      </c>
      <c r="D832" s="13"/>
      <c r="E832" s="13"/>
      <c r="F832" s="13"/>
      <c r="G832" s="13"/>
      <c r="H832" s="13"/>
      <c r="I832" s="34">
        <v>211.0</v>
      </c>
      <c r="J832" s="13"/>
      <c r="K832" s="13"/>
      <c r="L832" s="1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21" t="s">
        <v>1261</v>
      </c>
      <c r="B833" s="22" t="s">
        <v>1262</v>
      </c>
      <c r="C833" s="47" t="s">
        <v>1263</v>
      </c>
      <c r="D833" s="13"/>
      <c r="E833" s="13"/>
      <c r="F833" s="13"/>
      <c r="G833" s="13"/>
      <c r="H833" s="13"/>
      <c r="I833" s="34">
        <v>1362.0</v>
      </c>
      <c r="J833" s="13"/>
      <c r="K833" s="13"/>
      <c r="L833" s="1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21" t="s">
        <v>1264</v>
      </c>
      <c r="B834" s="22" t="s">
        <v>1265</v>
      </c>
      <c r="C834" s="47" t="s">
        <v>1266</v>
      </c>
      <c r="D834" s="13"/>
      <c r="E834" s="13"/>
      <c r="F834" s="13"/>
      <c r="G834" s="13"/>
      <c r="H834" s="13"/>
      <c r="I834" s="34">
        <v>1845.0</v>
      </c>
      <c r="J834" s="13"/>
      <c r="K834" s="13"/>
      <c r="L834" s="1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21" t="s">
        <v>1267</v>
      </c>
      <c r="B835" s="22" t="s">
        <v>1268</v>
      </c>
      <c r="C835" s="47" t="s">
        <v>1269</v>
      </c>
      <c r="D835" s="13"/>
      <c r="E835" s="13"/>
      <c r="F835" s="13"/>
      <c r="G835" s="13"/>
      <c r="H835" s="13"/>
      <c r="I835" s="34">
        <v>3489.0</v>
      </c>
      <c r="J835" s="13"/>
      <c r="K835" s="13"/>
      <c r="L835" s="1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21" t="s">
        <v>1270</v>
      </c>
      <c r="B836" s="22" t="s">
        <v>1271</v>
      </c>
      <c r="C836" s="47" t="s">
        <v>1272</v>
      </c>
      <c r="D836" s="13"/>
      <c r="E836" s="13"/>
      <c r="F836" s="13"/>
      <c r="G836" s="13"/>
      <c r="H836" s="13"/>
      <c r="I836" s="34">
        <v>78.0</v>
      </c>
      <c r="J836" s="13"/>
      <c r="K836" s="13"/>
      <c r="L836" s="1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21" t="s">
        <v>1273</v>
      </c>
      <c r="B837" s="48" t="s">
        <v>1209</v>
      </c>
      <c r="C837" s="13"/>
      <c r="D837" s="13"/>
      <c r="E837" s="13"/>
      <c r="F837" s="13"/>
      <c r="G837" s="13"/>
      <c r="H837" s="13"/>
      <c r="I837" s="13">
        <f t="array" ref="I837">SUM(I816:I836)</f>
        <v>58794</v>
      </c>
      <c r="J837" s="13"/>
      <c r="K837" s="13"/>
      <c r="L837" s="1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11"/>
      <c r="B838" s="12"/>
      <c r="C838" s="25"/>
      <c r="D838" s="13"/>
      <c r="E838" s="13"/>
      <c r="F838" s="13"/>
      <c r="G838" s="13"/>
      <c r="H838" s="13"/>
      <c r="I838" s="13"/>
      <c r="J838" s="13"/>
      <c r="K838" s="13"/>
      <c r="L838" s="1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11"/>
      <c r="B839" s="45" t="s">
        <v>1274</v>
      </c>
      <c r="C839" s="25"/>
      <c r="D839" s="13"/>
      <c r="E839" s="13"/>
      <c r="F839" s="13"/>
      <c r="G839" s="13"/>
      <c r="H839" s="13"/>
      <c r="I839" s="13"/>
      <c r="J839" s="13"/>
      <c r="K839" s="13"/>
      <c r="L839" s="1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21" t="s">
        <v>1275</v>
      </c>
      <c r="B840" s="22" t="s">
        <v>1276</v>
      </c>
      <c r="C840" s="47" t="s">
        <v>1277</v>
      </c>
      <c r="D840" s="13"/>
      <c r="E840" s="13"/>
      <c r="F840" s="13"/>
      <c r="G840" s="13"/>
      <c r="H840" s="13"/>
      <c r="I840" s="34">
        <v>157.0</v>
      </c>
      <c r="J840" s="13"/>
      <c r="K840" s="13"/>
      <c r="L840" s="1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21" t="s">
        <v>1278</v>
      </c>
      <c r="B841" s="22" t="s">
        <v>1279</v>
      </c>
      <c r="C841" s="47" t="s">
        <v>1280</v>
      </c>
      <c r="D841" s="13"/>
      <c r="E841" s="13"/>
      <c r="F841" s="13"/>
      <c r="G841" s="13"/>
      <c r="H841" s="13"/>
      <c r="I841" s="34">
        <v>55199.0</v>
      </c>
      <c r="J841" s="13"/>
      <c r="K841" s="13"/>
      <c r="L841" s="1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21" t="s">
        <v>1281</v>
      </c>
      <c r="B842" s="22" t="s">
        <v>1282</v>
      </c>
      <c r="C842" s="47" t="s">
        <v>1283</v>
      </c>
      <c r="D842" s="13"/>
      <c r="E842" s="13"/>
      <c r="F842" s="13"/>
      <c r="G842" s="13"/>
      <c r="H842" s="13"/>
      <c r="I842" s="34">
        <v>7.0</v>
      </c>
      <c r="J842" s="13"/>
      <c r="K842" s="13"/>
      <c r="L842" s="1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21" t="s">
        <v>1284</v>
      </c>
      <c r="B843" s="22" t="s">
        <v>1285</v>
      </c>
      <c r="C843" s="47" t="s">
        <v>1286</v>
      </c>
      <c r="D843" s="13"/>
      <c r="E843" s="13"/>
      <c r="F843" s="13"/>
      <c r="G843" s="13"/>
      <c r="H843" s="13"/>
      <c r="I843" s="34">
        <v>22.0</v>
      </c>
      <c r="J843" s="13"/>
      <c r="K843" s="13"/>
      <c r="L843" s="1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21" t="s">
        <v>1287</v>
      </c>
      <c r="B844" s="22" t="s">
        <v>1288</v>
      </c>
      <c r="C844" s="47" t="s">
        <v>1289</v>
      </c>
      <c r="D844" s="13"/>
      <c r="E844" s="13"/>
      <c r="F844" s="13"/>
      <c r="G844" s="13"/>
      <c r="H844" s="13"/>
      <c r="I844" s="34">
        <v>30734.0</v>
      </c>
      <c r="J844" s="13"/>
      <c r="K844" s="13"/>
      <c r="L844" s="1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21" t="s">
        <v>1290</v>
      </c>
      <c r="B845" s="22" t="s">
        <v>1291</v>
      </c>
      <c r="C845" s="47" t="s">
        <v>1292</v>
      </c>
      <c r="D845" s="13"/>
      <c r="E845" s="13"/>
      <c r="F845" s="13"/>
      <c r="G845" s="13"/>
      <c r="H845" s="13"/>
      <c r="I845" s="34">
        <v>0.0</v>
      </c>
      <c r="J845" s="13"/>
      <c r="K845" s="13"/>
      <c r="L845" s="1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21" t="s">
        <v>1293</v>
      </c>
      <c r="B846" s="22" t="s">
        <v>1294</v>
      </c>
      <c r="C846" s="47" t="s">
        <v>1295</v>
      </c>
      <c r="D846" s="13"/>
      <c r="E846" s="13"/>
      <c r="F846" s="13"/>
      <c r="G846" s="13"/>
      <c r="H846" s="13"/>
      <c r="I846" s="34">
        <v>316.0</v>
      </c>
      <c r="J846" s="13"/>
      <c r="K846" s="13"/>
      <c r="L846" s="1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21" t="s">
        <v>1296</v>
      </c>
      <c r="B847" s="22" t="s">
        <v>1297</v>
      </c>
      <c r="C847" s="47" t="s">
        <v>1298</v>
      </c>
      <c r="D847" s="13"/>
      <c r="E847" s="13"/>
      <c r="F847" s="13"/>
      <c r="G847" s="13"/>
      <c r="H847" s="13"/>
      <c r="I847" s="34">
        <v>1238.0</v>
      </c>
      <c r="J847" s="13"/>
      <c r="K847" s="13"/>
      <c r="L847" s="1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21" t="s">
        <v>1299</v>
      </c>
      <c r="B848" s="22" t="s">
        <v>1300</v>
      </c>
      <c r="C848" s="47" t="s">
        <v>1301</v>
      </c>
      <c r="D848" s="13"/>
      <c r="E848" s="13"/>
      <c r="F848" s="13"/>
      <c r="G848" s="13"/>
      <c r="H848" s="13"/>
      <c r="I848" s="34">
        <v>98616.0</v>
      </c>
      <c r="J848" s="13"/>
      <c r="K848" s="13"/>
      <c r="L848" s="1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21" t="s">
        <v>1302</v>
      </c>
      <c r="B849" s="22" t="s">
        <v>1303</v>
      </c>
      <c r="C849" s="47" t="s">
        <v>1304</v>
      </c>
      <c r="D849" s="13"/>
      <c r="E849" s="13"/>
      <c r="F849" s="13"/>
      <c r="G849" s="13"/>
      <c r="H849" s="13"/>
      <c r="I849" s="34">
        <v>760.0</v>
      </c>
      <c r="J849" s="13"/>
      <c r="K849" s="13"/>
      <c r="L849" s="1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21" t="s">
        <v>1305</v>
      </c>
      <c r="B850" s="22" t="s">
        <v>1306</v>
      </c>
      <c r="C850" s="47" t="s">
        <v>1307</v>
      </c>
      <c r="D850" s="13"/>
      <c r="E850" s="13"/>
      <c r="F850" s="13"/>
      <c r="G850" s="13"/>
      <c r="H850" s="13"/>
      <c r="I850" s="34">
        <v>76.0</v>
      </c>
      <c r="J850" s="13"/>
      <c r="K850" s="13"/>
      <c r="L850" s="1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21" t="s">
        <v>1308</v>
      </c>
      <c r="B851" s="22" t="s">
        <v>1309</v>
      </c>
      <c r="C851" s="47" t="s">
        <v>1310</v>
      </c>
      <c r="D851" s="13"/>
      <c r="E851" s="13"/>
      <c r="F851" s="13"/>
      <c r="G851" s="13"/>
      <c r="H851" s="13"/>
      <c r="I851" s="34">
        <v>101.0</v>
      </c>
      <c r="J851" s="13"/>
      <c r="K851" s="13"/>
      <c r="L851" s="1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21" t="s">
        <v>1311</v>
      </c>
      <c r="B852" s="22" t="s">
        <v>1312</v>
      </c>
      <c r="C852" s="47" t="s">
        <v>1313</v>
      </c>
      <c r="D852" s="13"/>
      <c r="E852" s="13"/>
      <c r="F852" s="13"/>
      <c r="G852" s="13"/>
      <c r="H852" s="13"/>
      <c r="I852" s="34">
        <v>0.0</v>
      </c>
      <c r="J852" s="13"/>
      <c r="K852" s="13"/>
      <c r="L852" s="1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21" t="s">
        <v>1314</v>
      </c>
      <c r="B853" s="22" t="s">
        <v>1315</v>
      </c>
      <c r="C853" s="47" t="s">
        <v>1316</v>
      </c>
      <c r="D853" s="13"/>
      <c r="E853" s="13"/>
      <c r="F853" s="13"/>
      <c r="G853" s="13"/>
      <c r="H853" s="13"/>
      <c r="I853" s="34">
        <v>493.0</v>
      </c>
      <c r="J853" s="13"/>
      <c r="K853" s="13"/>
      <c r="L853" s="1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21" t="s">
        <v>1317</v>
      </c>
      <c r="B854" s="22" t="s">
        <v>1318</v>
      </c>
      <c r="C854" s="47" t="s">
        <v>1319</v>
      </c>
      <c r="D854" s="13"/>
      <c r="E854" s="13"/>
      <c r="F854" s="13"/>
      <c r="G854" s="13"/>
      <c r="H854" s="13"/>
      <c r="I854" s="34">
        <v>979.0</v>
      </c>
      <c r="J854" s="13"/>
      <c r="K854" s="13"/>
      <c r="L854" s="1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21" t="s">
        <v>1320</v>
      </c>
      <c r="B855" s="22" t="s">
        <v>1321</v>
      </c>
      <c r="C855" s="47" t="s">
        <v>1322</v>
      </c>
      <c r="D855" s="13"/>
      <c r="E855" s="13"/>
      <c r="F855" s="13"/>
      <c r="G855" s="13"/>
      <c r="H855" s="13"/>
      <c r="I855" s="34">
        <v>8.0</v>
      </c>
      <c r="J855" s="13"/>
      <c r="K855" s="13"/>
      <c r="L855" s="1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21" t="s">
        <v>1323</v>
      </c>
      <c r="B856" s="22" t="s">
        <v>1324</v>
      </c>
      <c r="C856" s="47" t="s">
        <v>1325</v>
      </c>
      <c r="D856" s="13"/>
      <c r="E856" s="13"/>
      <c r="F856" s="13"/>
      <c r="G856" s="13"/>
      <c r="H856" s="13"/>
      <c r="I856" s="34">
        <v>737.0</v>
      </c>
      <c r="J856" s="13"/>
      <c r="K856" s="13"/>
      <c r="L856" s="1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21" t="s">
        <v>1326</v>
      </c>
      <c r="B857" s="22" t="s">
        <v>1327</v>
      </c>
      <c r="C857" s="47" t="s">
        <v>1328</v>
      </c>
      <c r="D857" s="13"/>
      <c r="E857" s="13"/>
      <c r="F857" s="13"/>
      <c r="G857" s="13"/>
      <c r="H857" s="13"/>
      <c r="I857" s="34">
        <v>30.0</v>
      </c>
      <c r="J857" s="13"/>
      <c r="K857" s="13"/>
      <c r="L857" s="1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21" t="s">
        <v>1329</v>
      </c>
      <c r="B858" s="22" t="s">
        <v>1330</v>
      </c>
      <c r="C858" s="47" t="s">
        <v>1331</v>
      </c>
      <c r="D858" s="13"/>
      <c r="E858" s="13"/>
      <c r="F858" s="13"/>
      <c r="G858" s="13"/>
      <c r="H858" s="13"/>
      <c r="I858" s="34">
        <v>53.0</v>
      </c>
      <c r="J858" s="13"/>
      <c r="K858" s="13"/>
      <c r="L858" s="1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21" t="s">
        <v>1332</v>
      </c>
      <c r="B859" s="22" t="s">
        <v>1333</v>
      </c>
      <c r="C859" s="47" t="s">
        <v>1334</v>
      </c>
      <c r="D859" s="13"/>
      <c r="E859" s="13"/>
      <c r="F859" s="13"/>
      <c r="G859" s="13"/>
      <c r="H859" s="13"/>
      <c r="I859" s="34">
        <v>11.0</v>
      </c>
      <c r="J859" s="13"/>
      <c r="K859" s="13"/>
      <c r="L859" s="1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21" t="s">
        <v>1335</v>
      </c>
      <c r="B860" s="22" t="s">
        <v>1336</v>
      </c>
      <c r="C860" s="47" t="s">
        <v>1337</v>
      </c>
      <c r="D860" s="13"/>
      <c r="E860" s="13"/>
      <c r="F860" s="13"/>
      <c r="G860" s="13"/>
      <c r="H860" s="13"/>
      <c r="I860" s="34">
        <v>9.0</v>
      </c>
      <c r="J860" s="13"/>
      <c r="K860" s="13"/>
      <c r="L860" s="1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21" t="s">
        <v>1338</v>
      </c>
      <c r="B861" s="22" t="s">
        <v>1339</v>
      </c>
      <c r="C861" s="47" t="s">
        <v>1340</v>
      </c>
      <c r="D861" s="13"/>
      <c r="E861" s="13"/>
      <c r="F861" s="13"/>
      <c r="G861" s="13"/>
      <c r="H861" s="13"/>
      <c r="I861" s="34">
        <v>203.0</v>
      </c>
      <c r="J861" s="13"/>
      <c r="K861" s="13"/>
      <c r="L861" s="1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21" t="s">
        <v>1341</v>
      </c>
      <c r="B862" s="22" t="s">
        <v>1342</v>
      </c>
      <c r="C862" s="47" t="s">
        <v>1343</v>
      </c>
      <c r="D862" s="13"/>
      <c r="E862" s="13"/>
      <c r="F862" s="13"/>
      <c r="G862" s="13"/>
      <c r="H862" s="13"/>
      <c r="I862" s="34">
        <v>58086.0</v>
      </c>
      <c r="J862" s="13"/>
      <c r="K862" s="13"/>
      <c r="L862" s="1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21" t="s">
        <v>1344</v>
      </c>
      <c r="B863" s="22" t="s">
        <v>1345</v>
      </c>
      <c r="C863" s="47" t="s">
        <v>1346</v>
      </c>
      <c r="D863" s="13"/>
      <c r="E863" s="13"/>
      <c r="F863" s="13"/>
      <c r="G863" s="13"/>
      <c r="H863" s="13"/>
      <c r="I863" s="34">
        <v>2193.0</v>
      </c>
      <c r="J863" s="13"/>
      <c r="K863" s="13"/>
      <c r="L863" s="1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21" t="s">
        <v>1347</v>
      </c>
      <c r="B864" s="22" t="s">
        <v>1348</v>
      </c>
      <c r="C864" s="47" t="s">
        <v>1349</v>
      </c>
      <c r="D864" s="13"/>
      <c r="E864" s="13"/>
      <c r="F864" s="13"/>
      <c r="G864" s="13"/>
      <c r="H864" s="13"/>
      <c r="I864" s="34">
        <v>10.0</v>
      </c>
      <c r="J864" s="13"/>
      <c r="K864" s="13"/>
      <c r="L864" s="1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21" t="s">
        <v>1350</v>
      </c>
      <c r="B865" s="22" t="s">
        <v>1351</v>
      </c>
      <c r="C865" s="47" t="s">
        <v>1352</v>
      </c>
      <c r="D865" s="13"/>
      <c r="E865" s="13"/>
      <c r="F865" s="13"/>
      <c r="G865" s="13"/>
      <c r="H865" s="13"/>
      <c r="I865" s="34">
        <v>197.0</v>
      </c>
      <c r="J865" s="13"/>
      <c r="K865" s="13"/>
      <c r="L865" s="1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21" t="s">
        <v>1353</v>
      </c>
      <c r="B866" s="22" t="s">
        <v>1354</v>
      </c>
      <c r="C866" s="47" t="s">
        <v>1355</v>
      </c>
      <c r="D866" s="13"/>
      <c r="E866" s="13"/>
      <c r="F866" s="13"/>
      <c r="G866" s="13"/>
      <c r="H866" s="13"/>
      <c r="I866" s="34">
        <v>3478.0</v>
      </c>
      <c r="J866" s="13"/>
      <c r="K866" s="13"/>
      <c r="L866" s="1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21" t="s">
        <v>1356</v>
      </c>
      <c r="B867" s="22" t="s">
        <v>1357</v>
      </c>
      <c r="C867" s="47" t="s">
        <v>1358</v>
      </c>
      <c r="D867" s="13"/>
      <c r="E867" s="13"/>
      <c r="F867" s="13"/>
      <c r="G867" s="13"/>
      <c r="H867" s="13"/>
      <c r="I867" s="34">
        <v>65.0</v>
      </c>
      <c r="J867" s="13"/>
      <c r="K867" s="13"/>
      <c r="L867" s="1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21" t="s">
        <v>1359</v>
      </c>
      <c r="B868" s="22" t="s">
        <v>1360</v>
      </c>
      <c r="C868" s="47" t="s">
        <v>1361</v>
      </c>
      <c r="D868" s="13"/>
      <c r="E868" s="13"/>
      <c r="F868" s="13"/>
      <c r="G868" s="13"/>
      <c r="H868" s="13"/>
      <c r="I868" s="34">
        <v>33.0</v>
      </c>
      <c r="J868" s="13"/>
      <c r="K868" s="13"/>
      <c r="L868" s="1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21" t="s">
        <v>1362</v>
      </c>
      <c r="B869" s="22" t="s">
        <v>1363</v>
      </c>
      <c r="C869" s="47" t="s">
        <v>1364</v>
      </c>
      <c r="D869" s="13"/>
      <c r="E869" s="13"/>
      <c r="F869" s="13"/>
      <c r="G869" s="13"/>
      <c r="H869" s="13"/>
      <c r="I869" s="34">
        <v>128.0</v>
      </c>
      <c r="J869" s="13"/>
      <c r="K869" s="13"/>
      <c r="L869" s="1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21" t="s">
        <v>1365</v>
      </c>
      <c r="B870" s="22" t="s">
        <v>1366</v>
      </c>
      <c r="C870" s="47" t="s">
        <v>1367</v>
      </c>
      <c r="D870" s="13"/>
      <c r="E870" s="13"/>
      <c r="F870" s="13"/>
      <c r="G870" s="13"/>
      <c r="H870" s="13"/>
      <c r="I870" s="34">
        <v>1689.0</v>
      </c>
      <c r="J870" s="13"/>
      <c r="K870" s="13"/>
      <c r="L870" s="1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21" t="s">
        <v>1368</v>
      </c>
      <c r="B871" s="22" t="s">
        <v>1369</v>
      </c>
      <c r="C871" s="47" t="s">
        <v>1370</v>
      </c>
      <c r="D871" s="13"/>
      <c r="E871" s="13"/>
      <c r="F871" s="13"/>
      <c r="G871" s="13"/>
      <c r="H871" s="13"/>
      <c r="I871" s="34">
        <v>1266.0</v>
      </c>
      <c r="J871" s="13"/>
      <c r="K871" s="13"/>
      <c r="L871" s="1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21" t="s">
        <v>1371</v>
      </c>
      <c r="B872" s="48" t="s">
        <v>1274</v>
      </c>
      <c r="C872" s="13"/>
      <c r="D872" s="13"/>
      <c r="E872" s="13"/>
      <c r="F872" s="13"/>
      <c r="G872" s="13"/>
      <c r="H872" s="13"/>
      <c r="I872" s="13">
        <f t="array" ref="I872">SUM(I840:I871)</f>
        <v>256894</v>
      </c>
      <c r="J872" s="13"/>
      <c r="K872" s="13"/>
      <c r="L872" s="1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11"/>
      <c r="B873" s="12"/>
      <c r="C873" s="25"/>
      <c r="D873" s="13"/>
      <c r="E873" s="13"/>
      <c r="F873" s="13"/>
      <c r="G873" s="13"/>
      <c r="H873" s="13"/>
      <c r="I873" s="13"/>
      <c r="J873" s="13"/>
      <c r="K873" s="13"/>
      <c r="L873" s="1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11"/>
      <c r="B874" s="49" t="s">
        <v>1372</v>
      </c>
      <c r="C874" s="25"/>
      <c r="D874" s="13"/>
      <c r="E874" s="13"/>
      <c r="F874" s="13"/>
      <c r="G874" s="13"/>
      <c r="H874" s="13"/>
      <c r="I874" s="13"/>
      <c r="J874" s="13"/>
      <c r="K874" s="13"/>
      <c r="L874" s="1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21" t="s">
        <v>1373</v>
      </c>
      <c r="B875" s="22" t="s">
        <v>1374</v>
      </c>
      <c r="C875" s="47" t="s">
        <v>1375</v>
      </c>
      <c r="D875" s="13"/>
      <c r="E875" s="13"/>
      <c r="F875" s="13"/>
      <c r="G875" s="13"/>
      <c r="H875" s="13"/>
      <c r="I875" s="34">
        <v>0.0</v>
      </c>
      <c r="J875" s="13"/>
      <c r="K875" s="13"/>
      <c r="L875" s="1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21" t="s">
        <v>1376</v>
      </c>
      <c r="B876" s="22" t="s">
        <v>1377</v>
      </c>
      <c r="C876" s="47" t="s">
        <v>1378</v>
      </c>
      <c r="D876" s="13"/>
      <c r="E876" s="13"/>
      <c r="F876" s="13"/>
      <c r="G876" s="13"/>
      <c r="H876" s="13"/>
      <c r="I876" s="34">
        <v>1161.0</v>
      </c>
      <c r="J876" s="13"/>
      <c r="K876" s="13"/>
      <c r="L876" s="1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21" t="s">
        <v>1379</v>
      </c>
      <c r="B877" s="22" t="s">
        <v>1380</v>
      </c>
      <c r="C877" s="47" t="s">
        <v>1381</v>
      </c>
      <c r="D877" s="13"/>
      <c r="E877" s="13"/>
      <c r="F877" s="13"/>
      <c r="G877" s="13"/>
      <c r="H877" s="13"/>
      <c r="I877" s="34">
        <v>0.0</v>
      </c>
      <c r="J877" s="13"/>
      <c r="K877" s="13"/>
      <c r="L877" s="1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21" t="s">
        <v>1382</v>
      </c>
      <c r="B878" s="22" t="s">
        <v>1383</v>
      </c>
      <c r="C878" s="47" t="s">
        <v>1384</v>
      </c>
      <c r="D878" s="13"/>
      <c r="E878" s="13"/>
      <c r="F878" s="13"/>
      <c r="G878" s="13"/>
      <c r="H878" s="13"/>
      <c r="I878" s="34">
        <v>0.0</v>
      </c>
      <c r="J878" s="13"/>
      <c r="K878" s="13"/>
      <c r="L878" s="1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21" t="s">
        <v>1385</v>
      </c>
      <c r="B879" s="22" t="s">
        <v>1386</v>
      </c>
      <c r="C879" s="47" t="s">
        <v>1387</v>
      </c>
      <c r="D879" s="13"/>
      <c r="E879" s="13"/>
      <c r="F879" s="13"/>
      <c r="G879" s="13"/>
      <c r="H879" s="13"/>
      <c r="I879" s="34">
        <v>5.0</v>
      </c>
      <c r="J879" s="13"/>
      <c r="K879" s="13"/>
      <c r="L879" s="1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21" t="s">
        <v>1388</v>
      </c>
      <c r="B880" s="22" t="s">
        <v>1389</v>
      </c>
      <c r="C880" s="47" t="s">
        <v>1390</v>
      </c>
      <c r="D880" s="13"/>
      <c r="E880" s="13"/>
      <c r="F880" s="13"/>
      <c r="G880" s="13"/>
      <c r="H880" s="13"/>
      <c r="I880" s="34">
        <v>0.0</v>
      </c>
      <c r="J880" s="13"/>
      <c r="K880" s="13"/>
      <c r="L880" s="1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21" t="s">
        <v>1391</v>
      </c>
      <c r="B881" s="22" t="s">
        <v>1392</v>
      </c>
      <c r="C881" s="47" t="s">
        <v>1393</v>
      </c>
      <c r="D881" s="13"/>
      <c r="E881" s="13"/>
      <c r="F881" s="13"/>
      <c r="G881" s="13"/>
      <c r="H881" s="13"/>
      <c r="I881" s="34">
        <v>0.0</v>
      </c>
      <c r="J881" s="13"/>
      <c r="K881" s="13"/>
      <c r="L881" s="1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21" t="s">
        <v>1394</v>
      </c>
      <c r="B882" s="22" t="s">
        <v>1395</v>
      </c>
      <c r="C882" s="47" t="s">
        <v>1396</v>
      </c>
      <c r="D882" s="13"/>
      <c r="E882" s="13"/>
      <c r="F882" s="13"/>
      <c r="G882" s="13"/>
      <c r="H882" s="13"/>
      <c r="I882" s="34">
        <v>0.0</v>
      </c>
      <c r="J882" s="13"/>
      <c r="K882" s="13"/>
      <c r="L882" s="1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21" t="s">
        <v>1397</v>
      </c>
      <c r="B883" s="22" t="s">
        <v>1398</v>
      </c>
      <c r="C883" s="47" t="s">
        <v>1399</v>
      </c>
      <c r="D883" s="13"/>
      <c r="E883" s="13"/>
      <c r="F883" s="13"/>
      <c r="G883" s="13"/>
      <c r="H883" s="13"/>
      <c r="I883" s="34">
        <v>1.0</v>
      </c>
      <c r="J883" s="13"/>
      <c r="K883" s="13"/>
      <c r="L883" s="1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21" t="s">
        <v>1400</v>
      </c>
      <c r="B884" s="22" t="s">
        <v>1401</v>
      </c>
      <c r="C884" s="47" t="s">
        <v>1402</v>
      </c>
      <c r="D884" s="13"/>
      <c r="E884" s="13"/>
      <c r="F884" s="13"/>
      <c r="G884" s="13"/>
      <c r="H884" s="13"/>
      <c r="I884" s="34">
        <v>0.0</v>
      </c>
      <c r="J884" s="13"/>
      <c r="K884" s="13"/>
      <c r="L884" s="1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21" t="s">
        <v>1403</v>
      </c>
      <c r="B885" s="22" t="s">
        <v>1404</v>
      </c>
      <c r="C885" s="47" t="s">
        <v>1405</v>
      </c>
      <c r="D885" s="13"/>
      <c r="E885" s="13"/>
      <c r="F885" s="13"/>
      <c r="G885" s="13"/>
      <c r="H885" s="13"/>
      <c r="I885" s="34">
        <v>0.0</v>
      </c>
      <c r="J885" s="13"/>
      <c r="K885" s="13"/>
      <c r="L885" s="1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21" t="s">
        <v>1406</v>
      </c>
      <c r="B886" s="22" t="s">
        <v>1407</v>
      </c>
      <c r="C886" s="47" t="s">
        <v>1408</v>
      </c>
      <c r="D886" s="13"/>
      <c r="E886" s="13"/>
      <c r="F886" s="13"/>
      <c r="G886" s="13"/>
      <c r="H886" s="13"/>
      <c r="I886" s="34">
        <v>0.0</v>
      </c>
      <c r="J886" s="13"/>
      <c r="K886" s="13"/>
      <c r="L886" s="1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21" t="s">
        <v>1409</v>
      </c>
      <c r="B887" s="22" t="s">
        <v>1410</v>
      </c>
      <c r="C887" s="47" t="s">
        <v>1411</v>
      </c>
      <c r="D887" s="13"/>
      <c r="E887" s="13"/>
      <c r="F887" s="13"/>
      <c r="G887" s="13"/>
      <c r="H887" s="13"/>
      <c r="I887" s="34">
        <v>1.0</v>
      </c>
      <c r="J887" s="13"/>
      <c r="K887" s="13"/>
      <c r="L887" s="1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21" t="s">
        <v>1412</v>
      </c>
      <c r="B888" s="22" t="s">
        <v>1413</v>
      </c>
      <c r="C888" s="47" t="s">
        <v>1414</v>
      </c>
      <c r="D888" s="13"/>
      <c r="E888" s="13"/>
      <c r="F888" s="13"/>
      <c r="G888" s="13"/>
      <c r="H888" s="13"/>
      <c r="I888" s="34">
        <v>0.0</v>
      </c>
      <c r="J888" s="13"/>
      <c r="K888" s="13"/>
      <c r="L888" s="1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21" t="s">
        <v>1415</v>
      </c>
      <c r="B889" s="22" t="s">
        <v>1416</v>
      </c>
      <c r="C889" s="47" t="s">
        <v>1417</v>
      </c>
      <c r="D889" s="13"/>
      <c r="E889" s="13"/>
      <c r="F889" s="13"/>
      <c r="G889" s="13"/>
      <c r="H889" s="13"/>
      <c r="I889" s="34">
        <v>270.0</v>
      </c>
      <c r="J889" s="13"/>
      <c r="K889" s="13"/>
      <c r="L889" s="1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21" t="s">
        <v>1418</v>
      </c>
      <c r="B890" s="22" t="s">
        <v>1419</v>
      </c>
      <c r="C890" s="47" t="s">
        <v>1420</v>
      </c>
      <c r="D890" s="13"/>
      <c r="E890" s="13"/>
      <c r="F890" s="13"/>
      <c r="G890" s="13"/>
      <c r="H890" s="13"/>
      <c r="I890" s="34">
        <v>0.0</v>
      </c>
      <c r="J890" s="13"/>
      <c r="K890" s="13"/>
      <c r="L890" s="1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21" t="s">
        <v>1421</v>
      </c>
      <c r="B891" s="22" t="s">
        <v>1422</v>
      </c>
      <c r="C891" s="47" t="s">
        <v>1423</v>
      </c>
      <c r="D891" s="13"/>
      <c r="E891" s="13"/>
      <c r="F891" s="13"/>
      <c r="G891" s="13"/>
      <c r="H891" s="13"/>
      <c r="I891" s="34">
        <v>2.0</v>
      </c>
      <c r="J891" s="13"/>
      <c r="K891" s="13"/>
      <c r="L891" s="1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21" t="s">
        <v>1424</v>
      </c>
      <c r="B892" s="22" t="s">
        <v>1425</v>
      </c>
      <c r="C892" s="47" t="s">
        <v>1426</v>
      </c>
      <c r="D892" s="13"/>
      <c r="E892" s="13"/>
      <c r="F892" s="13"/>
      <c r="G892" s="13"/>
      <c r="H892" s="13"/>
      <c r="I892" s="34">
        <v>0.0</v>
      </c>
      <c r="J892" s="13"/>
      <c r="K892" s="13"/>
      <c r="L892" s="1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21" t="s">
        <v>1427</v>
      </c>
      <c r="B893" s="22" t="s">
        <v>1428</v>
      </c>
      <c r="C893" s="47" t="s">
        <v>1429</v>
      </c>
      <c r="D893" s="13"/>
      <c r="E893" s="13"/>
      <c r="F893" s="13"/>
      <c r="G893" s="13"/>
      <c r="H893" s="13"/>
      <c r="I893" s="34">
        <v>1.0</v>
      </c>
      <c r="J893" s="13"/>
      <c r="K893" s="13"/>
      <c r="L893" s="1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21" t="s">
        <v>1430</v>
      </c>
      <c r="B894" s="22" t="s">
        <v>1431</v>
      </c>
      <c r="C894" s="47" t="s">
        <v>1432</v>
      </c>
      <c r="D894" s="13"/>
      <c r="E894" s="13"/>
      <c r="F894" s="13"/>
      <c r="G894" s="13"/>
      <c r="H894" s="13"/>
      <c r="I894" s="34">
        <v>1.0</v>
      </c>
      <c r="J894" s="13"/>
      <c r="K894" s="13"/>
      <c r="L894" s="1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21" t="s">
        <v>1433</v>
      </c>
      <c r="B895" s="22" t="s">
        <v>1434</v>
      </c>
      <c r="C895" s="47" t="s">
        <v>1435</v>
      </c>
      <c r="D895" s="13"/>
      <c r="E895" s="13"/>
      <c r="F895" s="13"/>
      <c r="G895" s="13"/>
      <c r="H895" s="13"/>
      <c r="I895" s="34">
        <v>0.0</v>
      </c>
      <c r="J895" s="13"/>
      <c r="K895" s="13"/>
      <c r="L895" s="1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21" t="s">
        <v>1436</v>
      </c>
      <c r="B896" s="22" t="s">
        <v>1437</v>
      </c>
      <c r="C896" s="47" t="s">
        <v>1438</v>
      </c>
      <c r="D896" s="13"/>
      <c r="E896" s="13"/>
      <c r="F896" s="13"/>
      <c r="G896" s="13"/>
      <c r="H896" s="13"/>
      <c r="I896" s="34">
        <v>0.0</v>
      </c>
      <c r="J896" s="13"/>
      <c r="K896" s="13"/>
      <c r="L896" s="1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21" t="s">
        <v>1439</v>
      </c>
      <c r="B897" s="22" t="s">
        <v>1440</v>
      </c>
      <c r="C897" s="47" t="s">
        <v>1441</v>
      </c>
      <c r="D897" s="13"/>
      <c r="E897" s="13"/>
      <c r="F897" s="13"/>
      <c r="G897" s="13"/>
      <c r="H897" s="13"/>
      <c r="I897" s="34">
        <v>0.0</v>
      </c>
      <c r="J897" s="13"/>
      <c r="K897" s="13"/>
      <c r="L897" s="1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21" t="s">
        <v>1442</v>
      </c>
      <c r="B898" s="22" t="s">
        <v>1443</v>
      </c>
      <c r="C898" s="47" t="s">
        <v>1444</v>
      </c>
      <c r="D898" s="13"/>
      <c r="E898" s="13"/>
      <c r="F898" s="13"/>
      <c r="G898" s="13"/>
      <c r="H898" s="13"/>
      <c r="I898" s="34">
        <v>0.0</v>
      </c>
      <c r="J898" s="13"/>
      <c r="K898" s="13"/>
      <c r="L898" s="1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21" t="s">
        <v>1445</v>
      </c>
      <c r="B899" s="22" t="s">
        <v>1446</v>
      </c>
      <c r="C899" s="47" t="s">
        <v>1447</v>
      </c>
      <c r="D899" s="13"/>
      <c r="E899" s="13"/>
      <c r="F899" s="13"/>
      <c r="G899" s="13"/>
      <c r="H899" s="13"/>
      <c r="I899" s="34">
        <v>18.0</v>
      </c>
      <c r="J899" s="13"/>
      <c r="K899" s="13"/>
      <c r="L899" s="1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21" t="s">
        <v>1448</v>
      </c>
      <c r="B900" s="22" t="s">
        <v>1449</v>
      </c>
      <c r="C900" s="47" t="s">
        <v>1450</v>
      </c>
      <c r="D900" s="13"/>
      <c r="E900" s="13"/>
      <c r="F900" s="13"/>
      <c r="G900" s="13"/>
      <c r="H900" s="13"/>
      <c r="I900" s="34">
        <v>0.0</v>
      </c>
      <c r="J900" s="13"/>
      <c r="K900" s="13"/>
      <c r="L900" s="1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21" t="s">
        <v>1451</v>
      </c>
      <c r="B901" s="22" t="s">
        <v>1452</v>
      </c>
      <c r="C901" s="47" t="s">
        <v>1453</v>
      </c>
      <c r="D901" s="13"/>
      <c r="E901" s="13"/>
      <c r="F901" s="13"/>
      <c r="G901" s="13"/>
      <c r="H901" s="13"/>
      <c r="I901" s="34">
        <v>2.0</v>
      </c>
      <c r="J901" s="13"/>
      <c r="K901" s="13"/>
      <c r="L901" s="1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21" t="s">
        <v>1454</v>
      </c>
      <c r="B902" s="48" t="s">
        <v>1372</v>
      </c>
      <c r="C902" s="13"/>
      <c r="D902" s="13"/>
      <c r="E902" s="13"/>
      <c r="F902" s="13"/>
      <c r="G902" s="13"/>
      <c r="H902" s="13"/>
      <c r="I902" s="13">
        <f t="array" ref="I902">SUM(I875:I901)</f>
        <v>1462</v>
      </c>
      <c r="J902" s="13"/>
      <c r="K902" s="13"/>
      <c r="L902" s="1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11"/>
      <c r="B903" s="12"/>
      <c r="C903" s="25"/>
      <c r="D903" s="13"/>
      <c r="E903" s="13"/>
      <c r="F903" s="13"/>
      <c r="G903" s="13"/>
      <c r="H903" s="13"/>
      <c r="I903" s="13"/>
      <c r="J903" s="13"/>
      <c r="K903" s="13"/>
      <c r="L903" s="1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11"/>
      <c r="B904" s="45" t="s">
        <v>1455</v>
      </c>
      <c r="C904" s="25"/>
      <c r="D904" s="13"/>
      <c r="E904" s="13"/>
      <c r="F904" s="13"/>
      <c r="G904" s="13"/>
      <c r="H904" s="13"/>
      <c r="I904" s="13"/>
      <c r="J904" s="13"/>
      <c r="K904" s="13"/>
      <c r="L904" s="1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21" t="s">
        <v>1456</v>
      </c>
      <c r="B905" s="22" t="s">
        <v>1455</v>
      </c>
      <c r="C905" s="47" t="s">
        <v>1457</v>
      </c>
      <c r="D905" s="13"/>
      <c r="E905" s="13"/>
      <c r="F905" s="13"/>
      <c r="G905" s="13"/>
      <c r="H905" s="13"/>
      <c r="I905" s="34">
        <v>0.0</v>
      </c>
      <c r="J905" s="13"/>
      <c r="K905" s="13"/>
      <c r="L905" s="1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21" t="s">
        <v>1458</v>
      </c>
      <c r="B906" s="22" t="s">
        <v>1459</v>
      </c>
      <c r="C906" s="47" t="s">
        <v>1460</v>
      </c>
      <c r="D906" s="13"/>
      <c r="E906" s="13"/>
      <c r="F906" s="13"/>
      <c r="G906" s="13"/>
      <c r="H906" s="13"/>
      <c r="I906" s="34">
        <v>0.0</v>
      </c>
      <c r="J906" s="13"/>
      <c r="K906" s="13"/>
      <c r="L906" s="1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21" t="s">
        <v>1461</v>
      </c>
      <c r="B907" s="22" t="s">
        <v>1462</v>
      </c>
      <c r="C907" s="47" t="s">
        <v>1463</v>
      </c>
      <c r="D907" s="13"/>
      <c r="E907" s="13"/>
      <c r="F907" s="13"/>
      <c r="G907" s="13"/>
      <c r="H907" s="13"/>
      <c r="I907" s="34">
        <v>0.0</v>
      </c>
      <c r="J907" s="13"/>
      <c r="K907" s="13"/>
      <c r="L907" s="1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21" t="s">
        <v>1464</v>
      </c>
      <c r="B908" s="22" t="s">
        <v>1465</v>
      </c>
      <c r="C908" s="47" t="s">
        <v>1466</v>
      </c>
      <c r="D908" s="13"/>
      <c r="E908" s="13"/>
      <c r="F908" s="13"/>
      <c r="G908" s="13"/>
      <c r="H908" s="13"/>
      <c r="I908" s="34">
        <v>0.0</v>
      </c>
      <c r="J908" s="13"/>
      <c r="K908" s="13"/>
      <c r="L908" s="1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21" t="s">
        <v>1467</v>
      </c>
      <c r="B909" s="22" t="s">
        <v>1468</v>
      </c>
      <c r="C909" s="47" t="s">
        <v>1469</v>
      </c>
      <c r="D909" s="13"/>
      <c r="E909" s="13"/>
      <c r="F909" s="13"/>
      <c r="G909" s="13"/>
      <c r="H909" s="13"/>
      <c r="I909" s="34">
        <v>0.0</v>
      </c>
      <c r="J909" s="13"/>
      <c r="K909" s="13"/>
      <c r="L909" s="13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21" t="s">
        <v>1470</v>
      </c>
      <c r="B910" s="48" t="s">
        <v>1455</v>
      </c>
      <c r="C910" s="13"/>
      <c r="D910" s="13"/>
      <c r="E910" s="13"/>
      <c r="F910" s="13"/>
      <c r="G910" s="13"/>
      <c r="H910" s="13"/>
      <c r="I910" s="13">
        <f t="array" ref="I910">SUM(I905:I909)</f>
        <v>0</v>
      </c>
      <c r="J910" s="13"/>
      <c r="K910" s="13"/>
      <c r="L910" s="13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11"/>
      <c r="B911" s="12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21" t="s">
        <v>1471</v>
      </c>
      <c r="B912" s="45" t="s">
        <v>1472</v>
      </c>
      <c r="C912" s="25"/>
      <c r="D912" s="13"/>
      <c r="E912" s="13"/>
      <c r="F912" s="13"/>
      <c r="G912" s="13"/>
      <c r="H912" s="13"/>
      <c r="I912" s="34"/>
      <c r="J912" s="13"/>
      <c r="K912" s="13"/>
      <c r="L912" s="13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11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21" t="s">
        <v>1473</v>
      </c>
      <c r="B914" s="49" t="s">
        <v>247</v>
      </c>
      <c r="C914" s="13"/>
      <c r="D914" s="13"/>
      <c r="E914" s="13"/>
      <c r="F914" s="13">
        <f t="array" ref="F914">F691+F736+F752+F813+F837+F872+F902+F910+F912</f>
        <v>0</v>
      </c>
      <c r="G914" s="13">
        <f t="array" ref="G914">G691+G736+G752+G813+G837+G872+G902+G910+G912</f>
        <v>0</v>
      </c>
      <c r="H914" s="13"/>
      <c r="I914" s="13">
        <f t="array" ref="I914">I691+I736+I752+I813+I837+I872+I902+I910+I912</f>
        <v>1543190</v>
      </c>
      <c r="J914" s="13"/>
      <c r="K914" s="13"/>
      <c r="L914" s="13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11"/>
      <c r="B915" s="48" t="s">
        <v>1474</v>
      </c>
      <c r="C915" s="13"/>
      <c r="D915" s="13"/>
      <c r="E915" s="13"/>
      <c r="F915" s="29">
        <f t="array" ref="F915">F127</f>
        <v>1332231</v>
      </c>
      <c r="G915" s="29">
        <f t="array" ref="G915">G127</f>
        <v>1707342</v>
      </c>
      <c r="H915" s="13"/>
      <c r="I915" s="29">
        <f t="array" ref="I915">I127</f>
        <v>1543701</v>
      </c>
      <c r="J915" s="13"/>
      <c r="K915" s="13"/>
      <c r="L915" s="13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11"/>
      <c r="B916" s="48" t="s">
        <v>1475</v>
      </c>
      <c r="C916" s="13"/>
      <c r="D916" s="13"/>
      <c r="E916" s="13"/>
      <c r="F916" s="29">
        <f t="array" ref="F916">F493</f>
        <v>29332</v>
      </c>
      <c r="G916" s="29">
        <f t="array" ref="G916">G493</f>
        <v>30950.4</v>
      </c>
      <c r="H916" s="13"/>
      <c r="I916" s="29">
        <f t="array" ref="I916">I493</f>
        <v>60282.4</v>
      </c>
      <c r="J916" s="13"/>
      <c r="K916" s="13"/>
      <c r="L916" s="13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11"/>
      <c r="B917" s="12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21" t="s">
        <v>1476</v>
      </c>
      <c r="B918" s="22" t="s">
        <v>39</v>
      </c>
      <c r="C918" s="26" t="str">
        <f t="array" ref="C918">IF(C919="","?",C919)&amp;IF(C920="","","; downloaded "&amp;C920)&amp;IF(C921="","","; "&amp;C921)</f>
        <v>?</v>
      </c>
      <c r="D918" s="13"/>
      <c r="E918" s="13"/>
      <c r="F918" s="13"/>
      <c r="G918" s="13"/>
      <c r="H918" s="13"/>
      <c r="I918" s="13"/>
      <c r="J918" s="13"/>
      <c r="K918" s="13"/>
      <c r="L918" s="13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11"/>
      <c r="B919" s="22" t="s">
        <v>40</v>
      </c>
      <c r="C919" s="23"/>
      <c r="D919" s="13"/>
      <c r="E919" s="13"/>
      <c r="F919" s="13"/>
      <c r="G919" s="13"/>
      <c r="H919" s="13"/>
      <c r="I919" s="13"/>
      <c r="J919" s="13"/>
      <c r="K919" s="13"/>
      <c r="L919" s="13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11"/>
      <c r="B920" s="22" t="s">
        <v>42</v>
      </c>
      <c r="C920" s="27"/>
      <c r="D920" s="13"/>
      <c r="E920" s="13"/>
      <c r="F920" s="13"/>
      <c r="G920" s="13"/>
      <c r="H920" s="13"/>
      <c r="I920" s="13"/>
      <c r="J920" s="13"/>
      <c r="K920" s="13"/>
      <c r="L920" s="13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11"/>
      <c r="B921" s="22" t="s">
        <v>43</v>
      </c>
      <c r="C921" s="23"/>
      <c r="D921" s="13"/>
      <c r="E921" s="13"/>
      <c r="F921" s="13"/>
      <c r="G921" s="13"/>
      <c r="H921" s="13"/>
      <c r="I921" s="13"/>
      <c r="J921" s="13"/>
      <c r="K921" s="13"/>
      <c r="L921" s="13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11"/>
      <c r="B922" s="12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61.5" customHeight="1">
      <c r="A923" s="17"/>
      <c r="B923" s="18" t="s">
        <v>1477</v>
      </c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1.5" customHeight="1">
      <c r="A924" s="11"/>
      <c r="B924" s="12"/>
      <c r="C924" s="50" t="s">
        <v>1478</v>
      </c>
      <c r="D924" s="25"/>
      <c r="E924" s="25"/>
      <c r="F924" s="25"/>
      <c r="G924" s="25"/>
      <c r="H924" s="25"/>
      <c r="I924" s="25"/>
      <c r="J924" s="25"/>
      <c r="K924" s="25"/>
      <c r="L924" s="25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21" t="s">
        <v>1479</v>
      </c>
      <c r="B925" s="22" t="s">
        <v>1480</v>
      </c>
      <c r="C925" s="29">
        <f t="array" ref="C925">C$127</f>
        <v>10749635</v>
      </c>
      <c r="D925" s="25"/>
      <c r="E925" s="25"/>
      <c r="F925" s="25"/>
      <c r="G925" s="25"/>
      <c r="H925" s="25"/>
      <c r="I925" s="25"/>
      <c r="J925" s="25"/>
      <c r="K925" s="25"/>
      <c r="L925" s="25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21" t="s">
        <v>1481</v>
      </c>
      <c r="B926" s="22" t="s">
        <v>1482</v>
      </c>
      <c r="C926" s="28">
        <v>1.0749635E7</v>
      </c>
      <c r="D926" s="25"/>
      <c r="E926" s="25"/>
      <c r="F926" s="25"/>
      <c r="G926" s="25"/>
      <c r="H926" s="25"/>
      <c r="I926" s="25"/>
      <c r="J926" s="25"/>
      <c r="K926" s="25"/>
      <c r="L926" s="25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21" t="s">
        <v>1483</v>
      </c>
      <c r="B927" s="22" t="s">
        <v>1484</v>
      </c>
      <c r="C927" s="28">
        <v>1.0706289E7</v>
      </c>
      <c r="D927" s="25"/>
      <c r="E927" s="25"/>
      <c r="F927" s="25"/>
      <c r="G927" s="25"/>
      <c r="H927" s="25"/>
      <c r="I927" s="25"/>
      <c r="J927" s="25"/>
      <c r="K927" s="25"/>
      <c r="L927" s="25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21" t="s">
        <v>1485</v>
      </c>
      <c r="B928" s="22" t="s">
        <v>1486</v>
      </c>
      <c r="C928" s="28">
        <v>1.0664705E7</v>
      </c>
      <c r="D928" s="25"/>
      <c r="E928" s="25"/>
      <c r="F928" s="25"/>
      <c r="G928" s="25"/>
      <c r="H928" s="25"/>
      <c r="I928" s="25"/>
      <c r="J928" s="25"/>
      <c r="K928" s="25"/>
      <c r="L928" s="25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21" t="s">
        <v>1487</v>
      </c>
      <c r="B929" s="22" t="s">
        <v>1488</v>
      </c>
      <c r="C929" s="28">
        <v>1.0624149E7</v>
      </c>
      <c r="D929" s="25"/>
      <c r="E929" s="25"/>
      <c r="F929" s="25"/>
      <c r="G929" s="25"/>
      <c r="H929" s="25"/>
      <c r="I929" s="25"/>
      <c r="J929" s="25"/>
      <c r="K929" s="25"/>
      <c r="L929" s="25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21" t="s">
        <v>1489</v>
      </c>
      <c r="B930" s="22" t="s">
        <v>1490</v>
      </c>
      <c r="C930" s="28">
        <v>1.0584006E7</v>
      </c>
      <c r="D930" s="25"/>
      <c r="E930" s="25"/>
      <c r="F930" s="25"/>
      <c r="G930" s="25"/>
      <c r="H930" s="25"/>
      <c r="I930" s="25"/>
      <c r="J930" s="25"/>
      <c r="K930" s="25"/>
      <c r="L930" s="25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21" t="s">
        <v>1491</v>
      </c>
      <c r="B931" s="22" t="s">
        <v>1492</v>
      </c>
      <c r="C931" s="28">
        <v>1.0543583E7</v>
      </c>
      <c r="D931" s="25"/>
      <c r="E931" s="25"/>
      <c r="F931" s="25"/>
      <c r="G931" s="25"/>
      <c r="H931" s="25"/>
      <c r="I931" s="25"/>
      <c r="J931" s="25"/>
      <c r="K931" s="25"/>
      <c r="L931" s="25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21" t="s">
        <v>1493</v>
      </c>
      <c r="B932" s="22" t="s">
        <v>1494</v>
      </c>
      <c r="C932" s="28">
        <v>1.050255E7</v>
      </c>
      <c r="D932" s="25"/>
      <c r="E932" s="25"/>
      <c r="F932" s="25"/>
      <c r="G932" s="25"/>
      <c r="H932" s="25"/>
      <c r="I932" s="25"/>
      <c r="J932" s="25"/>
      <c r="K932" s="25"/>
      <c r="L932" s="25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21" t="s">
        <v>1495</v>
      </c>
      <c r="B933" s="22" t="s">
        <v>1496</v>
      </c>
      <c r="C933" s="28">
        <v>1.0460614E7</v>
      </c>
      <c r="D933" s="25"/>
      <c r="E933" s="25"/>
      <c r="F933" s="25"/>
      <c r="G933" s="25"/>
      <c r="H933" s="25"/>
      <c r="I933" s="25"/>
      <c r="J933" s="25"/>
      <c r="K933" s="25"/>
      <c r="L933" s="25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21" t="s">
        <v>1497</v>
      </c>
      <c r="B934" s="22" t="s">
        <v>1498</v>
      </c>
      <c r="C934" s="28">
        <v>1.0417524E7</v>
      </c>
      <c r="D934" s="25"/>
      <c r="E934" s="25"/>
      <c r="F934" s="25"/>
      <c r="G934" s="25"/>
      <c r="H934" s="25"/>
      <c r="I934" s="25"/>
      <c r="J934" s="25"/>
      <c r="K934" s="25"/>
      <c r="L934" s="25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21" t="s">
        <v>1499</v>
      </c>
      <c r="B935" s="22" t="s">
        <v>1500</v>
      </c>
      <c r="C935" s="28">
        <v>1.0373039E7</v>
      </c>
      <c r="D935" s="25"/>
      <c r="E935" s="25"/>
      <c r="F935" s="25"/>
      <c r="G935" s="25"/>
      <c r="H935" s="25"/>
      <c r="I935" s="25"/>
      <c r="J935" s="25"/>
      <c r="K935" s="25"/>
      <c r="L935" s="25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21" t="s">
        <v>1501</v>
      </c>
      <c r="B936" s="22" t="s">
        <v>1502</v>
      </c>
      <c r="C936" s="28">
        <v>1.0326942E7</v>
      </c>
      <c r="D936" s="25"/>
      <c r="E936" s="25"/>
      <c r="F936" s="25"/>
      <c r="G936" s="25"/>
      <c r="H936" s="25"/>
      <c r="I936" s="25"/>
      <c r="J936" s="25"/>
      <c r="K936" s="25"/>
      <c r="L936" s="25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21" t="s">
        <v>1503</v>
      </c>
      <c r="B937" s="22" t="s">
        <v>1504</v>
      </c>
      <c r="C937" s="28">
        <v>1.0279042E7</v>
      </c>
      <c r="D937" s="25"/>
      <c r="E937" s="25"/>
      <c r="F937" s="25"/>
      <c r="G937" s="25"/>
      <c r="H937" s="25"/>
      <c r="I937" s="25"/>
      <c r="J937" s="25"/>
      <c r="K937" s="25"/>
      <c r="L937" s="25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21" t="s">
        <v>1505</v>
      </c>
      <c r="B938" s="22" t="s">
        <v>1506</v>
      </c>
      <c r="C938" s="28">
        <v>1.0230087E7</v>
      </c>
      <c r="D938" s="25"/>
      <c r="E938" s="25"/>
      <c r="F938" s="25"/>
      <c r="G938" s="25"/>
      <c r="H938" s="25"/>
      <c r="I938" s="25"/>
      <c r="J938" s="25"/>
      <c r="K938" s="25"/>
      <c r="L938" s="25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21" t="s">
        <v>1507</v>
      </c>
      <c r="B939" s="22" t="s">
        <v>1508</v>
      </c>
      <c r="C939" s="28">
        <v>1.0179568E7</v>
      </c>
      <c r="D939" s="25"/>
      <c r="E939" s="25"/>
      <c r="F939" s="25"/>
      <c r="G939" s="25"/>
      <c r="H939" s="25"/>
      <c r="I939" s="25"/>
      <c r="J939" s="25"/>
      <c r="K939" s="25"/>
      <c r="L939" s="25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21" t="s">
        <v>1509</v>
      </c>
      <c r="B940" s="22" t="s">
        <v>1510</v>
      </c>
      <c r="C940" s="28">
        <v>1.0127064E7</v>
      </c>
      <c r="D940" s="25"/>
      <c r="E940" s="25"/>
      <c r="F940" s="25"/>
      <c r="G940" s="25"/>
      <c r="H940" s="25"/>
      <c r="I940" s="25"/>
      <c r="J940" s="25"/>
      <c r="K940" s="25"/>
      <c r="L940" s="25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21" t="s">
        <v>1511</v>
      </c>
      <c r="B941" s="22" t="s">
        <v>1512</v>
      </c>
      <c r="C941" s="28">
        <v>1.0072453E7</v>
      </c>
      <c r="D941" s="25"/>
      <c r="E941" s="25"/>
      <c r="F941" s="25"/>
      <c r="G941" s="25"/>
      <c r="H941" s="25"/>
      <c r="I941" s="25"/>
      <c r="J941" s="25"/>
      <c r="K941" s="25"/>
      <c r="L941" s="25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21" t="s">
        <v>1513</v>
      </c>
      <c r="B942" s="22" t="s">
        <v>1514</v>
      </c>
      <c r="C942" s="28">
        <v>1.0015837E7</v>
      </c>
      <c r="D942" s="25"/>
      <c r="E942" s="25"/>
      <c r="F942" s="25"/>
      <c r="G942" s="25"/>
      <c r="H942" s="25"/>
      <c r="I942" s="25"/>
      <c r="J942" s="25"/>
      <c r="K942" s="25"/>
      <c r="L942" s="25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21" t="s">
        <v>1515</v>
      </c>
      <c r="B943" s="22" t="s">
        <v>1516</v>
      </c>
      <c r="C943" s="28">
        <v>9957029.0</v>
      </c>
      <c r="D943" s="25"/>
      <c r="E943" s="25"/>
      <c r="F943" s="25"/>
      <c r="G943" s="25"/>
      <c r="H943" s="25"/>
      <c r="I943" s="25"/>
      <c r="J943" s="25"/>
      <c r="K943" s="25"/>
      <c r="L943" s="25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21" t="s">
        <v>1517</v>
      </c>
      <c r="B944" s="22" t="s">
        <v>1518</v>
      </c>
      <c r="C944" s="28">
        <v>9896177.0</v>
      </c>
      <c r="D944" s="25"/>
      <c r="E944" s="25"/>
      <c r="F944" s="25"/>
      <c r="G944" s="25"/>
      <c r="H944" s="25"/>
      <c r="I944" s="25"/>
      <c r="J944" s="25"/>
      <c r="K944" s="25"/>
      <c r="L944" s="25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21" t="s">
        <v>1519</v>
      </c>
      <c r="B945" s="22" t="s">
        <v>1520</v>
      </c>
      <c r="C945" s="28">
        <v>9833418.0</v>
      </c>
      <c r="D945" s="25"/>
      <c r="E945" s="25"/>
      <c r="F945" s="25"/>
      <c r="G945" s="25"/>
      <c r="H945" s="25"/>
      <c r="I945" s="25"/>
      <c r="J945" s="25"/>
      <c r="K945" s="25"/>
      <c r="L945" s="25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21" t="s">
        <v>1521</v>
      </c>
      <c r="B946" s="22" t="s">
        <v>1522</v>
      </c>
      <c r="C946" s="28">
        <v>9768908.0</v>
      </c>
      <c r="D946" s="25"/>
      <c r="E946" s="25"/>
      <c r="F946" s="25"/>
      <c r="G946" s="25"/>
      <c r="H946" s="25"/>
      <c r="I946" s="25"/>
      <c r="J946" s="25"/>
      <c r="K946" s="25"/>
      <c r="L946" s="25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21" t="s">
        <v>1523</v>
      </c>
      <c r="B947" s="22" t="s">
        <v>1524</v>
      </c>
      <c r="C947" s="28">
        <v>9702765.0</v>
      </c>
      <c r="D947" s="25"/>
      <c r="E947" s="25"/>
      <c r="F947" s="25"/>
      <c r="G947" s="25"/>
      <c r="H947" s="25"/>
      <c r="I947" s="25"/>
      <c r="J947" s="25"/>
      <c r="K947" s="25"/>
      <c r="L947" s="25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21" t="s">
        <v>1525</v>
      </c>
      <c r="B948" s="22" t="s">
        <v>1526</v>
      </c>
      <c r="C948" s="28">
        <v>9635115.0</v>
      </c>
      <c r="D948" s="25"/>
      <c r="E948" s="25"/>
      <c r="F948" s="25"/>
      <c r="G948" s="25"/>
      <c r="H948" s="25"/>
      <c r="I948" s="25"/>
      <c r="J948" s="25"/>
      <c r="K948" s="25"/>
      <c r="L948" s="25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21" t="s">
        <v>1527</v>
      </c>
      <c r="B949" s="22" t="s">
        <v>1528</v>
      </c>
      <c r="C949" s="28">
        <v>9566093.0</v>
      </c>
      <c r="D949" s="25"/>
      <c r="E949" s="25"/>
      <c r="F949" s="25"/>
      <c r="G949" s="25"/>
      <c r="H949" s="25"/>
      <c r="I949" s="25"/>
      <c r="J949" s="25"/>
      <c r="K949" s="25"/>
      <c r="L949" s="25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21" t="s">
        <v>1529</v>
      </c>
      <c r="B950" s="22" t="s">
        <v>1530</v>
      </c>
      <c r="C950" s="28">
        <v>9497099.0</v>
      </c>
      <c r="D950" s="25"/>
      <c r="E950" s="25"/>
      <c r="F950" s="25"/>
      <c r="G950" s="25"/>
      <c r="H950" s="25"/>
      <c r="I950" s="25"/>
      <c r="J950" s="25"/>
      <c r="K950" s="25"/>
      <c r="L950" s="25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21" t="s">
        <v>1531</v>
      </c>
      <c r="B951" s="22" t="s">
        <v>1532</v>
      </c>
      <c r="C951" s="28">
        <v>9427655.0</v>
      </c>
      <c r="D951" s="25"/>
      <c r="E951" s="25"/>
      <c r="F951" s="25"/>
      <c r="G951" s="25"/>
      <c r="H951" s="25"/>
      <c r="I951" s="25"/>
      <c r="J951" s="25"/>
      <c r="K951" s="25"/>
      <c r="L951" s="25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21" t="s">
        <v>1533</v>
      </c>
      <c r="B952" s="22" t="s">
        <v>1534</v>
      </c>
      <c r="C952" s="28">
        <v>9357307.0</v>
      </c>
      <c r="D952" s="25"/>
      <c r="E952" s="25"/>
      <c r="F952" s="25"/>
      <c r="G952" s="25"/>
      <c r="H952" s="25"/>
      <c r="I952" s="25"/>
      <c r="J952" s="25"/>
      <c r="K952" s="25"/>
      <c r="L952" s="25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21" t="s">
        <v>1535</v>
      </c>
      <c r="B953" s="22" t="s">
        <v>1536</v>
      </c>
      <c r="C953" s="28">
        <v>9285990.0</v>
      </c>
      <c r="D953" s="25"/>
      <c r="E953" s="25"/>
      <c r="F953" s="25"/>
      <c r="G953" s="25"/>
      <c r="H953" s="25"/>
      <c r="I953" s="25"/>
      <c r="J953" s="25"/>
      <c r="K953" s="25"/>
      <c r="L953" s="25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21" t="s">
        <v>1537</v>
      </c>
      <c r="B954" s="22" t="s">
        <v>1538</v>
      </c>
      <c r="C954" s="28">
        <v>9213896.0</v>
      </c>
      <c r="D954" s="25"/>
      <c r="E954" s="25"/>
      <c r="F954" s="25"/>
      <c r="G954" s="25"/>
      <c r="H954" s="25"/>
      <c r="I954" s="25"/>
      <c r="J954" s="25"/>
      <c r="K954" s="25"/>
      <c r="L954" s="25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21" t="s">
        <v>1539</v>
      </c>
      <c r="B955" s="22" t="s">
        <v>1540</v>
      </c>
      <c r="C955" s="28">
        <v>9140772.0</v>
      </c>
      <c r="D955" s="25"/>
      <c r="E955" s="25"/>
      <c r="F955" s="25"/>
      <c r="G955" s="25"/>
      <c r="H955" s="25"/>
      <c r="I955" s="25"/>
      <c r="J955" s="25"/>
      <c r="K955" s="25"/>
      <c r="L955" s="25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21" t="s">
        <v>1541</v>
      </c>
      <c r="B956" s="22" t="s">
        <v>1542</v>
      </c>
      <c r="C956" s="28">
        <v>9066784.0</v>
      </c>
      <c r="D956" s="25"/>
      <c r="E956" s="25"/>
      <c r="F956" s="25"/>
      <c r="G956" s="25"/>
      <c r="H956" s="25"/>
      <c r="I956" s="25"/>
      <c r="J956" s="25"/>
      <c r="K956" s="25"/>
      <c r="L956" s="25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21" t="s">
        <v>1543</v>
      </c>
      <c r="B957" s="22" t="s">
        <v>1544</v>
      </c>
      <c r="C957" s="28">
        <v>8992060.0</v>
      </c>
      <c r="D957" s="25"/>
      <c r="E957" s="25"/>
      <c r="F957" s="25"/>
      <c r="G957" s="25"/>
      <c r="H957" s="25"/>
      <c r="I957" s="25"/>
      <c r="J957" s="25"/>
      <c r="K957" s="25"/>
      <c r="L957" s="25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21" t="s">
        <v>1545</v>
      </c>
      <c r="B958" s="22" t="s">
        <v>1546</v>
      </c>
      <c r="C958" s="28">
        <v>8916727.0</v>
      </c>
      <c r="D958" s="25"/>
      <c r="E958" s="25"/>
      <c r="F958" s="25"/>
      <c r="G958" s="25"/>
      <c r="H958" s="25"/>
      <c r="I958" s="25"/>
      <c r="J958" s="25"/>
      <c r="K958" s="25"/>
      <c r="L958" s="25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21" t="s">
        <v>1547</v>
      </c>
      <c r="B959" s="22" t="s">
        <v>1548</v>
      </c>
      <c r="C959" s="28">
        <v>8840886.0</v>
      </c>
      <c r="D959" s="25"/>
      <c r="E959" s="25"/>
      <c r="F959" s="25"/>
      <c r="G959" s="25"/>
      <c r="H959" s="25"/>
      <c r="I959" s="25"/>
      <c r="J959" s="25"/>
      <c r="K959" s="25"/>
      <c r="L959" s="25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21" t="s">
        <v>1549</v>
      </c>
      <c r="B960" s="22" t="s">
        <v>1550</v>
      </c>
      <c r="C960" s="28">
        <v>8764620.0</v>
      </c>
      <c r="D960" s="25"/>
      <c r="E960" s="25"/>
      <c r="F960" s="25"/>
      <c r="G960" s="25"/>
      <c r="H960" s="25"/>
      <c r="I960" s="25"/>
      <c r="J960" s="25"/>
      <c r="K960" s="25"/>
      <c r="L960" s="25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21" t="s">
        <v>1551</v>
      </c>
      <c r="B961" s="22" t="s">
        <v>1552</v>
      </c>
      <c r="C961" s="28">
        <v>8687951.0</v>
      </c>
      <c r="D961" s="25"/>
      <c r="E961" s="25"/>
      <c r="F961" s="25"/>
      <c r="G961" s="25"/>
      <c r="H961" s="25"/>
      <c r="I961" s="25"/>
      <c r="J961" s="25"/>
      <c r="K961" s="25"/>
      <c r="L961" s="25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21" t="s">
        <v>1553</v>
      </c>
      <c r="B962" s="22" t="s">
        <v>1554</v>
      </c>
      <c r="C962" s="28">
        <v>8612455.0</v>
      </c>
      <c r="D962" s="25"/>
      <c r="E962" s="25"/>
      <c r="F962" s="25"/>
      <c r="G962" s="25"/>
      <c r="H962" s="25"/>
      <c r="I962" s="25"/>
      <c r="J962" s="25"/>
      <c r="K962" s="25"/>
      <c r="L962" s="25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21" t="s">
        <v>1555</v>
      </c>
      <c r="B963" s="22" t="s">
        <v>1556</v>
      </c>
      <c r="C963" s="28">
        <v>8537361.0</v>
      </c>
      <c r="D963" s="25"/>
      <c r="E963" s="25"/>
      <c r="F963" s="25"/>
      <c r="G963" s="25"/>
      <c r="H963" s="25"/>
      <c r="I963" s="25"/>
      <c r="J963" s="25"/>
      <c r="K963" s="25"/>
      <c r="L963" s="25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21" t="s">
        <v>1557</v>
      </c>
      <c r="B964" s="22" t="s">
        <v>1558</v>
      </c>
      <c r="C964" s="28">
        <v>8461965.0</v>
      </c>
      <c r="D964" s="25"/>
      <c r="E964" s="25"/>
      <c r="F964" s="25"/>
      <c r="G964" s="25"/>
      <c r="H964" s="25"/>
      <c r="I964" s="25"/>
      <c r="J964" s="25"/>
      <c r="K964" s="25"/>
      <c r="L964" s="25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21" t="s">
        <v>1559</v>
      </c>
      <c r="B965" s="22" t="s">
        <v>1560</v>
      </c>
      <c r="C965" s="28">
        <v>8386072.0</v>
      </c>
      <c r="D965" s="25"/>
      <c r="E965" s="25"/>
      <c r="F965" s="25"/>
      <c r="G965" s="25"/>
      <c r="H965" s="25"/>
      <c r="I965" s="25"/>
      <c r="J965" s="25"/>
      <c r="K965" s="25"/>
      <c r="L965" s="25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21" t="s">
        <v>1561</v>
      </c>
      <c r="B966" s="22" t="s">
        <v>1562</v>
      </c>
      <c r="C966" s="28">
        <v>8309809.0</v>
      </c>
      <c r="D966" s="25"/>
      <c r="E966" s="25"/>
      <c r="F966" s="25"/>
      <c r="G966" s="25"/>
      <c r="H966" s="25"/>
      <c r="I966" s="25"/>
      <c r="J966" s="25"/>
      <c r="K966" s="25"/>
      <c r="L966" s="25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21" t="s">
        <v>1563</v>
      </c>
      <c r="B967" s="22" t="s">
        <v>1564</v>
      </c>
      <c r="C967" s="28">
        <v>8232866.0</v>
      </c>
      <c r="D967" s="25"/>
      <c r="E967" s="25"/>
      <c r="F967" s="25"/>
      <c r="G967" s="25"/>
      <c r="H967" s="25"/>
      <c r="I967" s="25"/>
      <c r="J967" s="25"/>
      <c r="K967" s="25"/>
      <c r="L967" s="25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21" t="s">
        <v>1565</v>
      </c>
      <c r="B968" s="22" t="s">
        <v>1566</v>
      </c>
      <c r="C968" s="28">
        <v>8155412.0</v>
      </c>
      <c r="D968" s="25"/>
      <c r="E968" s="25"/>
      <c r="F968" s="25"/>
      <c r="G968" s="25"/>
      <c r="H968" s="25"/>
      <c r="I968" s="25"/>
      <c r="J968" s="25"/>
      <c r="K968" s="25"/>
      <c r="L968" s="25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21" t="s">
        <v>1567</v>
      </c>
      <c r="B969" s="22" t="s">
        <v>1568</v>
      </c>
      <c r="C969" s="28">
        <v>8077663.0</v>
      </c>
      <c r="D969" s="25"/>
      <c r="E969" s="25"/>
      <c r="F969" s="25"/>
      <c r="G969" s="25"/>
      <c r="H969" s="25"/>
      <c r="I969" s="25"/>
      <c r="J969" s="25"/>
      <c r="K969" s="25"/>
      <c r="L969" s="25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21" t="s">
        <v>1569</v>
      </c>
      <c r="B970" s="22" t="s">
        <v>1570</v>
      </c>
      <c r="C970" s="28">
        <v>7999828.0</v>
      </c>
      <c r="D970" s="25"/>
      <c r="E970" s="25"/>
      <c r="F970" s="25"/>
      <c r="G970" s="25"/>
      <c r="H970" s="25"/>
      <c r="I970" s="25"/>
      <c r="J970" s="25"/>
      <c r="K970" s="25"/>
      <c r="L970" s="25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21" t="s">
        <v>1571</v>
      </c>
      <c r="B971" s="22" t="s">
        <v>1572</v>
      </c>
      <c r="C971" s="28">
        <v>7922146.0</v>
      </c>
      <c r="D971" s="25"/>
      <c r="E971" s="25"/>
      <c r="F971" s="25"/>
      <c r="G971" s="25"/>
      <c r="H971" s="25"/>
      <c r="I971" s="25"/>
      <c r="J971" s="25"/>
      <c r="K971" s="25"/>
      <c r="L971" s="25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21" t="s">
        <v>1573</v>
      </c>
      <c r="B972" s="22" t="s">
        <v>1574</v>
      </c>
      <c r="C972" s="28">
        <v>7844845.0</v>
      </c>
      <c r="D972" s="25"/>
      <c r="E972" s="25"/>
      <c r="F972" s="25"/>
      <c r="G972" s="25"/>
      <c r="H972" s="25"/>
      <c r="I972" s="25"/>
      <c r="J972" s="25"/>
      <c r="K972" s="25"/>
      <c r="L972" s="25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21" t="s">
        <v>1575</v>
      </c>
      <c r="B973" s="22" t="s">
        <v>1576</v>
      </c>
      <c r="C973" s="28">
        <v>7768159.0</v>
      </c>
      <c r="D973" s="25"/>
      <c r="E973" s="25"/>
      <c r="F973" s="25"/>
      <c r="G973" s="25"/>
      <c r="H973" s="25"/>
      <c r="I973" s="25"/>
      <c r="J973" s="25"/>
      <c r="K973" s="25"/>
      <c r="L973" s="25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21" t="s">
        <v>1577</v>
      </c>
      <c r="B974" s="22" t="s">
        <v>1578</v>
      </c>
      <c r="C974" s="28">
        <v>7694086.0</v>
      </c>
      <c r="D974" s="25"/>
      <c r="E974" s="25"/>
      <c r="F974" s="25"/>
      <c r="G974" s="25"/>
      <c r="H974" s="25"/>
      <c r="I974" s="25"/>
      <c r="J974" s="25"/>
      <c r="K974" s="25"/>
      <c r="L974" s="25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21" t="s">
        <v>1579</v>
      </c>
      <c r="B975" s="22" t="s">
        <v>1580</v>
      </c>
      <c r="C975" s="28">
        <v>7621872.0</v>
      </c>
      <c r="D975" s="25"/>
      <c r="E975" s="25"/>
      <c r="F975" s="25"/>
      <c r="G975" s="25"/>
      <c r="H975" s="25"/>
      <c r="I975" s="25"/>
      <c r="J975" s="25"/>
      <c r="K975" s="25"/>
      <c r="L975" s="25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21" t="s">
        <v>1581</v>
      </c>
      <c r="B976" s="22" t="s">
        <v>1582</v>
      </c>
      <c r="C976" s="28">
        <v>7550842.0</v>
      </c>
      <c r="D976" s="25"/>
      <c r="E976" s="25"/>
      <c r="F976" s="25"/>
      <c r="G976" s="25"/>
      <c r="H976" s="25"/>
      <c r="I976" s="25"/>
      <c r="J976" s="25"/>
      <c r="K976" s="25"/>
      <c r="L976" s="25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21" t="s">
        <v>1583</v>
      </c>
      <c r="B977" s="22" t="s">
        <v>1584</v>
      </c>
      <c r="C977" s="28">
        <v>7480838.0</v>
      </c>
      <c r="D977" s="25"/>
      <c r="E977" s="25"/>
      <c r="F977" s="25"/>
      <c r="G977" s="25"/>
      <c r="H977" s="25"/>
      <c r="I977" s="25"/>
      <c r="J977" s="25"/>
      <c r="K977" s="25"/>
      <c r="L977" s="25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21" t="s">
        <v>1585</v>
      </c>
      <c r="B978" s="22" t="s">
        <v>1586</v>
      </c>
      <c r="C978" s="28">
        <v>7412030.0</v>
      </c>
      <c r="D978" s="25"/>
      <c r="E978" s="25"/>
      <c r="F978" s="25"/>
      <c r="G978" s="25"/>
      <c r="H978" s="25"/>
      <c r="I978" s="25"/>
      <c r="J978" s="25"/>
      <c r="K978" s="25"/>
      <c r="L978" s="25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21" t="s">
        <v>1587</v>
      </c>
      <c r="B979" s="22" t="s">
        <v>1588</v>
      </c>
      <c r="C979" s="28">
        <v>7344013.0</v>
      </c>
      <c r="D979" s="25"/>
      <c r="E979" s="25"/>
      <c r="F979" s="25"/>
      <c r="G979" s="25"/>
      <c r="H979" s="25"/>
      <c r="I979" s="25"/>
      <c r="J979" s="25"/>
      <c r="K979" s="25"/>
      <c r="L979" s="25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21" t="s">
        <v>1589</v>
      </c>
      <c r="B980" s="22" t="s">
        <v>1590</v>
      </c>
      <c r="C980" s="28">
        <v>7276888.0</v>
      </c>
      <c r="D980" s="25"/>
      <c r="E980" s="25"/>
      <c r="F980" s="25"/>
      <c r="G980" s="25"/>
      <c r="H980" s="25"/>
      <c r="I980" s="25"/>
      <c r="J980" s="25"/>
      <c r="K980" s="25"/>
      <c r="L980" s="25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21" t="s">
        <v>1591</v>
      </c>
      <c r="B981" s="22" t="s">
        <v>1592</v>
      </c>
      <c r="C981" s="28">
        <v>7210698.0</v>
      </c>
      <c r="D981" s="25"/>
      <c r="E981" s="25"/>
      <c r="F981" s="25"/>
      <c r="G981" s="25"/>
      <c r="H981" s="25"/>
      <c r="I981" s="25"/>
      <c r="J981" s="25"/>
      <c r="K981" s="25"/>
      <c r="L981" s="25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21" t="s">
        <v>1593</v>
      </c>
      <c r="B982" s="22" t="s">
        <v>1594</v>
      </c>
      <c r="C982" s="28">
        <v>7145424.0</v>
      </c>
      <c r="D982" s="25"/>
      <c r="E982" s="25"/>
      <c r="F982" s="25"/>
      <c r="G982" s="25"/>
      <c r="H982" s="25"/>
      <c r="I982" s="25"/>
      <c r="J982" s="25"/>
      <c r="K982" s="25"/>
      <c r="L982" s="25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21" t="s">
        <v>1595</v>
      </c>
      <c r="B983" s="22" t="s">
        <v>1596</v>
      </c>
      <c r="C983" s="28">
        <v>7081043.0</v>
      </c>
      <c r="D983" s="25"/>
      <c r="E983" s="25"/>
      <c r="F983" s="25"/>
      <c r="G983" s="25"/>
      <c r="H983" s="25"/>
      <c r="I983" s="25"/>
      <c r="J983" s="25"/>
      <c r="K983" s="25"/>
      <c r="L983" s="25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21" t="s">
        <v>1597</v>
      </c>
      <c r="B984" s="22" t="s">
        <v>1598</v>
      </c>
      <c r="C984" s="28">
        <v>7017507.0</v>
      </c>
      <c r="D984" s="25"/>
      <c r="E984" s="25"/>
      <c r="F984" s="25"/>
      <c r="G984" s="25"/>
      <c r="H984" s="25"/>
      <c r="I984" s="25"/>
      <c r="J984" s="25"/>
      <c r="K984" s="25"/>
      <c r="L984" s="25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21" t="s">
        <v>1599</v>
      </c>
      <c r="B985" s="22" t="s">
        <v>1600</v>
      </c>
      <c r="C985" s="28">
        <v>6954746.0</v>
      </c>
      <c r="D985" s="25"/>
      <c r="E985" s="25"/>
      <c r="F985" s="25"/>
      <c r="G985" s="25"/>
      <c r="H985" s="25"/>
      <c r="I985" s="25"/>
      <c r="J985" s="25"/>
      <c r="K985" s="25"/>
      <c r="L985" s="25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21" t="s">
        <v>1601</v>
      </c>
      <c r="B986" s="22" t="s">
        <v>1602</v>
      </c>
      <c r="C986" s="28">
        <v>6894274.0</v>
      </c>
      <c r="D986" s="25"/>
      <c r="E986" s="25"/>
      <c r="F986" s="25"/>
      <c r="G986" s="25"/>
      <c r="H986" s="25"/>
      <c r="I986" s="25"/>
      <c r="J986" s="25"/>
      <c r="K986" s="25"/>
      <c r="L986" s="25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21" t="s">
        <v>1603</v>
      </c>
      <c r="B987" s="22" t="s">
        <v>1604</v>
      </c>
      <c r="C987" s="28">
        <v>6835184.0</v>
      </c>
      <c r="D987" s="25"/>
      <c r="E987" s="25"/>
      <c r="F987" s="25"/>
      <c r="G987" s="25"/>
      <c r="H987" s="25"/>
      <c r="I987" s="25"/>
      <c r="J987" s="25"/>
      <c r="K987" s="25"/>
      <c r="L987" s="25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21" t="s">
        <v>1605</v>
      </c>
      <c r="B988" s="22" t="s">
        <v>1606</v>
      </c>
      <c r="C988" s="28">
        <v>6776676.0</v>
      </c>
      <c r="D988" s="25"/>
      <c r="E988" s="25"/>
      <c r="F988" s="25"/>
      <c r="G988" s="25"/>
      <c r="H988" s="25"/>
      <c r="I988" s="25"/>
      <c r="J988" s="25"/>
      <c r="K988" s="25"/>
      <c r="L988" s="25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21" t="s">
        <v>1607</v>
      </c>
      <c r="B989" s="22" t="s">
        <v>1608</v>
      </c>
      <c r="C989" s="28">
        <v>6718470.0</v>
      </c>
      <c r="D989" s="25"/>
      <c r="E989" s="25"/>
      <c r="F989" s="25"/>
      <c r="G989" s="25"/>
      <c r="H989" s="25"/>
      <c r="I989" s="25"/>
      <c r="J989" s="25"/>
      <c r="K989" s="25"/>
      <c r="L989" s="25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21" t="s">
        <v>1609</v>
      </c>
      <c r="B990" s="22" t="s">
        <v>1610</v>
      </c>
      <c r="C990" s="28">
        <v>6660610.0</v>
      </c>
      <c r="D990" s="25"/>
      <c r="E990" s="25"/>
      <c r="F990" s="25"/>
      <c r="G990" s="25"/>
      <c r="H990" s="25"/>
      <c r="I990" s="25"/>
      <c r="J990" s="25"/>
      <c r="K990" s="25"/>
      <c r="L990" s="25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21" t="s">
        <v>1611</v>
      </c>
      <c r="B991" s="22" t="s">
        <v>1612</v>
      </c>
      <c r="C991" s="28">
        <v>6602697.0</v>
      </c>
      <c r="D991" s="25"/>
      <c r="E991" s="25"/>
      <c r="F991" s="25"/>
      <c r="G991" s="25"/>
      <c r="H991" s="25"/>
      <c r="I991" s="25"/>
      <c r="J991" s="25"/>
      <c r="K991" s="25"/>
      <c r="L991" s="25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21" t="s">
        <v>1613</v>
      </c>
      <c r="B992" s="22" t="s">
        <v>1614</v>
      </c>
      <c r="C992" s="28">
        <v>6544801.0</v>
      </c>
      <c r="D992" s="25"/>
      <c r="E992" s="25"/>
      <c r="F992" s="25"/>
      <c r="G992" s="25"/>
      <c r="H992" s="25"/>
      <c r="I992" s="25"/>
      <c r="J992" s="25"/>
      <c r="K992" s="25"/>
      <c r="L992" s="25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21" t="s">
        <v>1615</v>
      </c>
      <c r="B993" s="22" t="s">
        <v>1616</v>
      </c>
      <c r="C993" s="28">
        <v>6487002.0</v>
      </c>
      <c r="D993" s="25"/>
      <c r="E993" s="25"/>
      <c r="F993" s="25"/>
      <c r="G993" s="25"/>
      <c r="H993" s="25"/>
      <c r="I993" s="25"/>
      <c r="J993" s="25"/>
      <c r="K993" s="25"/>
      <c r="L993" s="25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21" t="s">
        <v>1617</v>
      </c>
      <c r="B994" s="22" t="s">
        <v>1618</v>
      </c>
      <c r="C994" s="28">
        <v>6429371.0</v>
      </c>
      <c r="D994" s="25"/>
      <c r="E994" s="25"/>
      <c r="F994" s="25"/>
      <c r="G994" s="25"/>
      <c r="H994" s="25"/>
      <c r="I994" s="25"/>
      <c r="J994" s="25"/>
      <c r="K994" s="25"/>
      <c r="L994" s="25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21" t="s">
        <v>1619</v>
      </c>
      <c r="B995" s="22" t="s">
        <v>1620</v>
      </c>
      <c r="C995" s="28">
        <v>6371968.0</v>
      </c>
      <c r="D995" s="25"/>
      <c r="E995" s="25"/>
      <c r="F995" s="25"/>
      <c r="G995" s="25"/>
      <c r="H995" s="25"/>
      <c r="I995" s="25"/>
      <c r="J995" s="25"/>
      <c r="K995" s="25"/>
      <c r="L995" s="25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21" t="s">
        <v>1621</v>
      </c>
      <c r="B996" s="22" t="s">
        <v>1622</v>
      </c>
      <c r="C996" s="28">
        <v>6314863.0</v>
      </c>
      <c r="D996" s="25"/>
      <c r="E996" s="25"/>
      <c r="F996" s="25"/>
      <c r="G996" s="25"/>
      <c r="H996" s="25"/>
      <c r="I996" s="25"/>
      <c r="J996" s="25"/>
      <c r="K996" s="25"/>
      <c r="L996" s="25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21" t="s">
        <v>1623</v>
      </c>
      <c r="B997" s="22" t="s">
        <v>1624</v>
      </c>
      <c r="C997" s="28">
        <v>6258134.0</v>
      </c>
      <c r="D997" s="25"/>
      <c r="E997" s="25"/>
      <c r="F997" s="25"/>
      <c r="G997" s="25"/>
      <c r="H997" s="25"/>
      <c r="I997" s="25"/>
      <c r="J997" s="25"/>
      <c r="K997" s="25"/>
      <c r="L997" s="25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21" t="s">
        <v>1625</v>
      </c>
      <c r="B998" s="22" t="s">
        <v>1626</v>
      </c>
      <c r="C998" s="28">
        <v>6203424.0</v>
      </c>
      <c r="D998" s="25"/>
      <c r="E998" s="25"/>
      <c r="F998" s="25"/>
      <c r="G998" s="25"/>
      <c r="H998" s="25"/>
      <c r="I998" s="25"/>
      <c r="J998" s="25"/>
      <c r="K998" s="25"/>
      <c r="L998" s="25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21" t="s">
        <v>1627</v>
      </c>
      <c r="B999" s="22" t="s">
        <v>1628</v>
      </c>
      <c r="C999" s="28">
        <v>6149997.0</v>
      </c>
      <c r="D999" s="25"/>
      <c r="E999" s="25"/>
      <c r="F999" s="25"/>
      <c r="G999" s="25"/>
      <c r="H999" s="25"/>
      <c r="I999" s="25"/>
      <c r="J999" s="25"/>
      <c r="K999" s="25"/>
      <c r="L999" s="25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21" t="s">
        <v>1629</v>
      </c>
      <c r="B1000" s="22" t="s">
        <v>1630</v>
      </c>
      <c r="C1000" s="28">
        <v>6097180.0</v>
      </c>
      <c r="D1000" s="25"/>
      <c r="E1000" s="25"/>
      <c r="F1000" s="25"/>
      <c r="G1000" s="25"/>
      <c r="H1000" s="25"/>
      <c r="I1000" s="25"/>
      <c r="J1000" s="25"/>
      <c r="K1000" s="25"/>
      <c r="L1000" s="25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9.5" customHeight="1">
      <c r="A1001" s="21" t="s">
        <v>1631</v>
      </c>
      <c r="B1001" s="22" t="s">
        <v>1632</v>
      </c>
      <c r="C1001" s="28">
        <v>6044812.0</v>
      </c>
      <c r="D1001" s="25"/>
      <c r="E1001" s="25"/>
      <c r="F1001" s="25"/>
      <c r="G1001" s="25"/>
      <c r="H1001" s="25"/>
      <c r="I1001" s="25"/>
      <c r="J1001" s="25"/>
      <c r="K1001" s="25"/>
      <c r="L1001" s="25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9.5" customHeight="1">
      <c r="A1002" s="21" t="s">
        <v>1633</v>
      </c>
      <c r="B1002" s="22" t="s">
        <v>1634</v>
      </c>
      <c r="C1002" s="28">
        <v>5993015.0</v>
      </c>
      <c r="D1002" s="25"/>
      <c r="E1002" s="25"/>
      <c r="F1002" s="25"/>
      <c r="G1002" s="25"/>
      <c r="H1002" s="25"/>
      <c r="I1002" s="25"/>
      <c r="J1002" s="25"/>
      <c r="K1002" s="25"/>
      <c r="L1002" s="25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9.5" customHeight="1">
      <c r="A1003" s="21" t="s">
        <v>1635</v>
      </c>
      <c r="B1003" s="22" t="s">
        <v>1636</v>
      </c>
      <c r="C1003" s="28"/>
      <c r="D1003" s="25"/>
      <c r="E1003" s="25"/>
      <c r="F1003" s="25"/>
      <c r="G1003" s="25"/>
      <c r="H1003" s="25"/>
      <c r="I1003" s="25"/>
      <c r="J1003" s="25"/>
      <c r="K1003" s="25"/>
      <c r="L1003" s="25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9.5" customHeight="1">
      <c r="A1004" s="21" t="s">
        <v>1637</v>
      </c>
      <c r="B1004" s="22" t="s">
        <v>1638</v>
      </c>
      <c r="C1004" s="28"/>
      <c r="D1004" s="25"/>
      <c r="E1004" s="25"/>
      <c r="F1004" s="25"/>
      <c r="G1004" s="25"/>
      <c r="H1004" s="25"/>
      <c r="I1004" s="25"/>
      <c r="J1004" s="25"/>
      <c r="K1004" s="25"/>
      <c r="L1004" s="25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9.5" customHeight="1">
      <c r="A1005" s="21" t="s">
        <v>1639</v>
      </c>
      <c r="B1005" s="22" t="s">
        <v>1640</v>
      </c>
      <c r="C1005" s="28"/>
      <c r="D1005" s="25"/>
      <c r="E1005" s="25"/>
      <c r="F1005" s="25"/>
      <c r="G1005" s="25"/>
      <c r="H1005" s="25"/>
      <c r="I1005" s="25"/>
      <c r="J1005" s="25"/>
      <c r="K1005" s="25"/>
      <c r="L1005" s="25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9.5" customHeight="1">
      <c r="A1006" s="21" t="s">
        <v>1641</v>
      </c>
      <c r="B1006" s="22" t="s">
        <v>1642</v>
      </c>
      <c r="C1006" s="28"/>
      <c r="D1006" s="25"/>
      <c r="E1006" s="25"/>
      <c r="F1006" s="25"/>
      <c r="G1006" s="25"/>
      <c r="H1006" s="25"/>
      <c r="I1006" s="25"/>
      <c r="J1006" s="25"/>
      <c r="K1006" s="25"/>
      <c r="L1006" s="25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9.5" customHeight="1">
      <c r="A1007" s="21" t="s">
        <v>1643</v>
      </c>
      <c r="B1007" s="22" t="s">
        <v>1644</v>
      </c>
      <c r="C1007" s="28"/>
      <c r="D1007" s="25"/>
      <c r="E1007" s="25"/>
      <c r="F1007" s="25"/>
      <c r="G1007" s="25"/>
      <c r="H1007" s="25"/>
      <c r="I1007" s="25"/>
      <c r="J1007" s="25"/>
      <c r="K1007" s="25"/>
      <c r="L1007" s="25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9.5" customHeight="1">
      <c r="A1008" s="21" t="s">
        <v>1645</v>
      </c>
      <c r="B1008" s="22" t="s">
        <v>1646</v>
      </c>
      <c r="C1008" s="28"/>
      <c r="D1008" s="25"/>
      <c r="E1008" s="25"/>
      <c r="F1008" s="25"/>
      <c r="G1008" s="25"/>
      <c r="H1008" s="25"/>
      <c r="I1008" s="25"/>
      <c r="J1008" s="25"/>
      <c r="K1008" s="25"/>
      <c r="L1008" s="25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9.5" customHeight="1">
      <c r="A1009" s="21" t="s">
        <v>1647</v>
      </c>
      <c r="B1009" s="22" t="s">
        <v>1648</v>
      </c>
      <c r="C1009" s="28"/>
      <c r="D1009" s="25"/>
      <c r="E1009" s="25"/>
      <c r="F1009" s="25"/>
      <c r="G1009" s="25"/>
      <c r="H1009" s="25"/>
      <c r="I1009" s="25"/>
      <c r="J1009" s="25"/>
      <c r="K1009" s="25"/>
      <c r="L1009" s="25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9.5" customHeight="1">
      <c r="A1010" s="21" t="s">
        <v>1649</v>
      </c>
      <c r="B1010" s="22" t="s">
        <v>1650</v>
      </c>
      <c r="C1010" s="28"/>
      <c r="D1010" s="25"/>
      <c r="E1010" s="25"/>
      <c r="F1010" s="25"/>
      <c r="G1010" s="25"/>
      <c r="H1010" s="25"/>
      <c r="I1010" s="25"/>
      <c r="J1010" s="25"/>
      <c r="K1010" s="25"/>
      <c r="L1010" s="25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9.5" customHeight="1">
      <c r="A1011" s="21" t="s">
        <v>1651</v>
      </c>
      <c r="B1011" s="22" t="s">
        <v>1652</v>
      </c>
      <c r="C1011" s="28"/>
      <c r="D1011" s="25"/>
      <c r="E1011" s="25"/>
      <c r="F1011" s="25"/>
      <c r="G1011" s="25"/>
      <c r="H1011" s="25"/>
      <c r="I1011" s="25"/>
      <c r="J1011" s="25"/>
      <c r="K1011" s="25"/>
      <c r="L1011" s="25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9.5" customHeight="1">
      <c r="A1012" s="21" t="s">
        <v>1653</v>
      </c>
      <c r="B1012" s="22" t="s">
        <v>1654</v>
      </c>
      <c r="C1012" s="28"/>
      <c r="D1012" s="25"/>
      <c r="E1012" s="25"/>
      <c r="F1012" s="25"/>
      <c r="G1012" s="25"/>
      <c r="H1012" s="25"/>
      <c r="I1012" s="25"/>
      <c r="J1012" s="25"/>
      <c r="K1012" s="25"/>
      <c r="L1012" s="25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9.5" customHeight="1">
      <c r="A1013" s="21" t="s">
        <v>1655</v>
      </c>
      <c r="B1013" s="22" t="s">
        <v>1656</v>
      </c>
      <c r="C1013" s="28"/>
      <c r="D1013" s="25"/>
      <c r="E1013" s="25"/>
      <c r="F1013" s="25"/>
      <c r="G1013" s="25"/>
      <c r="H1013" s="25"/>
      <c r="I1013" s="25"/>
      <c r="J1013" s="25"/>
      <c r="K1013" s="25"/>
      <c r="L1013" s="25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9.5" customHeight="1">
      <c r="A1014" s="21" t="s">
        <v>1657</v>
      </c>
      <c r="B1014" s="22" t="s">
        <v>1658</v>
      </c>
      <c r="C1014" s="28"/>
      <c r="D1014" s="25"/>
      <c r="E1014" s="25"/>
      <c r="F1014" s="25"/>
      <c r="G1014" s="25"/>
      <c r="H1014" s="25"/>
      <c r="I1014" s="25"/>
      <c r="J1014" s="25"/>
      <c r="K1014" s="25"/>
      <c r="L1014" s="25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9.5" customHeight="1">
      <c r="A1015" s="21" t="s">
        <v>1659</v>
      </c>
      <c r="B1015" s="22" t="s">
        <v>1660</v>
      </c>
      <c r="C1015" s="28"/>
      <c r="D1015" s="25"/>
      <c r="E1015" s="25"/>
      <c r="F1015" s="25"/>
      <c r="G1015" s="25"/>
      <c r="H1015" s="25"/>
      <c r="I1015" s="25"/>
      <c r="J1015" s="25"/>
      <c r="K1015" s="25"/>
      <c r="L1015" s="25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9.5" customHeight="1">
      <c r="A1016" s="21" t="s">
        <v>1661</v>
      </c>
      <c r="B1016" s="22" t="s">
        <v>1662</v>
      </c>
      <c r="C1016" s="28"/>
      <c r="D1016" s="25"/>
      <c r="E1016" s="25"/>
      <c r="F1016" s="25"/>
      <c r="G1016" s="25"/>
      <c r="H1016" s="25"/>
      <c r="I1016" s="25"/>
      <c r="J1016" s="25"/>
      <c r="K1016" s="25"/>
      <c r="L1016" s="25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9.5" customHeight="1">
      <c r="A1017" s="21" t="s">
        <v>1663</v>
      </c>
      <c r="B1017" s="22" t="s">
        <v>1664</v>
      </c>
      <c r="C1017" s="28"/>
      <c r="D1017" s="25"/>
      <c r="E1017" s="25"/>
      <c r="F1017" s="25"/>
      <c r="G1017" s="25"/>
      <c r="H1017" s="25"/>
      <c r="I1017" s="25"/>
      <c r="J1017" s="25"/>
      <c r="K1017" s="25"/>
      <c r="L1017" s="25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9.5" customHeight="1">
      <c r="A1018" s="21" t="s">
        <v>1665</v>
      </c>
      <c r="B1018" s="22" t="s">
        <v>1666</v>
      </c>
      <c r="C1018" s="28"/>
      <c r="D1018" s="25"/>
      <c r="E1018" s="25"/>
      <c r="F1018" s="25"/>
      <c r="G1018" s="25"/>
      <c r="H1018" s="25"/>
      <c r="I1018" s="25"/>
      <c r="J1018" s="25"/>
      <c r="K1018" s="25"/>
      <c r="L1018" s="25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9.5" customHeight="1">
      <c r="A1019" s="21" t="s">
        <v>1667</v>
      </c>
      <c r="B1019" s="22" t="s">
        <v>1668</v>
      </c>
      <c r="C1019" s="28"/>
      <c r="D1019" s="25"/>
      <c r="E1019" s="25"/>
      <c r="F1019" s="25"/>
      <c r="G1019" s="25"/>
      <c r="H1019" s="25"/>
      <c r="I1019" s="25"/>
      <c r="J1019" s="25"/>
      <c r="K1019" s="25"/>
      <c r="L1019" s="25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9.5" customHeight="1">
      <c r="A1020" s="21" t="s">
        <v>1669</v>
      </c>
      <c r="B1020" s="22" t="s">
        <v>1670</v>
      </c>
      <c r="C1020" s="28"/>
      <c r="D1020" s="25"/>
      <c r="E1020" s="25"/>
      <c r="F1020" s="25"/>
      <c r="G1020" s="25"/>
      <c r="H1020" s="25"/>
      <c r="I1020" s="25"/>
      <c r="J1020" s="25"/>
      <c r="K1020" s="25"/>
      <c r="L1020" s="25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9.5" customHeight="1">
      <c r="A1021" s="21" t="s">
        <v>1671</v>
      </c>
      <c r="B1021" s="22" t="s">
        <v>1672</v>
      </c>
      <c r="C1021" s="28"/>
      <c r="D1021" s="25"/>
      <c r="E1021" s="25"/>
      <c r="F1021" s="25"/>
      <c r="G1021" s="25"/>
      <c r="H1021" s="25"/>
      <c r="I1021" s="25"/>
      <c r="J1021" s="25"/>
      <c r="K1021" s="25"/>
      <c r="L1021" s="25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9.5" customHeight="1">
      <c r="A1022" s="21" t="s">
        <v>1673</v>
      </c>
      <c r="B1022" s="22" t="s">
        <v>1674</v>
      </c>
      <c r="C1022" s="28"/>
      <c r="D1022" s="25"/>
      <c r="E1022" s="25"/>
      <c r="F1022" s="25"/>
      <c r="G1022" s="25"/>
      <c r="H1022" s="25"/>
      <c r="I1022" s="25"/>
      <c r="J1022" s="25"/>
      <c r="K1022" s="25"/>
      <c r="L1022" s="25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9.5" customHeight="1">
      <c r="A1023" s="21" t="s">
        <v>1675</v>
      </c>
      <c r="B1023" s="22" t="s">
        <v>1676</v>
      </c>
      <c r="C1023" s="28"/>
      <c r="D1023" s="25"/>
      <c r="E1023" s="25"/>
      <c r="F1023" s="25"/>
      <c r="G1023" s="25"/>
      <c r="H1023" s="25"/>
      <c r="I1023" s="25"/>
      <c r="J1023" s="25"/>
      <c r="K1023" s="25"/>
      <c r="L1023" s="25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9.5" customHeight="1">
      <c r="A1024" s="21" t="s">
        <v>1677</v>
      </c>
      <c r="B1024" s="22" t="s">
        <v>1678</v>
      </c>
      <c r="C1024" s="28"/>
      <c r="D1024" s="25"/>
      <c r="E1024" s="25"/>
      <c r="F1024" s="25"/>
      <c r="G1024" s="25"/>
      <c r="H1024" s="25"/>
      <c r="I1024" s="25"/>
      <c r="J1024" s="25"/>
      <c r="K1024" s="25"/>
      <c r="L1024" s="25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9.5" customHeight="1">
      <c r="A1025" s="11"/>
      <c r="B1025" s="12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44.25" customHeight="1">
      <c r="A1026" s="21" t="s">
        <v>1679</v>
      </c>
      <c r="B1026" s="22" t="s">
        <v>39</v>
      </c>
      <c r="C1026" s="26" t="str">
        <f t="array" ref="C1026">IF(C1027="","?",C1027)&amp;IF(C1028="","","; downloaded "&amp;C1028)&amp;IF(C1029="","","; "&amp;C1029)</f>
        <v>https://www.ine.pt/xportal/xmain?xpid=INE&amp;xpgid=ine_indicadores&amp;indOcorrCod=0014551&amp;selTab=tab0; downloaded 46128</v>
      </c>
      <c r="D1026" s="25"/>
      <c r="E1026" s="25"/>
      <c r="F1026" s="25"/>
      <c r="G1026" s="25"/>
      <c r="H1026" s="25"/>
      <c r="I1026" s="25"/>
      <c r="J1026" s="25"/>
      <c r="K1026" s="25"/>
      <c r="L1026" s="25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38.25" customHeight="1">
      <c r="A1027" s="11"/>
      <c r="B1027" s="22" t="s">
        <v>40</v>
      </c>
      <c r="C1027" s="23" t="s">
        <v>1680</v>
      </c>
      <c r="D1027" s="13"/>
      <c r="E1027" s="13"/>
      <c r="F1027" s="13"/>
      <c r="G1027" s="13"/>
      <c r="H1027" s="13"/>
      <c r="I1027" s="13"/>
      <c r="J1027" s="13"/>
      <c r="K1027" s="13"/>
      <c r="L1027" s="13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20.25" customHeight="1">
      <c r="A1028" s="11"/>
      <c r="B1028" s="22" t="s">
        <v>42</v>
      </c>
      <c r="C1028" s="27">
        <v>46128.0</v>
      </c>
      <c r="D1028" s="13"/>
      <c r="E1028" s="13"/>
      <c r="F1028" s="13"/>
      <c r="G1028" s="13"/>
      <c r="H1028" s="13"/>
      <c r="I1028" s="13"/>
      <c r="J1028" s="13"/>
      <c r="K1028" s="13"/>
      <c r="L1028" s="13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9.5" customHeight="1">
      <c r="A1029" s="11"/>
      <c r="B1029" s="22" t="s">
        <v>43</v>
      </c>
      <c r="C1029" s="23"/>
      <c r="D1029" s="13"/>
      <c r="E1029" s="13"/>
      <c r="F1029" s="13"/>
      <c r="G1029" s="13"/>
      <c r="H1029" s="13"/>
      <c r="I1029" s="13"/>
      <c r="J1029" s="13"/>
      <c r="K1029" s="13"/>
      <c r="L1029" s="13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9.5" customHeight="1">
      <c r="A1030" s="11"/>
      <c r="B1030" s="12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