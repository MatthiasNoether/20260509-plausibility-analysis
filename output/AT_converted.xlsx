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AT</t>
        </is>
      </c>
      <c r="D11" s="177" t="n"/>
      <c r="E11" s="177" t="n"/>
      <c r="F11" s="177" t="n"/>
      <c r="G11" s="177" t="n"/>
      <c r="H11" s="177" t="n"/>
      <c r="I11" s="177" t="n"/>
      <c r="J11" s="177" t="n"/>
      <c r="K11" s="177" t="n"/>
      <c r="L11" s="13" t="n"/>
    </row>
    <row r="12" ht="20.1" customHeight="1" s="206">
      <c r="A12" s="2" t="inlineStr">
        <is>
          <t>nn</t>
        </is>
      </c>
      <c r="B12" s="23" t="inlineStr">
        <is>
          <t>Name</t>
        </is>
      </c>
      <c r="C12" s="176" t="inlineStr">
        <is>
          <t>Oesterreich</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16:33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Hybrid AT-Methodik: Population nach AT-Mikrozensus Migrationshintergrund (i.w.S., 1. + 2. Generation), MH-Anteil 2025 = 28.2 % (2,553,600 von 9,043,700 in Privathaushalten). Vital + Wanderung nach Eurostat foreign-born (22,5 %). TFR nach Staatsangehoerigkeit Mutter (STAT). Methodische Inkonsistenz bewusst akzeptiert, analog DE.</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Eurostat 2024/2025 + Statistik Austria</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82.05</v>
      </c>
      <c r="D60" s="40" t="n">
        <v>84.3</v>
      </c>
      <c r="E60" s="40" t="n">
        <v>79.8</v>
      </c>
      <c r="F60" s="40" t="n">
        <v>84.3</v>
      </c>
      <c r="G60" s="40" t="n">
        <v>79.8</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Eurostat demo_mlexpec 2024 (Lebenserwartung x Alter x Sex)</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75706</v>
      </c>
      <c r="D9" s="56" t="n">
        <v>25915</v>
      </c>
      <c r="E9" s="56" t="n">
        <v>28009</v>
      </c>
      <c r="F9" s="56" t="n">
        <v>10804</v>
      </c>
      <c r="G9" s="56" t="n">
        <v>10978</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78171</v>
      </c>
      <c r="D10" s="56" t="n">
        <v>26754</v>
      </c>
      <c r="E10" s="56" t="n">
        <v>28927</v>
      </c>
      <c r="F10" s="56" t="n">
        <v>11153</v>
      </c>
      <c r="G10" s="56" t="n">
        <v>11337</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84336</v>
      </c>
      <c r="D11" s="56" t="n">
        <v>28913</v>
      </c>
      <c r="E11" s="56" t="n">
        <v>31157</v>
      </c>
      <c r="F11" s="56" t="n">
        <v>12054</v>
      </c>
      <c r="G11" s="56" t="n">
        <v>12212</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89501</v>
      </c>
      <c r="D12" s="56" t="n">
        <v>30795</v>
      </c>
      <c r="E12" s="56" t="n">
        <v>32953</v>
      </c>
      <c r="F12" s="56" t="n">
        <v>12838</v>
      </c>
      <c r="G12" s="56" t="n">
        <v>12915</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87866</v>
      </c>
      <c r="D13" s="56" t="n">
        <v>30175</v>
      </c>
      <c r="E13" s="56" t="n">
        <v>32410</v>
      </c>
      <c r="F13" s="56" t="n">
        <v>12579</v>
      </c>
      <c r="G13" s="56" t="n">
        <v>12702</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89179</v>
      </c>
      <c r="D14" s="56" t="n">
        <v>30724</v>
      </c>
      <c r="E14" s="56" t="n">
        <v>32794</v>
      </c>
      <c r="F14" s="56" t="n">
        <v>12808</v>
      </c>
      <c r="G14" s="56" t="n">
        <v>12853</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90739</v>
      </c>
      <c r="D15" s="56" t="n">
        <v>31243</v>
      </c>
      <c r="E15" s="56" t="n">
        <v>33386</v>
      </c>
      <c r="F15" s="56" t="n">
        <v>13025</v>
      </c>
      <c r="G15" s="56" t="n">
        <v>13085</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92532</v>
      </c>
      <c r="D16" s="56" t="n">
        <v>31602</v>
      </c>
      <c r="E16" s="56" t="n">
        <v>34308</v>
      </c>
      <c r="F16" s="56" t="n">
        <v>13175</v>
      </c>
      <c r="G16" s="56" t="n">
        <v>13447</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93159</v>
      </c>
      <c r="D17" s="56" t="n">
        <v>31962</v>
      </c>
      <c r="E17" s="56" t="n">
        <v>34393</v>
      </c>
      <c r="F17" s="56" t="n">
        <v>13324</v>
      </c>
      <c r="G17" s="56" t="n">
        <v>13480</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90508</v>
      </c>
      <c r="D18" s="56" t="n">
        <v>30951</v>
      </c>
      <c r="E18" s="56" t="n">
        <v>33517</v>
      </c>
      <c r="F18" s="56" t="n">
        <v>12903</v>
      </c>
      <c r="G18" s="56" t="n">
        <v>13137</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90270</v>
      </c>
      <c r="D19" s="56" t="n">
        <v>30866</v>
      </c>
      <c r="E19" s="56" t="n">
        <v>33433</v>
      </c>
      <c r="F19" s="56" t="n">
        <v>12868</v>
      </c>
      <c r="G19" s="56" t="n">
        <v>13103</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88009</v>
      </c>
      <c r="D20" s="56" t="n">
        <v>30104</v>
      </c>
      <c r="E20" s="56" t="n">
        <v>32584</v>
      </c>
      <c r="F20" s="56" t="n">
        <v>12550</v>
      </c>
      <c r="G20" s="56" t="n">
        <v>12771</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88790</v>
      </c>
      <c r="D21" s="56" t="n">
        <v>30283</v>
      </c>
      <c r="E21" s="56" t="n">
        <v>32963</v>
      </c>
      <c r="F21" s="56" t="n">
        <v>12624</v>
      </c>
      <c r="G21" s="56" t="n">
        <v>12920</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88001</v>
      </c>
      <c r="D22" s="56" t="n">
        <v>29960</v>
      </c>
      <c r="E22" s="56" t="n">
        <v>32725</v>
      </c>
      <c r="F22" s="56" t="n">
        <v>12490</v>
      </c>
      <c r="G22" s="56" t="n">
        <v>12826</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89097</v>
      </c>
      <c r="D23" s="56" t="n">
        <v>30533</v>
      </c>
      <c r="E23" s="56" t="n">
        <v>32929</v>
      </c>
      <c r="F23" s="56" t="n">
        <v>12729</v>
      </c>
      <c r="G23" s="56" t="n">
        <v>12906</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87259</v>
      </c>
      <c r="D24" s="56" t="n">
        <v>27487</v>
      </c>
      <c r="E24" s="56" t="n">
        <v>29238</v>
      </c>
      <c r="F24" s="56" t="n">
        <v>14983</v>
      </c>
      <c r="G24" s="56" t="n">
        <v>15551</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88999</v>
      </c>
      <c r="D25" s="56" t="n">
        <v>27688</v>
      </c>
      <c r="E25" s="56" t="n">
        <v>30171</v>
      </c>
      <c r="F25" s="56" t="n">
        <v>15092</v>
      </c>
      <c r="G25" s="56" t="n">
        <v>16048</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88383</v>
      </c>
      <c r="D26" s="56" t="n">
        <v>27650</v>
      </c>
      <c r="E26" s="56" t="n">
        <v>29807</v>
      </c>
      <c r="F26" s="56" t="n">
        <v>15072</v>
      </c>
      <c r="G26" s="56" t="n">
        <v>15854</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91551</v>
      </c>
      <c r="D27" s="56" t="n">
        <v>28674</v>
      </c>
      <c r="E27" s="56" t="n">
        <v>30842</v>
      </c>
      <c r="F27" s="56" t="n">
        <v>15630</v>
      </c>
      <c r="G27" s="56" t="n">
        <v>16405</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94204</v>
      </c>
      <c r="D28" s="56" t="n">
        <v>29523</v>
      </c>
      <c r="E28" s="56" t="n">
        <v>31718</v>
      </c>
      <c r="F28" s="56" t="n">
        <v>16093</v>
      </c>
      <c r="G28" s="56" t="n">
        <v>16870</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97136</v>
      </c>
      <c r="D29" s="56" t="n">
        <v>30317</v>
      </c>
      <c r="E29" s="56" t="n">
        <v>32831</v>
      </c>
      <c r="F29" s="56" t="n">
        <v>16525</v>
      </c>
      <c r="G29" s="56" t="n">
        <v>17463</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96938</v>
      </c>
      <c r="D30" s="56" t="n">
        <v>30411</v>
      </c>
      <c r="E30" s="56" t="n">
        <v>32607</v>
      </c>
      <c r="F30" s="56" t="n">
        <v>16577</v>
      </c>
      <c r="G30" s="56" t="n">
        <v>17343</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100492</v>
      </c>
      <c r="D31" s="56" t="n">
        <v>31596</v>
      </c>
      <c r="E31" s="56" t="n">
        <v>33732</v>
      </c>
      <c r="F31" s="56" t="n">
        <v>17222</v>
      </c>
      <c r="G31" s="56" t="n">
        <v>17942</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100196</v>
      </c>
      <c r="D32" s="56" t="n">
        <v>31530</v>
      </c>
      <c r="E32" s="56" t="n">
        <v>33606</v>
      </c>
      <c r="F32" s="56" t="n">
        <v>17186</v>
      </c>
      <c r="G32" s="56" t="n">
        <v>17874</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106218</v>
      </c>
      <c r="D33" s="56" t="n">
        <v>33238</v>
      </c>
      <c r="E33" s="56" t="n">
        <v>35814</v>
      </c>
      <c r="F33" s="56" t="n">
        <v>18117</v>
      </c>
      <c r="G33" s="56" t="n">
        <v>19049</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107463</v>
      </c>
      <c r="D34" s="56" t="n">
        <v>33620</v>
      </c>
      <c r="E34" s="56" t="n">
        <v>36241</v>
      </c>
      <c r="F34" s="56" t="n">
        <v>18326</v>
      </c>
      <c r="G34" s="56" t="n">
        <v>19276</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112230</v>
      </c>
      <c r="D35" s="56" t="n">
        <v>35013</v>
      </c>
      <c r="E35" s="56" t="n">
        <v>37948</v>
      </c>
      <c r="F35" s="56" t="n">
        <v>19085</v>
      </c>
      <c r="G35" s="56" t="n">
        <v>20184</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116585</v>
      </c>
      <c r="D36" s="56" t="n">
        <v>36637</v>
      </c>
      <c r="E36" s="56" t="n">
        <v>39153</v>
      </c>
      <c r="F36" s="56" t="n">
        <v>19970</v>
      </c>
      <c r="G36" s="56" t="n">
        <v>20825</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120748</v>
      </c>
      <c r="D37" s="56" t="n">
        <v>37894</v>
      </c>
      <c r="E37" s="56" t="n">
        <v>40603</v>
      </c>
      <c r="F37" s="56" t="n">
        <v>20655</v>
      </c>
      <c r="G37" s="56" t="n">
        <v>21596</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120633</v>
      </c>
      <c r="D38" s="56" t="n">
        <v>37934</v>
      </c>
      <c r="E38" s="56" t="n">
        <v>40487</v>
      </c>
      <c r="F38" s="56" t="n">
        <v>20678</v>
      </c>
      <c r="G38" s="56" t="n">
        <v>21534</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123825</v>
      </c>
      <c r="D39" s="56" t="n">
        <v>37264</v>
      </c>
      <c r="E39" s="56" t="n">
        <v>40136</v>
      </c>
      <c r="F39" s="56" t="n">
        <v>22737</v>
      </c>
      <c r="G39" s="56" t="n">
        <v>23688</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126183</v>
      </c>
      <c r="D40" s="56" t="n">
        <v>38095</v>
      </c>
      <c r="E40" s="56" t="n">
        <v>40778</v>
      </c>
      <c r="F40" s="56" t="n">
        <v>23244</v>
      </c>
      <c r="G40" s="56" t="n">
        <v>24066</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128093</v>
      </c>
      <c r="D41" s="56" t="n">
        <v>38586</v>
      </c>
      <c r="E41" s="56" t="n">
        <v>41481</v>
      </c>
      <c r="F41" s="56" t="n">
        <v>23545</v>
      </c>
      <c r="G41" s="56" t="n">
        <v>24481</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129769</v>
      </c>
      <c r="D42" s="56" t="n">
        <v>39284</v>
      </c>
      <c r="E42" s="56" t="n">
        <v>41829</v>
      </c>
      <c r="F42" s="56" t="n">
        <v>23970</v>
      </c>
      <c r="G42" s="56" t="n">
        <v>24686</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129177</v>
      </c>
      <c r="D43" s="56" t="n">
        <v>39147</v>
      </c>
      <c r="E43" s="56" t="n">
        <v>41595</v>
      </c>
      <c r="F43" s="56" t="n">
        <v>23886</v>
      </c>
      <c r="G43" s="56" t="n">
        <v>24549</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128288</v>
      </c>
      <c r="D44" s="56" t="n">
        <v>39216</v>
      </c>
      <c r="E44" s="56" t="n">
        <v>40966</v>
      </c>
      <c r="F44" s="56" t="n">
        <v>23929</v>
      </c>
      <c r="G44" s="56" t="n">
        <v>24177</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128467</v>
      </c>
      <c r="D45" s="56" t="n">
        <v>39037</v>
      </c>
      <c r="E45" s="56" t="n">
        <v>41259</v>
      </c>
      <c r="F45" s="56" t="n">
        <v>23820</v>
      </c>
      <c r="G45" s="56" t="n">
        <v>24351</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126059</v>
      </c>
      <c r="D46" s="56" t="n">
        <v>38612</v>
      </c>
      <c r="E46" s="56" t="n">
        <v>40176</v>
      </c>
      <c r="F46" s="56" t="n">
        <v>23560</v>
      </c>
      <c r="G46" s="56" t="n">
        <v>23711</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125999</v>
      </c>
      <c r="D47" s="56" t="n">
        <v>38696</v>
      </c>
      <c r="E47" s="56" t="n">
        <v>40053</v>
      </c>
      <c r="F47" s="56" t="n">
        <v>23612</v>
      </c>
      <c r="G47" s="56" t="n">
        <v>23638</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125662</v>
      </c>
      <c r="D48" s="56" t="n">
        <v>38446</v>
      </c>
      <c r="E48" s="56" t="n">
        <v>40094</v>
      </c>
      <c r="F48" s="56" t="n">
        <v>23459</v>
      </c>
      <c r="G48" s="56" t="n">
        <v>23663</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126157</v>
      </c>
      <c r="D49" s="56" t="n">
        <v>38953</v>
      </c>
      <c r="E49" s="56" t="n">
        <v>39892</v>
      </c>
      <c r="F49" s="56" t="n">
        <v>23768</v>
      </c>
      <c r="G49" s="56" t="n">
        <v>23544</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125497</v>
      </c>
      <c r="D50" s="56" t="n">
        <v>38784</v>
      </c>
      <c r="E50" s="56" t="n">
        <v>39648</v>
      </c>
      <c r="F50" s="56" t="n">
        <v>23665</v>
      </c>
      <c r="G50" s="56" t="n">
        <v>23400</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128278</v>
      </c>
      <c r="D51" s="56" t="n">
        <v>39888</v>
      </c>
      <c r="E51" s="56" t="n">
        <v>40279</v>
      </c>
      <c r="F51" s="56" t="n">
        <v>24339</v>
      </c>
      <c r="G51" s="56" t="n">
        <v>23772</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127395</v>
      </c>
      <c r="D52" s="56" t="n">
        <v>39619</v>
      </c>
      <c r="E52" s="56" t="n">
        <v>39996</v>
      </c>
      <c r="F52" s="56" t="n">
        <v>24175</v>
      </c>
      <c r="G52" s="56" t="n">
        <v>23605</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123874</v>
      </c>
      <c r="D53" s="56" t="n">
        <v>38140</v>
      </c>
      <c r="E53" s="56" t="n">
        <v>39279</v>
      </c>
      <c r="F53" s="56" t="n">
        <v>23273</v>
      </c>
      <c r="G53" s="56" t="n">
        <v>23182</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117244</v>
      </c>
      <c r="D54" s="56" t="n">
        <v>40521</v>
      </c>
      <c r="E54" s="56" t="n">
        <v>42504</v>
      </c>
      <c r="F54" s="56" t="n">
        <v>17869</v>
      </c>
      <c r="G54" s="56" t="n">
        <v>16350</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115066</v>
      </c>
      <c r="D55" s="56" t="n">
        <v>39928</v>
      </c>
      <c r="E55" s="56" t="n">
        <v>41549</v>
      </c>
      <c r="F55" s="56" t="n">
        <v>17607</v>
      </c>
      <c r="G55" s="56" t="n">
        <v>15982</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114086</v>
      </c>
      <c r="D56" s="56" t="n">
        <v>39783</v>
      </c>
      <c r="E56" s="56" t="n">
        <v>40992</v>
      </c>
      <c r="F56" s="56" t="n">
        <v>17543</v>
      </c>
      <c r="G56" s="56" t="n">
        <v>15768</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114545</v>
      </c>
      <c r="D57" s="56" t="n">
        <v>40021</v>
      </c>
      <c r="E57" s="56" t="n">
        <v>41075</v>
      </c>
      <c r="F57" s="56" t="n">
        <v>17649</v>
      </c>
      <c r="G57" s="56" t="n">
        <v>15800</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118612</v>
      </c>
      <c r="D58" s="56" t="n">
        <v>41572</v>
      </c>
      <c r="E58" s="56" t="n">
        <v>42399</v>
      </c>
      <c r="F58" s="56" t="n">
        <v>18332</v>
      </c>
      <c r="G58" s="56" t="n">
        <v>16309</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120673</v>
      </c>
      <c r="D59" s="56" t="n">
        <v>42595</v>
      </c>
      <c r="E59" s="56" t="n">
        <v>42823</v>
      </c>
      <c r="F59" s="56" t="n">
        <v>18783</v>
      </c>
      <c r="G59" s="56" t="n">
        <v>16472</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119958</v>
      </c>
      <c r="D60" s="56" t="n">
        <v>42552</v>
      </c>
      <c r="E60" s="56" t="n">
        <v>42350</v>
      </c>
      <c r="F60" s="56" t="n">
        <v>18765</v>
      </c>
      <c r="G60" s="56" t="n">
        <v>16291</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126341</v>
      </c>
      <c r="D61" s="56" t="n">
        <v>44602</v>
      </c>
      <c r="E61" s="56" t="n">
        <v>44827</v>
      </c>
      <c r="F61" s="56" t="n">
        <v>19669</v>
      </c>
      <c r="G61" s="56" t="n">
        <v>17243</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129999</v>
      </c>
      <c r="D62" s="56" t="n">
        <v>45781</v>
      </c>
      <c r="E62" s="56" t="n">
        <v>46242</v>
      </c>
      <c r="F62" s="56" t="n">
        <v>20189</v>
      </c>
      <c r="G62" s="56" t="n">
        <v>17787</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132780</v>
      </c>
      <c r="D63" s="56" t="n">
        <v>46656</v>
      </c>
      <c r="E63" s="56" t="n">
        <v>47339</v>
      </c>
      <c r="F63" s="56" t="n">
        <v>20575</v>
      </c>
      <c r="G63" s="56" t="n">
        <v>18210</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140176</v>
      </c>
      <c r="D64" s="56" t="n">
        <v>49191</v>
      </c>
      <c r="E64" s="56" t="n">
        <v>50043</v>
      </c>
      <c r="F64" s="56" t="n">
        <v>21693</v>
      </c>
      <c r="G64" s="56" t="n">
        <v>19249</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143186</v>
      </c>
      <c r="D65" s="56" t="n">
        <v>49905</v>
      </c>
      <c r="E65" s="56" t="n">
        <v>51474</v>
      </c>
      <c r="F65" s="56" t="n">
        <v>22007</v>
      </c>
      <c r="G65" s="56" t="n">
        <v>19800</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142248</v>
      </c>
      <c r="D66" s="56" t="n">
        <v>49464</v>
      </c>
      <c r="E66" s="56" t="n">
        <v>51256</v>
      </c>
      <c r="F66" s="56" t="n">
        <v>21812</v>
      </c>
      <c r="G66" s="56" t="n">
        <v>19716</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141618</v>
      </c>
      <c r="D67" s="56" t="n">
        <v>49357</v>
      </c>
      <c r="E67" s="56" t="n">
        <v>50911</v>
      </c>
      <c r="F67" s="56" t="n">
        <v>21766</v>
      </c>
      <c r="G67" s="56" t="n">
        <v>19584</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141605</v>
      </c>
      <c r="D68" s="56" t="n">
        <v>49320</v>
      </c>
      <c r="E68" s="56" t="n">
        <v>50941</v>
      </c>
      <c r="F68" s="56" t="n">
        <v>21749</v>
      </c>
      <c r="G68" s="56" t="n">
        <v>19595</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141818</v>
      </c>
      <c r="D69" s="56" t="n">
        <v>59754</v>
      </c>
      <c r="E69" s="56" t="n">
        <v>59225</v>
      </c>
      <c r="F69" s="56" t="n">
        <v>11778</v>
      </c>
      <c r="G69" s="56" t="n">
        <v>11061</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139560</v>
      </c>
      <c r="D70" s="56" t="n">
        <v>59119</v>
      </c>
      <c r="E70" s="56" t="n">
        <v>57963</v>
      </c>
      <c r="F70" s="56" t="n">
        <v>11652</v>
      </c>
      <c r="G70" s="56" t="n">
        <v>10826</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135482</v>
      </c>
      <c r="D71" s="56" t="n">
        <v>57164</v>
      </c>
      <c r="E71" s="56" t="n">
        <v>56499</v>
      </c>
      <c r="F71" s="56" t="n">
        <v>11267</v>
      </c>
      <c r="G71" s="56" t="n">
        <v>10552</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130612</v>
      </c>
      <c r="D72" s="56" t="n">
        <v>55343</v>
      </c>
      <c r="E72" s="56" t="n">
        <v>54232</v>
      </c>
      <c r="F72" s="56" t="n">
        <v>10908</v>
      </c>
      <c r="G72" s="56" t="n">
        <v>10129</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124305</v>
      </c>
      <c r="D73" s="56" t="n">
        <v>52952</v>
      </c>
      <c r="E73" s="56" t="n">
        <v>51329</v>
      </c>
      <c r="F73" s="56" t="n">
        <v>10437</v>
      </c>
      <c r="G73" s="56" t="n">
        <v>9587</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118634</v>
      </c>
      <c r="D74" s="56" t="n">
        <v>50851</v>
      </c>
      <c r="E74" s="56" t="n">
        <v>48670</v>
      </c>
      <c r="F74" s="56" t="n">
        <v>10023</v>
      </c>
      <c r="G74" s="56" t="n">
        <v>9090</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112097</v>
      </c>
      <c r="D75" s="56" t="n">
        <v>48611</v>
      </c>
      <c r="E75" s="56" t="n">
        <v>45421</v>
      </c>
      <c r="F75" s="56" t="n">
        <v>9582</v>
      </c>
      <c r="G75" s="56" t="n">
        <v>8483</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108597</v>
      </c>
      <c r="D76" s="56" t="n">
        <v>47252</v>
      </c>
      <c r="E76" s="56" t="n">
        <v>43842</v>
      </c>
      <c r="F76" s="56" t="n">
        <v>9314</v>
      </c>
      <c r="G76" s="56" t="n">
        <v>8189</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105151</v>
      </c>
      <c r="D77" s="56" t="n">
        <v>46427</v>
      </c>
      <c r="E77" s="56" t="n">
        <v>41771</v>
      </c>
      <c r="F77" s="56" t="n">
        <v>9151</v>
      </c>
      <c r="G77" s="56" t="n">
        <v>7802</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96932</v>
      </c>
      <c r="D78" s="56" t="n">
        <v>42823</v>
      </c>
      <c r="E78" s="56" t="n">
        <v>38482</v>
      </c>
      <c r="F78" s="56" t="n">
        <v>8440</v>
      </c>
      <c r="G78" s="56" t="n">
        <v>7187</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90369</v>
      </c>
      <c r="D79" s="56" t="n">
        <v>40338</v>
      </c>
      <c r="E79" s="56" t="n">
        <v>35458</v>
      </c>
      <c r="F79" s="56" t="n">
        <v>7951</v>
      </c>
      <c r="G79" s="56" t="n">
        <v>6622</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86210</v>
      </c>
      <c r="D80" s="56" t="n">
        <v>38759</v>
      </c>
      <c r="E80" s="56" t="n">
        <v>33546</v>
      </c>
      <c r="F80" s="56" t="n">
        <v>7639</v>
      </c>
      <c r="G80" s="56" t="n">
        <v>6266</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83629</v>
      </c>
      <c r="D81" s="56" t="n">
        <v>37633</v>
      </c>
      <c r="E81" s="56" t="n">
        <v>32507</v>
      </c>
      <c r="F81" s="56" t="n">
        <v>7418</v>
      </c>
      <c r="G81" s="56" t="n">
        <v>6071</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78485</v>
      </c>
      <c r="D82" s="56" t="n">
        <v>35658</v>
      </c>
      <c r="E82" s="56" t="n">
        <v>30165</v>
      </c>
      <c r="F82" s="56" t="n">
        <v>7028</v>
      </c>
      <c r="G82" s="56" t="n">
        <v>5634</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78588</v>
      </c>
      <c r="D83" s="56" t="n">
        <v>35886</v>
      </c>
      <c r="E83" s="56" t="n">
        <v>30022</v>
      </c>
      <c r="F83" s="56" t="n">
        <v>7073</v>
      </c>
      <c r="G83" s="56" t="n">
        <v>5607</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77794</v>
      </c>
      <c r="D84" s="56" t="n">
        <v>35708</v>
      </c>
      <c r="E84" s="56" t="n">
        <v>29532</v>
      </c>
      <c r="F84" s="56" t="n">
        <v>7038</v>
      </c>
      <c r="G84" s="56" t="n">
        <v>5516</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77773</v>
      </c>
      <c r="D85" s="56" t="n">
        <v>36216</v>
      </c>
      <c r="E85" s="56" t="n">
        <v>29002</v>
      </c>
      <c r="F85" s="56" t="n">
        <v>7138</v>
      </c>
      <c r="G85" s="56" t="n">
        <v>5417</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77009</v>
      </c>
      <c r="D86" s="56" t="n">
        <v>35963</v>
      </c>
      <c r="E86" s="56" t="n">
        <v>28614</v>
      </c>
      <c r="F86" s="56" t="n">
        <v>7088</v>
      </c>
      <c r="G86" s="56" t="n">
        <v>5344</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62684</v>
      </c>
      <c r="D87" s="56" t="n">
        <v>29324</v>
      </c>
      <c r="E87" s="56" t="n">
        <v>23240</v>
      </c>
      <c r="F87" s="56" t="n">
        <v>5780</v>
      </c>
      <c r="G87" s="56" t="n">
        <v>4340</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49626</v>
      </c>
      <c r="D88" s="56" t="n">
        <v>23806</v>
      </c>
      <c r="E88" s="56" t="n">
        <v>17803</v>
      </c>
      <c r="F88" s="56" t="n">
        <v>4692</v>
      </c>
      <c r="G88" s="56" t="n">
        <v>3325</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62048</v>
      </c>
      <c r="D89" s="56" t="n">
        <v>29893</v>
      </c>
      <c r="E89" s="56" t="n">
        <v>22130</v>
      </c>
      <c r="F89" s="56" t="n">
        <v>5892</v>
      </c>
      <c r="G89" s="56" t="n">
        <v>4133</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59162</v>
      </c>
      <c r="D90" s="56" t="n">
        <v>28698</v>
      </c>
      <c r="E90" s="56" t="n">
        <v>20903</v>
      </c>
      <c r="F90" s="56" t="n">
        <v>5657</v>
      </c>
      <c r="G90" s="56" t="n">
        <v>3904</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56893</v>
      </c>
      <c r="D91" s="56" t="n">
        <v>27708</v>
      </c>
      <c r="E91" s="56" t="n">
        <v>19990</v>
      </c>
      <c r="F91" s="56" t="n">
        <v>5461</v>
      </c>
      <c r="G91" s="56" t="n">
        <v>3734</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62529</v>
      </c>
      <c r="D92" s="56" t="n">
        <v>30876</v>
      </c>
      <c r="E92" s="56" t="n">
        <v>21543</v>
      </c>
      <c r="F92" s="56" t="n">
        <v>6086</v>
      </c>
      <c r="G92" s="56" t="n">
        <v>4024</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63105</v>
      </c>
      <c r="D93" s="56" t="n">
        <v>31382</v>
      </c>
      <c r="E93" s="56" t="n">
        <v>21519</v>
      </c>
      <c r="F93" s="56" t="n">
        <v>6185</v>
      </c>
      <c r="G93" s="56" t="n">
        <v>4019</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57197</v>
      </c>
      <c r="D94" s="56" t="n">
        <v>28719</v>
      </c>
      <c r="E94" s="56" t="n">
        <v>19226</v>
      </c>
      <c r="F94" s="56" t="n">
        <v>5661</v>
      </c>
      <c r="G94" s="56" t="n">
        <v>3591</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36070</v>
      </c>
      <c r="D95" s="56" t="n">
        <v>18381</v>
      </c>
      <c r="E95" s="56" t="n">
        <v>11852</v>
      </c>
      <c r="F95" s="56" t="n">
        <v>3623</v>
      </c>
      <c r="G95" s="56" t="n">
        <v>2214</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29283</v>
      </c>
      <c r="D96" s="56" t="n">
        <v>15039</v>
      </c>
      <c r="E96" s="56" t="n">
        <v>9505</v>
      </c>
      <c r="F96" s="56" t="n">
        <v>2964</v>
      </c>
      <c r="G96" s="56" t="n">
        <v>1775</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25384</v>
      </c>
      <c r="D97" s="56" t="n">
        <v>13461</v>
      </c>
      <c r="E97" s="56" t="n">
        <v>7811</v>
      </c>
      <c r="F97" s="56" t="n">
        <v>2653</v>
      </c>
      <c r="G97" s="56" t="n">
        <v>1459</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21487</v>
      </c>
      <c r="D98" s="56" t="n">
        <v>11680</v>
      </c>
      <c r="E98" s="56" t="n">
        <v>6324</v>
      </c>
      <c r="F98" s="56" t="n">
        <v>2302</v>
      </c>
      <c r="G98" s="56" t="n">
        <v>1181</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18200</v>
      </c>
      <c r="D99" s="56" t="n">
        <v>10104</v>
      </c>
      <c r="E99" s="56" t="n">
        <v>5144</v>
      </c>
      <c r="F99" s="56" t="n">
        <v>1991</v>
      </c>
      <c r="G99" s="56" t="n">
        <v>961</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15560</v>
      </c>
      <c r="D100" s="56" t="n">
        <v>8744</v>
      </c>
      <c r="E100" s="56" t="n">
        <v>4291</v>
      </c>
      <c r="F100" s="56" t="n">
        <v>1723</v>
      </c>
      <c r="G100" s="56" t="n">
        <v>802</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12986</v>
      </c>
      <c r="D101" s="56" t="n">
        <v>7469</v>
      </c>
      <c r="E101" s="56" t="n">
        <v>3408</v>
      </c>
      <c r="F101" s="56" t="n">
        <v>1472</v>
      </c>
      <c r="G101" s="56" t="n">
        <v>637</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10163</v>
      </c>
      <c r="D102" s="56" t="n">
        <v>5908</v>
      </c>
      <c r="E102" s="56" t="n">
        <v>2605</v>
      </c>
      <c r="F102" s="56" t="n">
        <v>1164</v>
      </c>
      <c r="G102" s="56" t="n">
        <v>486</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8179</v>
      </c>
      <c r="D103" s="56" t="n">
        <v>4828</v>
      </c>
      <c r="E103" s="56" t="n">
        <v>2021</v>
      </c>
      <c r="F103" s="56" t="n">
        <v>952</v>
      </c>
      <c r="G103" s="56" t="n">
        <v>378</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5755</v>
      </c>
      <c r="D104" s="56" t="n">
        <v>3509</v>
      </c>
      <c r="E104" s="56" t="n">
        <v>1309</v>
      </c>
      <c r="F104" s="56" t="n">
        <v>692</v>
      </c>
      <c r="G104" s="56" t="n">
        <v>245</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4212</v>
      </c>
      <c r="D105" s="56" t="n">
        <v>2589</v>
      </c>
      <c r="E105" s="56" t="n">
        <v>938</v>
      </c>
      <c r="F105" s="56" t="n">
        <v>510</v>
      </c>
      <c r="G105" s="56" t="n">
        <v>175</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2895</v>
      </c>
      <c r="D106" s="56" t="n">
        <v>1860</v>
      </c>
      <c r="E106" s="56" t="n">
        <v>563</v>
      </c>
      <c r="F106" s="56" t="n">
        <v>367</v>
      </c>
      <c r="G106" s="56" t="n">
        <v>105</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1999</v>
      </c>
      <c r="D107" s="56" t="n">
        <v>1291</v>
      </c>
      <c r="E107" s="56" t="n">
        <v>383</v>
      </c>
      <c r="F107" s="56" t="n">
        <v>254</v>
      </c>
      <c r="G107" s="56" t="n">
        <v>71</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2992</v>
      </c>
      <c r="D108" s="56" t="n">
        <v>2062</v>
      </c>
      <c r="E108" s="56" t="n">
        <v>441</v>
      </c>
      <c r="F108" s="56" t="n">
        <v>407</v>
      </c>
      <c r="G108" s="56" t="n">
        <v>82</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9197213</v>
      </c>
      <c r="D109" s="55" t="n">
        <v>3336795</v>
      </c>
      <c r="E109" s="55" t="n">
        <v>3264701</v>
      </c>
      <c r="F109" s="55" t="n">
        <v>1327538</v>
      </c>
      <c r="G109" s="55" t="n">
        <v>1268179</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Eurostat demo_pjan 2025 + STAT Mikrozensus MH 2025</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0.5843898820562272</v>
      </c>
      <c r="E7" s="68" t="n">
        <v>0.6316101179437726</v>
      </c>
      <c r="F7" s="69" t="n">
        <v>0.782697272977688</v>
      </c>
      <c r="G7" s="68" t="n">
        <v>0.795302727022312</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t="n">
        <v>75706</v>
      </c>
      <c r="D11" s="55" t="n">
        <v>21290.34296309768</v>
      </c>
      <c r="E11" s="55" t="n">
        <v>22605.37054664586</v>
      </c>
      <c r="F11" s="55" t="n">
        <v>15428.65703690232</v>
      </c>
      <c r="G11" s="55" t="n">
        <v>16381.62945335414</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STAT Demographisches Jahrbuch H9 (TFR x Staatsang. Mutter) + Eurostat demo_find</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165.3359276070439</v>
      </c>
      <c r="D22" s="55" t="n">
        <v>49.0438896718341</v>
      </c>
      <c r="E22" s="55" t="n">
        <v>53.006764646668</v>
      </c>
      <c r="F22" s="55" t="n">
        <v>31.38986744143817</v>
      </c>
      <c r="G22" s="55" t="n">
        <v>31.89540584710369</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159.9077013135066</v>
      </c>
      <c r="D23" s="55" t="n">
        <v>46.43517213609825</v>
      </c>
      <c r="E23" s="55" t="n">
        <v>50.18725588886652</v>
      </c>
      <c r="F23" s="55" t="n">
        <v>31.38986744143817</v>
      </c>
      <c r="G23" s="55" t="n">
        <v>31.89540584710369</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159.9077013135066</v>
      </c>
      <c r="D24" s="55" t="n">
        <v>46.43517213609825</v>
      </c>
      <c r="E24" s="55" t="n">
        <v>50.18725588886652</v>
      </c>
      <c r="F24" s="55" t="n">
        <v>31.38986744143817</v>
      </c>
      <c r="G24" s="55" t="n">
        <v>31.89540584710369</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159.9077013135066</v>
      </c>
      <c r="D25" s="55" t="n">
        <v>46.43517213609825</v>
      </c>
      <c r="E25" s="55" t="n">
        <v>50.18725588886652</v>
      </c>
      <c r="F25" s="55" t="n">
        <v>31.38986744143817</v>
      </c>
      <c r="G25" s="55" t="n">
        <v>31.89540584710369</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159.9077013135066</v>
      </c>
      <c r="D26" s="55" t="n">
        <v>46.43517213609825</v>
      </c>
      <c r="E26" s="55" t="n">
        <v>50.18725588886652</v>
      </c>
      <c r="F26" s="55" t="n">
        <v>31.38986744143817</v>
      </c>
      <c r="G26" s="55" t="n">
        <v>31.89540584710369</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1403.233783165003</v>
      </c>
      <c r="D27" s="55" t="n">
        <v>403.3077310247634</v>
      </c>
      <c r="E27" s="55" t="n">
        <v>435.8960539561103</v>
      </c>
      <c r="F27" s="55" t="n">
        <v>279.7621935718177</v>
      </c>
      <c r="G27" s="55" t="n">
        <v>284.2678046123116</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1403.233783165003</v>
      </c>
      <c r="D28" s="55" t="n">
        <v>403.3077310247634</v>
      </c>
      <c r="E28" s="55" t="n">
        <v>435.8960539561103</v>
      </c>
      <c r="F28" s="55" t="n">
        <v>279.7621935718177</v>
      </c>
      <c r="G28" s="55" t="n">
        <v>284.2678046123116</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1403.233783165003</v>
      </c>
      <c r="D29" s="55" t="n">
        <v>403.3077310247634</v>
      </c>
      <c r="E29" s="55" t="n">
        <v>435.8960539561103</v>
      </c>
      <c r="F29" s="55" t="n">
        <v>279.7621935718177</v>
      </c>
      <c r="G29" s="55" t="n">
        <v>284.2678046123116</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1403.233783165003</v>
      </c>
      <c r="D30" s="55" t="n">
        <v>403.3077310247634</v>
      </c>
      <c r="E30" s="55" t="n">
        <v>435.8960539561103</v>
      </c>
      <c r="F30" s="55" t="n">
        <v>279.7621935718177</v>
      </c>
      <c r="G30" s="55" t="n">
        <v>284.2678046123116</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1403.233783165003</v>
      </c>
      <c r="D31" s="55" t="n">
        <v>403.3077310247634</v>
      </c>
      <c r="E31" s="55" t="n">
        <v>435.8960539561103</v>
      </c>
      <c r="F31" s="55" t="n">
        <v>279.7621935718177</v>
      </c>
      <c r="G31" s="55" t="n">
        <v>284.2678046123116</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4091.272536880327</v>
      </c>
      <c r="D32" s="55" t="n">
        <v>1400.881316690155</v>
      </c>
      <c r="E32" s="55" t="n">
        <v>1514.0762029394</v>
      </c>
      <c r="F32" s="55" t="n">
        <v>583.459161067732</v>
      </c>
      <c r="G32" s="55" t="n">
        <v>592.8558561830398</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4091.272536880327</v>
      </c>
      <c r="D33" s="55" t="n">
        <v>1400.881316690155</v>
      </c>
      <c r="E33" s="55" t="n">
        <v>1514.0762029394</v>
      </c>
      <c r="F33" s="55" t="n">
        <v>583.459161067732</v>
      </c>
      <c r="G33" s="55" t="n">
        <v>592.8558561830398</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4091.272536880327</v>
      </c>
      <c r="D34" s="55" t="n">
        <v>1400.881316690155</v>
      </c>
      <c r="E34" s="55" t="n">
        <v>1514.0762029394</v>
      </c>
      <c r="F34" s="55" t="n">
        <v>583.459161067732</v>
      </c>
      <c r="G34" s="55" t="n">
        <v>592.8558561830398</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4091.272536880327</v>
      </c>
      <c r="D35" s="55" t="n">
        <v>1400.881316690155</v>
      </c>
      <c r="E35" s="55" t="n">
        <v>1514.0762029394</v>
      </c>
      <c r="F35" s="55" t="n">
        <v>583.459161067732</v>
      </c>
      <c r="G35" s="55" t="n">
        <v>592.8558561830398</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4091.272536880327</v>
      </c>
      <c r="D36" s="55" t="n">
        <v>1400.881316690155</v>
      </c>
      <c r="E36" s="55" t="n">
        <v>1514.0762029394</v>
      </c>
      <c r="F36" s="55" t="n">
        <v>583.459161067732</v>
      </c>
      <c r="G36" s="55" t="n">
        <v>592.8558561830398</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5657.104260086792</v>
      </c>
      <c r="D37" s="55" t="n">
        <v>2069.756492852829</v>
      </c>
      <c r="E37" s="55" t="n">
        <v>2236.998248439702</v>
      </c>
      <c r="F37" s="55" t="n">
        <v>669.781296531687</v>
      </c>
      <c r="G37" s="55" t="n">
        <v>680.5682222625749</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5657.104260086792</v>
      </c>
      <c r="D38" s="55" t="n">
        <v>2069.756492852829</v>
      </c>
      <c r="E38" s="55" t="n">
        <v>2236.998248439702</v>
      </c>
      <c r="F38" s="55" t="n">
        <v>669.781296531687</v>
      </c>
      <c r="G38" s="55" t="n">
        <v>680.5682222625749</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5657.104260086792</v>
      </c>
      <c r="D39" s="55" t="n">
        <v>2069.756492852829</v>
      </c>
      <c r="E39" s="55" t="n">
        <v>2236.998248439702</v>
      </c>
      <c r="F39" s="55" t="n">
        <v>669.781296531687</v>
      </c>
      <c r="G39" s="55" t="n">
        <v>680.5682222625749</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5657.104260086792</v>
      </c>
      <c r="D40" s="55" t="n">
        <v>2069.756492852829</v>
      </c>
      <c r="E40" s="55" t="n">
        <v>2236.998248439702</v>
      </c>
      <c r="F40" s="55" t="n">
        <v>669.781296531687</v>
      </c>
      <c r="G40" s="55" t="n">
        <v>680.5682222625749</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5657.104260086792</v>
      </c>
      <c r="D41" s="55" t="n">
        <v>2069.756492852829</v>
      </c>
      <c r="E41" s="55" t="n">
        <v>2236.998248439702</v>
      </c>
      <c r="F41" s="55" t="n">
        <v>669.781296531687</v>
      </c>
      <c r="G41" s="55" t="n">
        <v>680.5682222625749</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3080.18227193247</v>
      </c>
      <c r="D42" s="55" t="n">
        <v>1029.399939601369</v>
      </c>
      <c r="E42" s="55" t="n">
        <v>1112.578155828468</v>
      </c>
      <c r="F42" s="55" t="n">
        <v>465.3547848193209</v>
      </c>
      <c r="G42" s="55" t="n">
        <v>472.8493916833121</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3080.18227193247</v>
      </c>
      <c r="D43" s="55" t="n">
        <v>1029.399939601369</v>
      </c>
      <c r="E43" s="55" t="n">
        <v>1112.578155828468</v>
      </c>
      <c r="F43" s="55" t="n">
        <v>465.3547848193209</v>
      </c>
      <c r="G43" s="55" t="n">
        <v>472.8493916833121</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3080.18227193247</v>
      </c>
      <c r="D44" s="55" t="n">
        <v>1029.399939601369</v>
      </c>
      <c r="E44" s="55" t="n">
        <v>1112.578155828468</v>
      </c>
      <c r="F44" s="55" t="n">
        <v>465.3547848193209</v>
      </c>
      <c r="G44" s="55" t="n">
        <v>472.8493916833121</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3080.18227193247</v>
      </c>
      <c r="D45" s="55" t="n">
        <v>1029.399939601369</v>
      </c>
      <c r="E45" s="55" t="n">
        <v>1112.578155828468</v>
      </c>
      <c r="F45" s="55" t="n">
        <v>465.3547848193209</v>
      </c>
      <c r="G45" s="55" t="n">
        <v>472.8493916833121</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3080.18227193247</v>
      </c>
      <c r="D46" s="55" t="n">
        <v>1029.399939601369</v>
      </c>
      <c r="E46" s="55" t="n">
        <v>1112.578155828468</v>
      </c>
      <c r="F46" s="55" t="n">
        <v>465.3547848193209</v>
      </c>
      <c r="G46" s="55" t="n">
        <v>472.8493916833121</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702.5816672515449</v>
      </c>
      <c r="D47" s="55" t="n">
        <v>220.1757600161063</v>
      </c>
      <c r="E47" s="55" t="n">
        <v>237.9665391584458</v>
      </c>
      <c r="F47" s="55" t="n">
        <v>121.2433629925549</v>
      </c>
      <c r="G47" s="55" t="n">
        <v>123.196005084438</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702.5816672515449</v>
      </c>
      <c r="D48" s="55" t="n">
        <v>220.1757600161063</v>
      </c>
      <c r="E48" s="55" t="n">
        <v>237.9665391584458</v>
      </c>
      <c r="F48" s="55" t="n">
        <v>121.2433629925549</v>
      </c>
      <c r="G48" s="55" t="n">
        <v>123.196005084438</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702.5816672515449</v>
      </c>
      <c r="D49" s="55" t="n">
        <v>220.1757600161063</v>
      </c>
      <c r="E49" s="55" t="n">
        <v>237.9665391584458</v>
      </c>
      <c r="F49" s="55" t="n">
        <v>121.2433629925549</v>
      </c>
      <c r="G49" s="55" t="n">
        <v>123.196005084438</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702.5816672515449</v>
      </c>
      <c r="D50" s="55" t="n">
        <v>220.1757600161063</v>
      </c>
      <c r="E50" s="55" t="n">
        <v>237.9665391584458</v>
      </c>
      <c r="F50" s="55" t="n">
        <v>121.2433629925549</v>
      </c>
      <c r="G50" s="55" t="n">
        <v>123.196005084438</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702.5816672515449</v>
      </c>
      <c r="D51" s="55" t="n">
        <v>220.1757600161063</v>
      </c>
      <c r="E51" s="55" t="n">
        <v>237.9665391584458</v>
      </c>
      <c r="F51" s="55" t="n">
        <v>121.2433629925549</v>
      </c>
      <c r="G51" s="55" t="n">
        <v>123.196005084438</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45.83213411164859</v>
      </c>
      <c r="D52" s="55" t="n">
        <v>12.52184417153211</v>
      </c>
      <c r="E52" s="55" t="n">
        <v>13.53364203744715</v>
      </c>
      <c r="F52" s="55" t="n">
        <v>9.809333575449427</v>
      </c>
      <c r="G52" s="55" t="n">
        <v>9.967314327219903</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45.83213411164859</v>
      </c>
      <c r="D53" s="55" t="n">
        <v>12.52184417153211</v>
      </c>
      <c r="E53" s="55" t="n">
        <v>13.53364203744715</v>
      </c>
      <c r="F53" s="55" t="n">
        <v>9.809333575449427</v>
      </c>
      <c r="G53" s="55" t="n">
        <v>9.967314327219903</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45.83213411164859</v>
      </c>
      <c r="D54" s="55" t="n">
        <v>12.52184417153211</v>
      </c>
      <c r="E54" s="55" t="n">
        <v>13.53364203744715</v>
      </c>
      <c r="F54" s="55" t="n">
        <v>9.809333575449427</v>
      </c>
      <c r="G54" s="55" t="n">
        <v>9.967314327219903</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45.83213411164859</v>
      </c>
      <c r="D55" s="55" t="n">
        <v>12.52184417153211</v>
      </c>
      <c r="E55" s="55" t="n">
        <v>13.53364203744715</v>
      </c>
      <c r="F55" s="55" t="n">
        <v>9.809333575449427</v>
      </c>
      <c r="G55" s="55" t="n">
        <v>9.967314327219903</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45.83213411164859</v>
      </c>
      <c r="D56" s="55" t="n">
        <v>12.52184417153211</v>
      </c>
      <c r="E56" s="55" t="n">
        <v>13.53364203744715</v>
      </c>
      <c r="F56" s="55" t="n">
        <v>9.809333575449427</v>
      </c>
      <c r="G56" s="55" t="n">
        <v>9.967314327219903</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236</v>
      </c>
      <c r="D7" s="56" t="n">
        <v>79</v>
      </c>
      <c r="E7" s="56" t="n">
        <v>89</v>
      </c>
      <c r="F7" s="56" t="n">
        <v>33</v>
      </c>
      <c r="G7" s="56" t="n">
        <v>35</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15</v>
      </c>
      <c r="D8" s="56" t="n">
        <v>5</v>
      </c>
      <c r="E8" s="56" t="n">
        <v>6</v>
      </c>
      <c r="F8" s="56" t="n">
        <v>2</v>
      </c>
      <c r="G8" s="56" t="n">
        <v>2</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8</v>
      </c>
      <c r="D9" s="56" t="n">
        <v>4</v>
      </c>
      <c r="E9" s="56" t="n">
        <v>2</v>
      </c>
      <c r="F9" s="56" t="n">
        <v>1</v>
      </c>
      <c r="G9" s="56" t="n">
        <v>1</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14</v>
      </c>
      <c r="D10" s="56" t="n">
        <v>4</v>
      </c>
      <c r="E10" s="56" t="n">
        <v>6</v>
      </c>
      <c r="F10" s="56" t="n">
        <v>1</v>
      </c>
      <c r="G10" s="56" t="n">
        <v>3</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6</v>
      </c>
      <c r="D11" s="56" t="n">
        <v>1</v>
      </c>
      <c r="E11" s="56" t="n">
        <v>3</v>
      </c>
      <c r="F11" s="56" t="n">
        <v>1</v>
      </c>
      <c r="G11" s="56" t="n">
        <v>1</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12</v>
      </c>
      <c r="D12" s="56" t="n">
        <v>3</v>
      </c>
      <c r="E12" s="56" t="n">
        <v>6</v>
      </c>
      <c r="F12" s="56" t="n">
        <v>1</v>
      </c>
      <c r="G12" s="56" t="n">
        <v>2</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9</v>
      </c>
      <c r="D13" s="56" t="n">
        <v>3</v>
      </c>
      <c r="E13" s="56" t="n">
        <v>4</v>
      </c>
      <c r="F13" s="56" t="n">
        <v>1</v>
      </c>
      <c r="G13" s="56" t="n">
        <v>1</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10</v>
      </c>
      <c r="D14" s="56" t="n">
        <v>3</v>
      </c>
      <c r="E14" s="56" t="n">
        <v>4</v>
      </c>
      <c r="F14" s="56" t="n">
        <v>1</v>
      </c>
      <c r="G14" s="56" t="n">
        <v>2</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4</v>
      </c>
      <c r="D15" s="56" t="n">
        <v>1</v>
      </c>
      <c r="E15" s="56" t="n">
        <v>1</v>
      </c>
      <c r="F15" s="56" t="n">
        <v>1</v>
      </c>
      <c r="G15" s="56" t="n">
        <v>1</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5</v>
      </c>
      <c r="D16" s="56" t="n">
        <v>2</v>
      </c>
      <c r="E16" s="56" t="n">
        <v>1</v>
      </c>
      <c r="F16" s="56" t="n">
        <v>1</v>
      </c>
      <c r="G16" s="56" t="n">
        <v>1</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5</v>
      </c>
      <c r="D17" s="56" t="n">
        <v>2</v>
      </c>
      <c r="E17" s="56" t="n">
        <v>1</v>
      </c>
      <c r="F17" s="56" t="n">
        <v>1</v>
      </c>
      <c r="G17" s="56" t="n">
        <v>1</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2</v>
      </c>
      <c r="D18" s="56" t="n">
        <v>0</v>
      </c>
      <c r="E18" s="56" t="n">
        <v>1</v>
      </c>
      <c r="F18" s="56" t="n">
        <v>0</v>
      </c>
      <c r="G18" s="56" t="n">
        <v>1</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2</v>
      </c>
      <c r="D19" s="56" t="n">
        <v>1</v>
      </c>
      <c r="E19" s="56" t="n">
        <v>1</v>
      </c>
      <c r="F19" s="56" t="n">
        <v>0</v>
      </c>
      <c r="G19" s="56" t="n">
        <v>0</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9</v>
      </c>
      <c r="D20" s="56" t="n">
        <v>4</v>
      </c>
      <c r="E20" s="56" t="n">
        <v>3</v>
      </c>
      <c r="F20" s="56" t="n">
        <v>1</v>
      </c>
      <c r="G20" s="56" t="n">
        <v>1</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11</v>
      </c>
      <c r="D21" s="56" t="n">
        <v>2</v>
      </c>
      <c r="E21" s="56" t="n">
        <v>6</v>
      </c>
      <c r="F21" s="56" t="n">
        <v>1</v>
      </c>
      <c r="G21" s="56" t="n">
        <v>2</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16</v>
      </c>
      <c r="D22" s="56" t="n">
        <v>2</v>
      </c>
      <c r="E22" s="56" t="n">
        <v>8</v>
      </c>
      <c r="F22" s="56" t="n">
        <v>1</v>
      </c>
      <c r="G22" s="56" t="n">
        <v>5</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25</v>
      </c>
      <c r="D23" s="56" t="n">
        <v>5</v>
      </c>
      <c r="E23" s="56" t="n">
        <v>12</v>
      </c>
      <c r="F23" s="56" t="n">
        <v>2</v>
      </c>
      <c r="G23" s="56" t="n">
        <v>6</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24</v>
      </c>
      <c r="D24" s="56" t="n">
        <v>3</v>
      </c>
      <c r="E24" s="56" t="n">
        <v>12</v>
      </c>
      <c r="F24" s="56" t="n">
        <v>2</v>
      </c>
      <c r="G24" s="56" t="n">
        <v>7</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39</v>
      </c>
      <c r="D25" s="56" t="n">
        <v>8</v>
      </c>
      <c r="E25" s="56" t="n">
        <v>17</v>
      </c>
      <c r="F25" s="56" t="n">
        <v>5</v>
      </c>
      <c r="G25" s="56" t="n">
        <v>9</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50</v>
      </c>
      <c r="D26" s="56" t="n">
        <v>10</v>
      </c>
      <c r="E26" s="56" t="n">
        <v>22</v>
      </c>
      <c r="F26" s="56" t="n">
        <v>6</v>
      </c>
      <c r="G26" s="56" t="n">
        <v>12</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34</v>
      </c>
      <c r="D27" s="56" t="n">
        <v>5</v>
      </c>
      <c r="E27" s="56" t="n">
        <v>17</v>
      </c>
      <c r="F27" s="56" t="n">
        <v>3</v>
      </c>
      <c r="G27" s="56" t="n">
        <v>9</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38</v>
      </c>
      <c r="D28" s="56" t="n">
        <v>8</v>
      </c>
      <c r="E28" s="56" t="n">
        <v>16</v>
      </c>
      <c r="F28" s="56" t="n">
        <v>5</v>
      </c>
      <c r="G28" s="56" t="n">
        <v>9</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35</v>
      </c>
      <c r="D29" s="56" t="n">
        <v>3</v>
      </c>
      <c r="E29" s="56" t="n">
        <v>20</v>
      </c>
      <c r="F29" s="56" t="n">
        <v>1</v>
      </c>
      <c r="G29" s="56" t="n">
        <v>11</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39</v>
      </c>
      <c r="D30" s="56" t="n">
        <v>6</v>
      </c>
      <c r="E30" s="56" t="n">
        <v>20</v>
      </c>
      <c r="F30" s="56" t="n">
        <v>3</v>
      </c>
      <c r="G30" s="56" t="n">
        <v>10</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45</v>
      </c>
      <c r="D31" s="56" t="n">
        <v>8</v>
      </c>
      <c r="E31" s="56" t="n">
        <v>22</v>
      </c>
      <c r="F31" s="56" t="n">
        <v>4</v>
      </c>
      <c r="G31" s="56" t="n">
        <v>11</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28</v>
      </c>
      <c r="D32" s="56" t="n">
        <v>3</v>
      </c>
      <c r="E32" s="56" t="n">
        <v>16</v>
      </c>
      <c r="F32" s="56" t="n">
        <v>1</v>
      </c>
      <c r="G32" s="56" t="n">
        <v>8</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41</v>
      </c>
      <c r="D33" s="56" t="n">
        <v>6</v>
      </c>
      <c r="E33" s="56" t="n">
        <v>20</v>
      </c>
      <c r="F33" s="56" t="n">
        <v>4</v>
      </c>
      <c r="G33" s="56" t="n">
        <v>11</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60</v>
      </c>
      <c r="D34" s="56" t="n">
        <v>13</v>
      </c>
      <c r="E34" s="56" t="n">
        <v>26</v>
      </c>
      <c r="F34" s="56" t="n">
        <v>7</v>
      </c>
      <c r="G34" s="56" t="n">
        <v>14</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53</v>
      </c>
      <c r="D35" s="56" t="n">
        <v>9</v>
      </c>
      <c r="E35" s="56" t="n">
        <v>25</v>
      </c>
      <c r="F35" s="56" t="n">
        <v>5</v>
      </c>
      <c r="G35" s="56" t="n">
        <v>14</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49</v>
      </c>
      <c r="D36" s="56" t="n">
        <v>8</v>
      </c>
      <c r="E36" s="56" t="n">
        <v>24</v>
      </c>
      <c r="F36" s="56" t="n">
        <v>5</v>
      </c>
      <c r="G36" s="56" t="n">
        <v>12</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62</v>
      </c>
      <c r="D37" s="56" t="n">
        <v>9</v>
      </c>
      <c r="E37" s="56" t="n">
        <v>30</v>
      </c>
      <c r="F37" s="56" t="n">
        <v>6</v>
      </c>
      <c r="G37" s="56" t="n">
        <v>17</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71</v>
      </c>
      <c r="D38" s="56" t="n">
        <v>14</v>
      </c>
      <c r="E38" s="56" t="n">
        <v>30</v>
      </c>
      <c r="F38" s="56" t="n">
        <v>9</v>
      </c>
      <c r="G38" s="56" t="n">
        <v>18</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59</v>
      </c>
      <c r="D39" s="56" t="n">
        <v>14</v>
      </c>
      <c r="E39" s="56" t="n">
        <v>23</v>
      </c>
      <c r="F39" s="56" t="n">
        <v>9</v>
      </c>
      <c r="G39" s="56" t="n">
        <v>13</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66</v>
      </c>
      <c r="D40" s="56" t="n">
        <v>16</v>
      </c>
      <c r="E40" s="56" t="n">
        <v>25</v>
      </c>
      <c r="F40" s="56" t="n">
        <v>10</v>
      </c>
      <c r="G40" s="56" t="n">
        <v>15</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77</v>
      </c>
      <c r="D41" s="56" t="n">
        <v>16</v>
      </c>
      <c r="E41" s="56" t="n">
        <v>33</v>
      </c>
      <c r="F41" s="56" t="n">
        <v>9</v>
      </c>
      <c r="G41" s="56" t="n">
        <v>19</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78</v>
      </c>
      <c r="D42" s="56" t="n">
        <v>16</v>
      </c>
      <c r="E42" s="56" t="n">
        <v>33</v>
      </c>
      <c r="F42" s="56" t="n">
        <v>9</v>
      </c>
      <c r="G42" s="56" t="n">
        <v>20</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97</v>
      </c>
      <c r="D43" s="56" t="n">
        <v>25</v>
      </c>
      <c r="E43" s="56" t="n">
        <v>36</v>
      </c>
      <c r="F43" s="56" t="n">
        <v>15</v>
      </c>
      <c r="G43" s="56" t="n">
        <v>21</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105</v>
      </c>
      <c r="D44" s="56" t="n">
        <v>20</v>
      </c>
      <c r="E44" s="56" t="n">
        <v>45</v>
      </c>
      <c r="F44" s="56" t="n">
        <v>13</v>
      </c>
      <c r="G44" s="56" t="n">
        <v>27</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110</v>
      </c>
      <c r="D45" s="56" t="n">
        <v>23</v>
      </c>
      <c r="E45" s="56" t="n">
        <v>46</v>
      </c>
      <c r="F45" s="56" t="n">
        <v>14</v>
      </c>
      <c r="G45" s="56" t="n">
        <v>27</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109</v>
      </c>
      <c r="D46" s="56" t="n">
        <v>22</v>
      </c>
      <c r="E46" s="56" t="n">
        <v>47</v>
      </c>
      <c r="F46" s="56" t="n">
        <v>13</v>
      </c>
      <c r="G46" s="56" t="n">
        <v>27</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117</v>
      </c>
      <c r="D47" s="56" t="n">
        <v>24</v>
      </c>
      <c r="E47" s="56" t="n">
        <v>50</v>
      </c>
      <c r="F47" s="56" t="n">
        <v>14</v>
      </c>
      <c r="G47" s="56" t="n">
        <v>29</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124</v>
      </c>
      <c r="D48" s="56" t="n">
        <v>27</v>
      </c>
      <c r="E48" s="56" t="n">
        <v>51</v>
      </c>
      <c r="F48" s="56" t="n">
        <v>16</v>
      </c>
      <c r="G48" s="56" t="n">
        <v>30</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140</v>
      </c>
      <c r="D49" s="56" t="n">
        <v>32</v>
      </c>
      <c r="E49" s="56" t="n">
        <v>55</v>
      </c>
      <c r="F49" s="56" t="n">
        <v>20</v>
      </c>
      <c r="G49" s="56" t="n">
        <v>33</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155</v>
      </c>
      <c r="D50" s="56" t="n">
        <v>35</v>
      </c>
      <c r="E50" s="56" t="n">
        <v>62</v>
      </c>
      <c r="F50" s="56" t="n">
        <v>21</v>
      </c>
      <c r="G50" s="56" t="n">
        <v>37</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152</v>
      </c>
      <c r="D51" s="56" t="n">
        <v>40</v>
      </c>
      <c r="E51" s="56" t="n">
        <v>55</v>
      </c>
      <c r="F51" s="56" t="n">
        <v>25</v>
      </c>
      <c r="G51" s="56" t="n">
        <v>32</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148</v>
      </c>
      <c r="D52" s="56" t="n">
        <v>33</v>
      </c>
      <c r="E52" s="56" t="n">
        <v>72</v>
      </c>
      <c r="F52" s="56" t="n">
        <v>15</v>
      </c>
      <c r="G52" s="56" t="n">
        <v>28</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163</v>
      </c>
      <c r="D53" s="56" t="n">
        <v>44</v>
      </c>
      <c r="E53" s="56" t="n">
        <v>72</v>
      </c>
      <c r="F53" s="56" t="n">
        <v>19</v>
      </c>
      <c r="G53" s="56" t="n">
        <v>28</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181</v>
      </c>
      <c r="D54" s="56" t="n">
        <v>44</v>
      </c>
      <c r="E54" s="56" t="n">
        <v>84</v>
      </c>
      <c r="F54" s="56" t="n">
        <v>20</v>
      </c>
      <c r="G54" s="56" t="n">
        <v>33</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189</v>
      </c>
      <c r="D55" s="56" t="n">
        <v>49</v>
      </c>
      <c r="E55" s="56" t="n">
        <v>85</v>
      </c>
      <c r="F55" s="56" t="n">
        <v>22</v>
      </c>
      <c r="G55" s="56" t="n">
        <v>33</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224</v>
      </c>
      <c r="D56" s="56" t="n">
        <v>49</v>
      </c>
      <c r="E56" s="56" t="n">
        <v>110</v>
      </c>
      <c r="F56" s="56" t="n">
        <v>22</v>
      </c>
      <c r="G56" s="56" t="n">
        <v>43</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241</v>
      </c>
      <c r="D57" s="56" t="n">
        <v>56</v>
      </c>
      <c r="E57" s="56" t="n">
        <v>116</v>
      </c>
      <c r="F57" s="56" t="n">
        <v>25</v>
      </c>
      <c r="G57" s="56" t="n">
        <v>44</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282</v>
      </c>
      <c r="D58" s="56" t="n">
        <v>78</v>
      </c>
      <c r="E58" s="56" t="n">
        <v>123</v>
      </c>
      <c r="F58" s="56" t="n">
        <v>34</v>
      </c>
      <c r="G58" s="56" t="n">
        <v>47</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299</v>
      </c>
      <c r="D59" s="56" t="n">
        <v>78</v>
      </c>
      <c r="E59" s="56" t="n">
        <v>135</v>
      </c>
      <c r="F59" s="56" t="n">
        <v>34</v>
      </c>
      <c r="G59" s="56" t="n">
        <v>52</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374</v>
      </c>
      <c r="D60" s="56" t="n">
        <v>94</v>
      </c>
      <c r="E60" s="56" t="n">
        <v>172</v>
      </c>
      <c r="F60" s="56" t="n">
        <v>42</v>
      </c>
      <c r="G60" s="56" t="n">
        <v>66</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376</v>
      </c>
      <c r="D61" s="56" t="n">
        <v>91</v>
      </c>
      <c r="E61" s="56" t="n">
        <v>177</v>
      </c>
      <c r="F61" s="56" t="n">
        <v>40</v>
      </c>
      <c r="G61" s="56" t="n">
        <v>68</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552</v>
      </c>
      <c r="D62" s="56" t="n">
        <v>132</v>
      </c>
      <c r="E62" s="56" t="n">
        <v>261</v>
      </c>
      <c r="F62" s="56" t="n">
        <v>58</v>
      </c>
      <c r="G62" s="56" t="n">
        <v>101</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526</v>
      </c>
      <c r="D63" s="56" t="n">
        <v>125</v>
      </c>
      <c r="E63" s="56" t="n">
        <v>250</v>
      </c>
      <c r="F63" s="56" t="n">
        <v>55</v>
      </c>
      <c r="G63" s="56" t="n">
        <v>96</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573</v>
      </c>
      <c r="D64" s="56" t="n">
        <v>136</v>
      </c>
      <c r="E64" s="56" t="n">
        <v>272</v>
      </c>
      <c r="F64" s="56" t="n">
        <v>60</v>
      </c>
      <c r="G64" s="56" t="n">
        <v>105</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598</v>
      </c>
      <c r="D65" s="56" t="n">
        <v>150</v>
      </c>
      <c r="E65" s="56" t="n">
        <v>276</v>
      </c>
      <c r="F65" s="56" t="n">
        <v>66</v>
      </c>
      <c r="G65" s="56" t="n">
        <v>106</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702</v>
      </c>
      <c r="D66" s="56" t="n">
        <v>173</v>
      </c>
      <c r="E66" s="56" t="n">
        <v>327</v>
      </c>
      <c r="F66" s="56" t="n">
        <v>76</v>
      </c>
      <c r="G66" s="56" t="n">
        <v>126</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853</v>
      </c>
      <c r="D67" s="56" t="n">
        <v>242</v>
      </c>
      <c r="E67" s="56" t="n">
        <v>474</v>
      </c>
      <c r="F67" s="56" t="n">
        <v>48</v>
      </c>
      <c r="G67" s="56" t="n">
        <v>89</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842</v>
      </c>
      <c r="D68" s="56" t="n">
        <v>243</v>
      </c>
      <c r="E68" s="56" t="n">
        <v>464</v>
      </c>
      <c r="F68" s="56" t="n">
        <v>48</v>
      </c>
      <c r="G68" s="56" t="n">
        <v>87</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965</v>
      </c>
      <c r="D69" s="56" t="n">
        <v>267</v>
      </c>
      <c r="E69" s="56" t="n">
        <v>543</v>
      </c>
      <c r="F69" s="56" t="n">
        <v>53</v>
      </c>
      <c r="G69" s="56" t="n">
        <v>102</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947</v>
      </c>
      <c r="D70" s="56" t="n">
        <v>282</v>
      </c>
      <c r="E70" s="56" t="n">
        <v>514</v>
      </c>
      <c r="F70" s="56" t="n">
        <v>55</v>
      </c>
      <c r="G70" s="56" t="n">
        <v>96</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1047</v>
      </c>
      <c r="D71" s="56" t="n">
        <v>291</v>
      </c>
      <c r="E71" s="56" t="n">
        <v>589</v>
      </c>
      <c r="F71" s="56" t="n">
        <v>57</v>
      </c>
      <c r="G71" s="56" t="n">
        <v>110</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1122</v>
      </c>
      <c r="D72" s="56" t="n">
        <v>333</v>
      </c>
      <c r="E72" s="56" t="n">
        <v>609</v>
      </c>
      <c r="F72" s="56" t="n">
        <v>66</v>
      </c>
      <c r="G72" s="56" t="n">
        <v>114</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1163</v>
      </c>
      <c r="D73" s="56" t="n">
        <v>346</v>
      </c>
      <c r="E73" s="56" t="n">
        <v>631</v>
      </c>
      <c r="F73" s="56" t="n">
        <v>68</v>
      </c>
      <c r="G73" s="56" t="n">
        <v>118</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1239</v>
      </c>
      <c r="D74" s="56" t="n">
        <v>376</v>
      </c>
      <c r="E74" s="56" t="n">
        <v>665</v>
      </c>
      <c r="F74" s="56" t="n">
        <v>74</v>
      </c>
      <c r="G74" s="56" t="n">
        <v>124</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1303</v>
      </c>
      <c r="D75" s="56" t="n">
        <v>398</v>
      </c>
      <c r="E75" s="56" t="n">
        <v>696</v>
      </c>
      <c r="F75" s="56" t="n">
        <v>79</v>
      </c>
      <c r="G75" s="56" t="n">
        <v>130</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1316</v>
      </c>
      <c r="D76" s="56" t="n">
        <v>441</v>
      </c>
      <c r="E76" s="56" t="n">
        <v>664</v>
      </c>
      <c r="F76" s="56" t="n">
        <v>87</v>
      </c>
      <c r="G76" s="56" t="n">
        <v>124</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1346</v>
      </c>
      <c r="D77" s="56" t="n">
        <v>417</v>
      </c>
      <c r="E77" s="56" t="n">
        <v>714</v>
      </c>
      <c r="F77" s="56" t="n">
        <v>82</v>
      </c>
      <c r="G77" s="56" t="n">
        <v>133</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1405</v>
      </c>
      <c r="D78" s="56" t="n">
        <v>472</v>
      </c>
      <c r="E78" s="56" t="n">
        <v>708</v>
      </c>
      <c r="F78" s="56" t="n">
        <v>93</v>
      </c>
      <c r="G78" s="56" t="n">
        <v>132</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1471</v>
      </c>
      <c r="D79" s="56" t="n">
        <v>509</v>
      </c>
      <c r="E79" s="56" t="n">
        <v>726</v>
      </c>
      <c r="F79" s="56" t="n">
        <v>100</v>
      </c>
      <c r="G79" s="56" t="n">
        <v>136</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1612</v>
      </c>
      <c r="D80" s="56" t="n">
        <v>556</v>
      </c>
      <c r="E80" s="56" t="n">
        <v>797</v>
      </c>
      <c r="F80" s="56" t="n">
        <v>110</v>
      </c>
      <c r="G80" s="56" t="n">
        <v>149</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1770</v>
      </c>
      <c r="D81" s="56" t="n">
        <v>605</v>
      </c>
      <c r="E81" s="56" t="n">
        <v>881</v>
      </c>
      <c r="F81" s="56" t="n">
        <v>119</v>
      </c>
      <c r="G81" s="56" t="n">
        <v>165</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2042</v>
      </c>
      <c r="D82" s="56" t="n">
        <v>725</v>
      </c>
      <c r="E82" s="56" t="n">
        <v>989</v>
      </c>
      <c r="F82" s="56" t="n">
        <v>143</v>
      </c>
      <c r="G82" s="56" t="n">
        <v>185</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2185</v>
      </c>
      <c r="D83" s="56" t="n">
        <v>765</v>
      </c>
      <c r="E83" s="56" t="n">
        <v>1069</v>
      </c>
      <c r="F83" s="56" t="n">
        <v>151</v>
      </c>
      <c r="G83" s="56" t="n">
        <v>200</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2333</v>
      </c>
      <c r="D84" s="56" t="n">
        <v>846</v>
      </c>
      <c r="E84" s="56" t="n">
        <v>1112</v>
      </c>
      <c r="F84" s="56" t="n">
        <v>167</v>
      </c>
      <c r="G84" s="56" t="n">
        <v>208</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1736</v>
      </c>
      <c r="D85" s="56" t="n">
        <v>642</v>
      </c>
      <c r="E85" s="56" t="n">
        <v>815</v>
      </c>
      <c r="F85" s="56" t="n">
        <v>127</v>
      </c>
      <c r="G85" s="56" t="n">
        <v>152</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2251</v>
      </c>
      <c r="D86" s="56" t="n">
        <v>884</v>
      </c>
      <c r="E86" s="56" t="n">
        <v>1005</v>
      </c>
      <c r="F86" s="56" t="n">
        <v>174</v>
      </c>
      <c r="G86" s="56" t="n">
        <v>188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2634</v>
      </c>
      <c r="D87" s="56" t="n">
        <v>1024</v>
      </c>
      <c r="E87" s="56" t="n">
        <v>1186</v>
      </c>
      <c r="F87" s="56" t="n">
        <v>202</v>
      </c>
      <c r="G87" s="56" t="n">
        <v>222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2838</v>
      </c>
      <c r="D88" s="56" t="n">
        <v>1192</v>
      </c>
      <c r="E88" s="56" t="n">
        <v>1189</v>
      </c>
      <c r="F88" s="56" t="n">
        <v>235</v>
      </c>
      <c r="G88" s="56" t="n">
        <v>222</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3217</v>
      </c>
      <c r="D89" s="56" t="n">
        <v>1317</v>
      </c>
      <c r="E89" s="56" t="n">
        <v>1383</v>
      </c>
      <c r="F89" s="56" t="n">
        <v>259</v>
      </c>
      <c r="G89" s="56" t="n">
        <v>258</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3741</v>
      </c>
      <c r="D90" s="56" t="n">
        <v>1496</v>
      </c>
      <c r="E90" s="56" t="n">
        <v>1643</v>
      </c>
      <c r="F90" s="56" t="n">
        <v>295</v>
      </c>
      <c r="G90" s="56" t="n">
        <v>307</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4312</v>
      </c>
      <c r="D91" s="56" t="n">
        <v>1840</v>
      </c>
      <c r="E91" s="56" t="n">
        <v>1777</v>
      </c>
      <c r="F91" s="56" t="n">
        <v>363</v>
      </c>
      <c r="G91" s="56" t="n">
        <v>332</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3852</v>
      </c>
      <c r="D92" s="56" t="n">
        <v>1691</v>
      </c>
      <c r="E92" s="56" t="n">
        <v>1540</v>
      </c>
      <c r="F92" s="56" t="n">
        <v>333</v>
      </c>
      <c r="G92" s="56" t="n">
        <v>288</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2947</v>
      </c>
      <c r="D93" s="56" t="n">
        <v>1332</v>
      </c>
      <c r="E93" s="56" t="n">
        <v>1140</v>
      </c>
      <c r="F93" s="56" t="n">
        <v>262</v>
      </c>
      <c r="G93" s="56" t="n">
        <v>213</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2871</v>
      </c>
      <c r="D94" s="56" t="n">
        <v>1347</v>
      </c>
      <c r="E94" s="56" t="n">
        <v>1060</v>
      </c>
      <c r="F94" s="56" t="n">
        <v>266</v>
      </c>
      <c r="G94" s="56" t="n">
        <v>198</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2869</v>
      </c>
      <c r="D95" s="56" t="n">
        <v>1399</v>
      </c>
      <c r="E95" s="56" t="n">
        <v>1006</v>
      </c>
      <c r="F95" s="56" t="n">
        <v>276</v>
      </c>
      <c r="G95" s="56" t="n">
        <v>188</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3055</v>
      </c>
      <c r="D96" s="56" t="n">
        <v>1517</v>
      </c>
      <c r="E96" s="56" t="n">
        <v>1044</v>
      </c>
      <c r="F96" s="56" t="n">
        <v>299</v>
      </c>
      <c r="G96" s="56" t="n">
        <v>195</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2893</v>
      </c>
      <c r="D97" s="56" t="n">
        <v>1463</v>
      </c>
      <c r="E97" s="56" t="n">
        <v>962</v>
      </c>
      <c r="F97" s="56" t="n">
        <v>288</v>
      </c>
      <c r="G97" s="56" t="n">
        <v>180</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2852</v>
      </c>
      <c r="D98" s="56" t="n">
        <v>1528</v>
      </c>
      <c r="E98" s="56" t="n">
        <v>862</v>
      </c>
      <c r="F98" s="56" t="n">
        <v>301</v>
      </c>
      <c r="G98" s="56" t="n">
        <v>161</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2747</v>
      </c>
      <c r="D99" s="56" t="n">
        <v>1496</v>
      </c>
      <c r="E99" s="56" t="n">
        <v>805</v>
      </c>
      <c r="F99" s="56" t="n">
        <v>295</v>
      </c>
      <c r="G99" s="56" t="n">
        <v>151</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2458</v>
      </c>
      <c r="D100" s="56" t="n">
        <v>1391</v>
      </c>
      <c r="E100" s="56" t="n">
        <v>668</v>
      </c>
      <c r="F100" s="56" t="n">
        <v>274</v>
      </c>
      <c r="G100" s="56" t="n">
        <v>125</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2042</v>
      </c>
      <c r="D101" s="56" t="n">
        <v>1159</v>
      </c>
      <c r="E101" s="56" t="n">
        <v>551</v>
      </c>
      <c r="F101" s="56" t="n">
        <v>229</v>
      </c>
      <c r="G101" s="56" t="n">
        <v>103</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1715</v>
      </c>
      <c r="D102" s="56" t="n">
        <v>999</v>
      </c>
      <c r="E102" s="56" t="n">
        <v>437</v>
      </c>
      <c r="F102" s="56" t="n">
        <v>197</v>
      </c>
      <c r="G102" s="56" t="n">
        <v>82</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1296</v>
      </c>
      <c r="D103" s="56" t="n">
        <v>797</v>
      </c>
      <c r="E103" s="56" t="n">
        <v>288</v>
      </c>
      <c r="F103" s="56" t="n">
        <v>157</v>
      </c>
      <c r="G103" s="56" t="n">
        <v>54</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1089</v>
      </c>
      <c r="D104" s="56" t="n">
        <v>670</v>
      </c>
      <c r="E104" s="56" t="n">
        <v>242</v>
      </c>
      <c r="F104" s="56" t="n">
        <v>132</v>
      </c>
      <c r="G104" s="56" t="n">
        <v>45</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745</v>
      </c>
      <c r="D105" s="56" t="n">
        <v>480</v>
      </c>
      <c r="E105" s="56" t="n">
        <v>144</v>
      </c>
      <c r="F105" s="56" t="n">
        <v>94</v>
      </c>
      <c r="G105" s="56" t="n">
        <v>27</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1491</v>
      </c>
      <c r="D106" s="56" t="n">
        <v>1042</v>
      </c>
      <c r="E106" s="56" t="n">
        <v>205</v>
      </c>
      <c r="F106" s="56" t="n">
        <v>205</v>
      </c>
      <c r="G106" s="56" t="n">
        <v>39</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Eurostat demo_magec 2024 (Sterbefaelle x Einzelalter x Sex)</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64011</v>
      </c>
      <c r="D9" s="118" t="n">
        <v>-3376.6</v>
      </c>
      <c r="E9" s="118" t="n">
        <v>-3306.900000000001</v>
      </c>
      <c r="F9" s="118" t="n">
        <v>36910.8</v>
      </c>
      <c r="G9" s="118" t="n">
        <v>33783.7</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442.6180019927689</v>
      </c>
      <c r="D17" s="83" t="n">
        <v>-23.34823617079538</v>
      </c>
      <c r="E17" s="83" t="n">
        <v>-22.86628033915871</v>
      </c>
      <c r="F17" s="83" t="n">
        <v>255.2277662894611</v>
      </c>
      <c r="G17" s="83" t="n">
        <v>233.6047522132618</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532.5668005599713</v>
      </c>
      <c r="D18" s="83" t="n">
        <v>-28.09306304808234</v>
      </c>
      <c r="E18" s="83" t="n">
        <v>-27.51316418696426</v>
      </c>
      <c r="F18" s="83" t="n">
        <v>307.0951346191903</v>
      </c>
      <c r="G18" s="83" t="n">
        <v>281.0778931758276</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634.4189284412753</v>
      </c>
      <c r="D19" s="83" t="n">
        <v>-33.46579421934995</v>
      </c>
      <c r="E19" s="83" t="n">
        <v>-32.77499108688277</v>
      </c>
      <c r="F19" s="83" t="n">
        <v>365.8263452205125</v>
      </c>
      <c r="G19" s="83" t="n">
        <v>334.8333685269955</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748.2301438893762</v>
      </c>
      <c r="D20" s="83" t="n">
        <v>-39.4693709496316</v>
      </c>
      <c r="E20" s="83" t="n">
        <v>-38.65464159016074</v>
      </c>
      <c r="F20" s="83" t="n">
        <v>431.4535500940774</v>
      </c>
      <c r="G20" s="83" t="n">
        <v>394.9006063350911</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873.6777895222297</v>
      </c>
      <c r="D21" s="83" t="n">
        <v>-46.08677296247147</v>
      </c>
      <c r="E21" s="83" t="n">
        <v>-45.135446754012</v>
      </c>
      <c r="F21" s="83" t="n">
        <v>503.7906946227542</v>
      </c>
      <c r="G21" s="83" t="n">
        <v>461.1093146159589</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1010.00707536403</v>
      </c>
      <c r="D22" s="83" t="n">
        <v>-53.27818485376237</v>
      </c>
      <c r="E22" s="83" t="n">
        <v>-52.17841304652812</v>
      </c>
      <c r="F22" s="83" t="n">
        <v>582.4025426465238</v>
      </c>
      <c r="G22" s="83" t="n">
        <v>533.0611306177964</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1155.991293448567</v>
      </c>
      <c r="D23" s="83" t="n">
        <v>-60.97889739979742</v>
      </c>
      <c r="E23" s="83" t="n">
        <v>-59.72016697606767</v>
      </c>
      <c r="F23" s="83" t="n">
        <v>666.581734924019</v>
      </c>
      <c r="G23" s="83" t="n">
        <v>610.1086229004135</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1309.910840509674</v>
      </c>
      <c r="D24" s="83" t="n">
        <v>-69.09820099771858</v>
      </c>
      <c r="E24" s="83" t="n">
        <v>-67.67187137338021</v>
      </c>
      <c r="F24" s="83" t="n">
        <v>755.3366929415953</v>
      </c>
      <c r="G24" s="83" t="n">
        <v>691.3442199391769</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1469.555307297745</v>
      </c>
      <c r="D25" s="83" t="n">
        <v>-77.51949587760804</v>
      </c>
      <c r="E25" s="83" t="n">
        <v>-75.9193333286922</v>
      </c>
      <c r="F25" s="83" t="n">
        <v>847.3928236803929</v>
      </c>
      <c r="G25" s="83" t="n">
        <v>775.6013128236531</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1632.251818023356</v>
      </c>
      <c r="D26" s="83" t="n">
        <v>-86.10178701688248</v>
      </c>
      <c r="E26" s="83" t="n">
        <v>-84.32446824797984</v>
      </c>
      <c r="F26" s="83" t="n">
        <v>941.2088610503898</v>
      </c>
      <c r="G26" s="83" t="n">
        <v>861.4692122378287</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1794.921305379684</v>
      </c>
      <c r="D27" s="83" t="n">
        <v>-94.68265266508944</v>
      </c>
      <c r="E27" s="83" t="n">
        <v>-92.72820710128069</v>
      </c>
      <c r="F27" s="83" t="n">
        <v>1035.00931587709</v>
      </c>
      <c r="G27" s="83" t="n">
        <v>947.3228492689635</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1954.16256893685</v>
      </c>
      <c r="D28" s="83" t="n">
        <v>-103.082678450144</v>
      </c>
      <c r="E28" s="83" t="n">
        <v>-100.9548389998168</v>
      </c>
      <c r="F28" s="83" t="n">
        <v>1126.832946673451</v>
      </c>
      <c r="G28" s="83" t="n">
        <v>1031.36713971336</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2106.361917372384</v>
      </c>
      <c r="D29" s="83" t="n">
        <v>-111.1112410398149</v>
      </c>
      <c r="E29" s="83" t="n">
        <v>-108.8176754707587</v>
      </c>
      <c r="F29" s="83" t="n">
        <v>1214.595982874015</v>
      </c>
      <c r="G29" s="83" t="n">
        <v>1111.694851008942</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2247.824105466118</v>
      </c>
      <c r="D30" s="83" t="n">
        <v>-118.5734151086047</v>
      </c>
      <c r="E30" s="83" t="n">
        <v>-116.1258148500399</v>
      </c>
      <c r="F30" s="83" t="n">
        <v>1296.167627314662</v>
      </c>
      <c r="G30" s="83" t="n">
        <v>1186.355708110101</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2374.91833525827</v>
      </c>
      <c r="D31" s="83" t="n">
        <v>-125.2776749438859</v>
      </c>
      <c r="E31" s="83" t="n">
        <v>-122.6916849114305</v>
      </c>
      <c r="F31" s="83" t="n">
        <v>1369.454245193029</v>
      </c>
      <c r="G31" s="83" t="n">
        <v>1253.433449920558</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2484.231490997392</v>
      </c>
      <c r="D32" s="83" t="n">
        <v>-131.0439776366842</v>
      </c>
      <c r="E32" s="83" t="n">
        <v>-128.3389592035631</v>
      </c>
      <c r="F32" s="83" t="n">
        <v>1432.487724264682</v>
      </c>
      <c r="G32" s="83" t="n">
        <v>1311.126703572958</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2572.71969524185</v>
      </c>
      <c r="D33" s="83" t="n">
        <v>-135.7117577127936</v>
      </c>
      <c r="E33" s="83" t="n">
        <v>-132.9103866553448</v>
      </c>
      <c r="F33" s="83" t="n">
        <v>1483.512866962442</v>
      </c>
      <c r="G33" s="83" t="n">
        <v>1357.828972647546</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2637.848845247247</v>
      </c>
      <c r="D34" s="83" t="n">
        <v>-139.1473404705731</v>
      </c>
      <c r="E34" s="83" t="n">
        <v>-136.2750518871463</v>
      </c>
      <c r="F34" s="83" t="n">
        <v>1521.068428194406</v>
      </c>
      <c r="G34" s="83" t="n">
        <v>1392.202809410561</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2677.715093796378</v>
      </c>
      <c r="D35" s="83" t="n">
        <v>-141.2502973819008</v>
      </c>
      <c r="E35" s="83" t="n">
        <v>-138.3345994231498</v>
      </c>
      <c r="F35" s="83" t="n">
        <v>1544.05658846291</v>
      </c>
      <c r="G35" s="83" t="n">
        <v>1413.243402138518</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2691.137286509675</v>
      </c>
      <c r="D36" s="83" t="n">
        <v>-141.9583221888202</v>
      </c>
      <c r="E36" s="83" t="n">
        <v>-139.0280091352869</v>
      </c>
      <c r="F36" s="83" t="n">
        <v>1551.796256188801</v>
      </c>
      <c r="G36" s="83" t="n">
        <v>1420.327361644982</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2677.715093796378</v>
      </c>
      <c r="D37" s="83" t="n">
        <v>-141.2502973819008</v>
      </c>
      <c r="E37" s="83" t="n">
        <v>-138.3345994231498</v>
      </c>
      <c r="F37" s="83" t="n">
        <v>1544.05658846291</v>
      </c>
      <c r="G37" s="83" t="n">
        <v>1413.243402138518</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2637.848845247247</v>
      </c>
      <c r="D38" s="83" t="n">
        <v>-139.1473404705731</v>
      </c>
      <c r="E38" s="83" t="n">
        <v>-136.2750518871463</v>
      </c>
      <c r="F38" s="83" t="n">
        <v>1521.068428194406</v>
      </c>
      <c r="G38" s="83" t="n">
        <v>1392.202809410561</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2572.71969524185</v>
      </c>
      <c r="D39" s="83" t="n">
        <v>-135.7117577127936</v>
      </c>
      <c r="E39" s="83" t="n">
        <v>-132.9103866553448</v>
      </c>
      <c r="F39" s="83" t="n">
        <v>1483.512866962442</v>
      </c>
      <c r="G39" s="83" t="n">
        <v>1357.828972647546</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2484.231490997392</v>
      </c>
      <c r="D40" s="83" t="n">
        <v>-131.0439776366842</v>
      </c>
      <c r="E40" s="83" t="n">
        <v>-128.3389592035631</v>
      </c>
      <c r="F40" s="83" t="n">
        <v>1432.487724264682</v>
      </c>
      <c r="G40" s="83" t="n">
        <v>1311.126703572958</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2374.91833525827</v>
      </c>
      <c r="D41" s="83" t="n">
        <v>-125.2776749438859</v>
      </c>
      <c r="E41" s="83" t="n">
        <v>-122.6916849114305</v>
      </c>
      <c r="F41" s="83" t="n">
        <v>1369.454245193029</v>
      </c>
      <c r="G41" s="83" t="n">
        <v>1253.433449920558</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2247.824105466118</v>
      </c>
      <c r="D42" s="83" t="n">
        <v>-118.5734151086047</v>
      </c>
      <c r="E42" s="83" t="n">
        <v>-116.1258148500399</v>
      </c>
      <c r="F42" s="83" t="n">
        <v>1296.167627314662</v>
      </c>
      <c r="G42" s="83" t="n">
        <v>1186.355708110101</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2106.361917372384</v>
      </c>
      <c r="D43" s="83" t="n">
        <v>-111.1112410398149</v>
      </c>
      <c r="E43" s="83" t="n">
        <v>-108.8176754707587</v>
      </c>
      <c r="F43" s="83" t="n">
        <v>1214.595982874015</v>
      </c>
      <c r="G43" s="83" t="n">
        <v>1111.694851008942</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1954.16256893685</v>
      </c>
      <c r="D44" s="83" t="n">
        <v>-103.082678450144</v>
      </c>
      <c r="E44" s="83" t="n">
        <v>-100.9548389998168</v>
      </c>
      <c r="F44" s="83" t="n">
        <v>1126.832946673451</v>
      </c>
      <c r="G44" s="83" t="n">
        <v>1031.36713971336</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1794.921305379684</v>
      </c>
      <c r="D45" s="83" t="n">
        <v>-94.68265266508944</v>
      </c>
      <c r="E45" s="83" t="n">
        <v>-92.72820710128069</v>
      </c>
      <c r="F45" s="83" t="n">
        <v>1035.00931587709</v>
      </c>
      <c r="G45" s="83" t="n">
        <v>947.3228492689635</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1632.251818023356</v>
      </c>
      <c r="D46" s="83" t="n">
        <v>-86.10178701688248</v>
      </c>
      <c r="E46" s="83" t="n">
        <v>-84.32446824797984</v>
      </c>
      <c r="F46" s="83" t="n">
        <v>941.2088610503898</v>
      </c>
      <c r="G46" s="83" t="n">
        <v>861.4692122378287</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1469.555307297745</v>
      </c>
      <c r="D47" s="83" t="n">
        <v>-77.51949587760804</v>
      </c>
      <c r="E47" s="83" t="n">
        <v>-75.9193333286922</v>
      </c>
      <c r="F47" s="83" t="n">
        <v>847.3928236803929</v>
      </c>
      <c r="G47" s="83" t="n">
        <v>775.6013128236531</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1309.910840509674</v>
      </c>
      <c r="D48" s="83" t="n">
        <v>-69.09820099771858</v>
      </c>
      <c r="E48" s="83" t="n">
        <v>-67.67187137338021</v>
      </c>
      <c r="F48" s="83" t="n">
        <v>755.3366929415953</v>
      </c>
      <c r="G48" s="83" t="n">
        <v>691.3442199391769</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1155.991293448567</v>
      </c>
      <c r="D49" s="83" t="n">
        <v>-60.97889739979742</v>
      </c>
      <c r="E49" s="83" t="n">
        <v>-59.72016697606767</v>
      </c>
      <c r="F49" s="83" t="n">
        <v>666.581734924019</v>
      </c>
      <c r="G49" s="83" t="n">
        <v>610.1086229004135</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1010.00707536403</v>
      </c>
      <c r="D50" s="83" t="n">
        <v>-53.27818485376237</v>
      </c>
      <c r="E50" s="83" t="n">
        <v>-52.17841304652812</v>
      </c>
      <c r="F50" s="83" t="n">
        <v>582.4025426465238</v>
      </c>
      <c r="G50" s="83" t="n">
        <v>533.0611306177964</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873.6777895222297</v>
      </c>
      <c r="D51" s="83" t="n">
        <v>-46.08677296247147</v>
      </c>
      <c r="E51" s="83" t="n">
        <v>-45.135446754012</v>
      </c>
      <c r="F51" s="83" t="n">
        <v>503.7906946227542</v>
      </c>
      <c r="G51" s="83" t="n">
        <v>461.1093146159589</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748.2301438893762</v>
      </c>
      <c r="D52" s="83" t="n">
        <v>-39.4693709496316</v>
      </c>
      <c r="E52" s="83" t="n">
        <v>-38.65464159016074</v>
      </c>
      <c r="F52" s="83" t="n">
        <v>431.4535500940774</v>
      </c>
      <c r="G52" s="83" t="n">
        <v>394.9006063350911</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634.4189284412753</v>
      </c>
      <c r="D53" s="83" t="n">
        <v>-33.46579421934995</v>
      </c>
      <c r="E53" s="83" t="n">
        <v>-32.77499108688277</v>
      </c>
      <c r="F53" s="83" t="n">
        <v>365.8263452205125</v>
      </c>
      <c r="G53" s="83" t="n">
        <v>334.8333685269955</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532.5668005599713</v>
      </c>
      <c r="D54" s="83" t="n">
        <v>-28.09306304808234</v>
      </c>
      <c r="E54" s="83" t="n">
        <v>-27.51316418696426</v>
      </c>
      <c r="F54" s="83" t="n">
        <v>307.0951346191903</v>
      </c>
      <c r="G54" s="83" t="n">
        <v>281.0778931758276</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442.6180019927689</v>
      </c>
      <c r="D55" s="83" t="n">
        <v>-23.34823617079538</v>
      </c>
      <c r="E55" s="83" t="n">
        <v>-22.86628033915871</v>
      </c>
      <c r="F55" s="83" t="n">
        <v>255.2277662894611</v>
      </c>
      <c r="G55" s="83" t="n">
        <v>233.6047522132618</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Eurostat migr_imm3ctb 2015-2024 (Zeitreihe); downloaded ec.europa.eu/eurostat migr_imm3ctb; 2026-05-18</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166323</v>
      </c>
      <c r="D189" s="112" t="n">
        <v>3444</v>
      </c>
      <c r="E189" s="112" t="n">
        <v>4414</v>
      </c>
      <c r="F189" s="129" t="n">
        <v>77113</v>
      </c>
      <c r="G189" s="118" t="n">
        <v>81352</v>
      </c>
      <c r="H189" s="83">
        <f t="array" ref="H189">E189+D189</f>
        <v/>
      </c>
      <c r="I189" s="128">
        <f t="array" ref="I189">G189+F189</f>
        <v/>
      </c>
      <c r="J189" s="112" t="n">
        <v>69345</v>
      </c>
      <c r="K189" s="112" t="n">
        <v>96978</v>
      </c>
      <c r="L189" s="131" t="n"/>
    </row>
    <row r="190" ht="20.65" customHeight="1" s="206">
      <c r="A190" s="10" t="n"/>
      <c r="B190" s="127">
        <f t="array" ref="B190">$B191-1</f>
        <v/>
      </c>
      <c r="C190" s="128" t="n">
        <v>129509</v>
      </c>
      <c r="D190" s="112" t="n">
        <v>3500</v>
      </c>
      <c r="E190" s="112" t="n">
        <v>4485</v>
      </c>
      <c r="F190" s="129" t="n">
        <v>59137</v>
      </c>
      <c r="G190" s="118" t="n">
        <v>62387</v>
      </c>
      <c r="H190" s="83">
        <f t="array" ref="H190">E190+D190</f>
        <v/>
      </c>
      <c r="I190" s="128">
        <f t="array" ref="I190">G190+F190</f>
        <v/>
      </c>
      <c r="J190" s="112" t="n">
        <v>59191</v>
      </c>
      <c r="K190" s="112" t="n">
        <v>70318</v>
      </c>
      <c r="L190" s="131" t="n"/>
    </row>
    <row r="191" ht="20.65" customHeight="1" s="206">
      <c r="A191" s="10" t="n"/>
      <c r="B191" s="127">
        <f t="array" ref="B191">$B192-1</f>
        <v/>
      </c>
      <c r="C191" s="128" t="n">
        <v>111801</v>
      </c>
      <c r="D191" s="112" t="n">
        <v>3481</v>
      </c>
      <c r="E191" s="112" t="n">
        <v>4461</v>
      </c>
      <c r="F191" s="129" t="n">
        <v>50541</v>
      </c>
      <c r="G191" s="118" t="n">
        <v>53318</v>
      </c>
      <c r="H191" s="83">
        <f t="array" ref="H191">E191+D191</f>
        <v/>
      </c>
      <c r="I191" s="128">
        <f t="array" ref="I191">G191+F191</f>
        <v/>
      </c>
      <c r="J191" s="112" t="n">
        <v>52863</v>
      </c>
      <c r="K191" s="112" t="n">
        <v>58938</v>
      </c>
      <c r="L191" s="131" t="n"/>
    </row>
    <row r="192" ht="20.65" customHeight="1" s="206">
      <c r="A192" s="10" t="n"/>
      <c r="B192" s="127">
        <f t="array" ref="B192">$B193-1</f>
        <v/>
      </c>
      <c r="C192" s="128" t="n">
        <v>105633</v>
      </c>
      <c r="D192" s="112" t="n">
        <v>3322</v>
      </c>
      <c r="E192" s="112" t="n">
        <v>4257</v>
      </c>
      <c r="F192" s="129" t="n">
        <v>47716</v>
      </c>
      <c r="G192" s="118" t="n">
        <v>50338</v>
      </c>
      <c r="H192" s="83">
        <f t="array" ref="H192">E192+D192</f>
        <v/>
      </c>
      <c r="I192" s="128">
        <f t="array" ref="I192">G192+F192</f>
        <v/>
      </c>
      <c r="J192" s="112" t="n">
        <v>49456</v>
      </c>
      <c r="K192" s="112" t="n">
        <v>56177</v>
      </c>
      <c r="L192" s="131" t="n"/>
    </row>
    <row r="193" ht="20.65" customHeight="1" s="206">
      <c r="A193" s="10" t="n"/>
      <c r="B193" s="127">
        <f t="array" ref="B193">$B194-1</f>
        <v/>
      </c>
      <c r="C193" s="128" t="n">
        <v>109167</v>
      </c>
      <c r="D193" s="112" t="n">
        <v>3468</v>
      </c>
      <c r="E193" s="112" t="n">
        <v>4444</v>
      </c>
      <c r="F193" s="129" t="n">
        <v>49273</v>
      </c>
      <c r="G193" s="118" t="n">
        <v>51982</v>
      </c>
      <c r="H193" s="83">
        <f t="array" ref="H193">E193+D193</f>
        <v/>
      </c>
      <c r="I193" s="128">
        <f t="array" ref="I193">G193+F193</f>
        <v/>
      </c>
      <c r="J193" s="112" t="n">
        <v>50613</v>
      </c>
      <c r="K193" s="112" t="n">
        <v>58554</v>
      </c>
      <c r="L193" s="131" t="n"/>
    </row>
    <row r="194" ht="20.65" customHeight="1" s="206">
      <c r="A194" s="10" t="n"/>
      <c r="B194" s="127">
        <f t="array" ref="B194">$B195-1</f>
        <v/>
      </c>
      <c r="C194" s="128" t="n">
        <v>103565</v>
      </c>
      <c r="D194" s="112" t="n">
        <v>3537</v>
      </c>
      <c r="E194" s="112" t="n">
        <v>4532</v>
      </c>
      <c r="F194" s="129" t="n">
        <v>46471</v>
      </c>
      <c r="G194" s="118" t="n">
        <v>49025</v>
      </c>
      <c r="H194" s="83">
        <f t="array" ref="H194">E194+D194</f>
        <v/>
      </c>
      <c r="I194" s="128">
        <f t="array" ref="I194">G194+F194</f>
        <v/>
      </c>
      <c r="J194" s="112" t="n">
        <v>47156</v>
      </c>
      <c r="K194" s="112" t="n">
        <v>56409</v>
      </c>
      <c r="L194" s="131" t="n"/>
    </row>
    <row r="195" ht="20.65" customHeight="1" s="206">
      <c r="A195" s="10" t="n"/>
      <c r="B195" s="127">
        <f t="array" ref="B195">$B196-1</f>
        <v/>
      </c>
      <c r="C195" s="128" t="n">
        <v>118511</v>
      </c>
      <c r="D195" s="112" t="n">
        <v>3389</v>
      </c>
      <c r="E195" s="112" t="n">
        <v>4343</v>
      </c>
      <c r="F195" s="129" t="n">
        <v>53908</v>
      </c>
      <c r="G195" s="118" t="n">
        <v>56871</v>
      </c>
      <c r="H195" s="83">
        <f t="array" ref="H195">E195+D195</f>
        <v/>
      </c>
      <c r="I195" s="128">
        <f t="array" ref="I195">G195+F195</f>
        <v/>
      </c>
      <c r="J195" s="112" t="n">
        <v>50392</v>
      </c>
      <c r="K195" s="112" t="n">
        <v>68119</v>
      </c>
      <c r="L195" s="131" t="n"/>
    </row>
    <row r="196" ht="20.65" customHeight="1" s="206">
      <c r="A196" s="10" t="n"/>
      <c r="B196" s="127">
        <f t="array" ref="B196">$B197-1</f>
        <v/>
      </c>
      <c r="C196" s="128" t="n">
        <v>201622</v>
      </c>
      <c r="D196" s="112" t="n">
        <v>3636</v>
      </c>
      <c r="E196" s="112" t="n">
        <v>4660</v>
      </c>
      <c r="F196" s="129" t="n">
        <v>94078</v>
      </c>
      <c r="G196" s="118" t="n">
        <v>99248</v>
      </c>
      <c r="H196" s="83">
        <f t="array" ref="H196">E196+D196</f>
        <v/>
      </c>
      <c r="I196" s="128">
        <f t="array" ref="I196">G196+F196</f>
        <v/>
      </c>
      <c r="J196" s="112" t="n">
        <v>102165</v>
      </c>
      <c r="K196" s="112" t="n">
        <v>99457</v>
      </c>
      <c r="L196" s="131" t="n"/>
    </row>
    <row r="197" ht="20.65" customHeight="1" s="206">
      <c r="A197" s="10" t="n"/>
      <c r="B197" s="127">
        <f t="array" ref="B197">$B198-1</f>
        <v/>
      </c>
      <c r="C197" s="128" t="n">
        <v>147591</v>
      </c>
      <c r="D197" s="112" t="n">
        <v>2952</v>
      </c>
      <c r="E197" s="112" t="n">
        <v>3784</v>
      </c>
      <c r="F197" s="129" t="n">
        <v>68544</v>
      </c>
      <c r="G197" s="118" t="n">
        <v>72311</v>
      </c>
      <c r="H197" s="83">
        <f t="array" ref="H197">E197+D197</f>
        <v/>
      </c>
      <c r="I197" s="128">
        <f t="array" ref="I197">G197+F197</f>
        <v/>
      </c>
      <c r="J197" s="112" t="n">
        <v>68403</v>
      </c>
      <c r="K197" s="112" t="n">
        <v>79188</v>
      </c>
      <c r="L197" s="131" t="n"/>
    </row>
    <row r="198" ht="20.45" customHeight="1" s="206">
      <c r="A198" s="10" t="n"/>
      <c r="B198" s="127">
        <f t="array" ref="B198">$C$7</f>
        <v/>
      </c>
      <c r="C198" s="128" t="n">
        <v>128805</v>
      </c>
      <c r="D198" s="132" t="n">
        <v>3062</v>
      </c>
      <c r="E198" s="133" t="n">
        <v>3924</v>
      </c>
      <c r="F198" s="118" t="n">
        <v>59280</v>
      </c>
      <c r="G198" s="118" t="n">
        <v>62539</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56689</v>
      </c>
      <c r="D276" s="112" t="n">
        <v>6650</v>
      </c>
      <c r="E276" s="112" t="n">
        <v>7518</v>
      </c>
      <c r="F276" s="129" t="n">
        <v>18711</v>
      </c>
      <c r="G276" s="118" t="n">
        <v>23810</v>
      </c>
      <c r="H276" s="83">
        <f t="array" ref="H276">E276+D276</f>
        <v/>
      </c>
      <c r="I276" s="128">
        <f t="array" ref="I276">G276+F276</f>
        <v/>
      </c>
      <c r="J276" s="112" t="n">
        <v>24746</v>
      </c>
      <c r="K276" s="112" t="n">
        <v>31943</v>
      </c>
      <c r="L276" s="131" t="n"/>
    </row>
    <row r="277" ht="20.65" customHeight="1" s="206">
      <c r="A277" s="10" t="n"/>
      <c r="B277" s="127">
        <f t="array" ref="B277">$B278-1</f>
        <v/>
      </c>
      <c r="C277" s="128" t="n">
        <v>64428</v>
      </c>
      <c r="D277" s="112" t="n">
        <v>6800</v>
      </c>
      <c r="E277" s="112" t="n">
        <v>7687</v>
      </c>
      <c r="F277" s="129" t="n">
        <v>21976</v>
      </c>
      <c r="G277" s="118" t="n">
        <v>27965</v>
      </c>
      <c r="H277" s="83">
        <f t="array" ref="H277">E277+D277</f>
        <v/>
      </c>
      <c r="I277" s="128">
        <f t="array" ref="I277">G277+F277</f>
        <v/>
      </c>
      <c r="J277" s="112" t="n">
        <v>28284</v>
      </c>
      <c r="K277" s="112" t="n">
        <v>36144</v>
      </c>
      <c r="L277" s="131" t="n"/>
    </row>
    <row r="278" ht="20.65" customHeight="1" s="206">
      <c r="A278" s="10" t="n"/>
      <c r="B278" s="127">
        <f t="array" ref="B278">$B279-1</f>
        <v/>
      </c>
      <c r="C278" s="128" t="n">
        <v>66144</v>
      </c>
      <c r="D278" s="112" t="n">
        <v>6903</v>
      </c>
      <c r="E278" s="112" t="n">
        <v>7804</v>
      </c>
      <c r="F278" s="129" t="n">
        <v>22634</v>
      </c>
      <c r="G278" s="118" t="n">
        <v>28803</v>
      </c>
      <c r="H278" s="83">
        <f t="array" ref="H278">E278+D278</f>
        <v/>
      </c>
      <c r="I278" s="128">
        <f t="array" ref="I278">G278+F278</f>
        <v/>
      </c>
      <c r="J278" s="112" t="n">
        <v>28364</v>
      </c>
      <c r="K278" s="112" t="n">
        <v>37780</v>
      </c>
      <c r="L278" s="131" t="n"/>
    </row>
    <row r="279" ht="20.65" customHeight="1" s="206">
      <c r="A279" s="10" t="n"/>
      <c r="B279" s="127">
        <f t="array" ref="B279">$B280-1</f>
        <v/>
      </c>
      <c r="C279" s="128" t="n">
        <v>67212</v>
      </c>
      <c r="D279" s="112" t="n">
        <v>6646</v>
      </c>
      <c r="E279" s="112" t="n">
        <v>7514</v>
      </c>
      <c r="F279" s="129" t="n">
        <v>23345</v>
      </c>
      <c r="G279" s="118" t="n">
        <v>29707</v>
      </c>
      <c r="H279" s="83">
        <f t="array" ref="H279">E279+D279</f>
        <v/>
      </c>
      <c r="I279" s="128">
        <f t="array" ref="I279">G279+F279</f>
        <v/>
      </c>
      <c r="J279" s="112" t="n">
        <v>28381</v>
      </c>
      <c r="K279" s="112" t="n">
        <v>38831</v>
      </c>
      <c r="L279" s="131" t="n"/>
    </row>
    <row r="280" ht="20.65" customHeight="1" s="206">
      <c r="A280" s="10" t="n"/>
      <c r="B280" s="127">
        <f t="array" ref="B280">$B281-1</f>
        <v/>
      </c>
      <c r="C280" s="128" t="n">
        <v>68280</v>
      </c>
      <c r="D280" s="112" t="n">
        <v>6745</v>
      </c>
      <c r="E280" s="112" t="n">
        <v>7625</v>
      </c>
      <c r="F280" s="129" t="n">
        <v>23722</v>
      </c>
      <c r="G280" s="118" t="n">
        <v>30188</v>
      </c>
      <c r="H280" s="83">
        <f t="array" ref="H280">E280+D280</f>
        <v/>
      </c>
      <c r="I280" s="128">
        <f t="array" ref="I280">G280+F280</f>
        <v/>
      </c>
      <c r="J280" s="112" t="n">
        <v>28842</v>
      </c>
      <c r="K280" s="112" t="n">
        <v>39438</v>
      </c>
      <c r="L280" s="131" t="n"/>
    </row>
    <row r="281" ht="20.65" customHeight="1" s="206">
      <c r="A281" s="10" t="n"/>
      <c r="B281" s="127">
        <f t="array" ref="B281">$B282-1</f>
        <v/>
      </c>
      <c r="C281" s="128" t="n">
        <v>62581</v>
      </c>
      <c r="D281" s="112" t="n">
        <v>5958</v>
      </c>
      <c r="E281" s="112" t="n">
        <v>6736</v>
      </c>
      <c r="F281" s="129" t="n">
        <v>21952</v>
      </c>
      <c r="G281" s="118" t="n">
        <v>27935</v>
      </c>
      <c r="H281" s="83">
        <f t="array" ref="H281">E281+D281</f>
        <v/>
      </c>
      <c r="I281" s="128">
        <f t="array" ref="I281">G281+F281</f>
        <v/>
      </c>
      <c r="J281" s="112" t="n">
        <v>26795</v>
      </c>
      <c r="K281" s="112" t="n">
        <v>35786</v>
      </c>
      <c r="L281" s="131" t="n"/>
    </row>
    <row r="282" ht="20.65" customHeight="1" s="206">
      <c r="A282" s="10" t="n"/>
      <c r="B282" s="127">
        <f t="array" ref="B282">$B283-1</f>
        <v/>
      </c>
      <c r="C282" s="128" t="n">
        <v>67299</v>
      </c>
      <c r="D282" s="112" t="n">
        <v>6221</v>
      </c>
      <c r="E282" s="112" t="n">
        <v>7033</v>
      </c>
      <c r="F282" s="129" t="n">
        <v>23782</v>
      </c>
      <c r="G282" s="118" t="n">
        <v>30263</v>
      </c>
      <c r="H282" s="83">
        <f t="array" ref="H282">E282+D282</f>
        <v/>
      </c>
      <c r="I282" s="128">
        <f t="array" ref="I282">G282+F282</f>
        <v/>
      </c>
      <c r="J282" s="112" t="n">
        <v>28792</v>
      </c>
      <c r="K282" s="112" t="n">
        <v>38507</v>
      </c>
      <c r="L282" s="131" t="n"/>
    </row>
    <row r="283" ht="20.65" customHeight="1" s="206">
      <c r="A283" s="10" t="n"/>
      <c r="B283" s="127">
        <f t="array" ref="B283">$B284-1</f>
        <v/>
      </c>
      <c r="C283" s="128" t="n">
        <v>74271</v>
      </c>
      <c r="D283" s="112" t="n">
        <v>7879</v>
      </c>
      <c r="E283" s="112" t="n">
        <v>8907</v>
      </c>
      <c r="F283" s="129" t="n">
        <v>25295</v>
      </c>
      <c r="G283" s="118" t="n">
        <v>32190</v>
      </c>
      <c r="H283" s="83">
        <f t="array" ref="H283">E283+D283</f>
        <v/>
      </c>
      <c r="I283" s="128">
        <f t="array" ref="I283">G283+F283</f>
        <v/>
      </c>
      <c r="J283" s="112" t="n">
        <v>33347</v>
      </c>
      <c r="K283" s="112" t="n">
        <v>40924</v>
      </c>
      <c r="L283" s="131" t="n"/>
    </row>
    <row r="284" ht="20.65" customHeight="1" s="206">
      <c r="A284" s="10" t="n"/>
      <c r="B284" s="127">
        <f t="array" ref="B284">$B285-1</f>
        <v/>
      </c>
      <c r="C284" s="128" t="n">
        <v>74036</v>
      </c>
      <c r="D284" s="112" t="n">
        <v>6739</v>
      </c>
      <c r="E284" s="112" t="n">
        <v>7618</v>
      </c>
      <c r="F284" s="129" t="n">
        <v>26261</v>
      </c>
      <c r="G284" s="118" t="n">
        <v>33418</v>
      </c>
      <c r="H284" s="83">
        <f t="array" ref="H284">E284+D284</f>
        <v/>
      </c>
      <c r="I284" s="128">
        <f t="array" ref="I284">G284+F284</f>
        <v/>
      </c>
      <c r="J284" s="112" t="n">
        <v>33164</v>
      </c>
      <c r="K284" s="112" t="n">
        <v>40872</v>
      </c>
      <c r="L284" s="131" t="n"/>
    </row>
    <row r="285" ht="20.65" customHeight="1" s="206">
      <c r="A285" s="10" t="n"/>
      <c r="B285" s="127">
        <f t="array" ref="B285">$C$7</f>
        <v/>
      </c>
      <c r="C285" s="128" t="n">
        <v>81477</v>
      </c>
      <c r="D285" s="112" t="n">
        <v>7016</v>
      </c>
      <c r="E285" s="134" t="n">
        <v>7931</v>
      </c>
      <c r="F285" s="118" t="n">
        <v>29275</v>
      </c>
      <c r="G285" s="118" t="n">
        <v>37255</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764809</v>
      </c>
      <c r="G62" s="55" t="n">
        <v>673842</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5616</v>
      </c>
      <c r="G107" s="55" t="n">
        <v>3943</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7354</v>
      </c>
      <c r="G123" s="55" t="n">
        <v>4616</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18881</v>
      </c>
      <c r="G184" s="55" t="n">
        <v>28189</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160489</v>
      </c>
      <c r="G208" s="55" t="n">
        <v>213743</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45568</v>
      </c>
      <c r="G243" s="55" t="n">
        <v>32942</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1356</v>
      </c>
      <c r="G273" s="55" t="n">
        <v>1540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v>54361</v>
      </c>
      <c r="G283" s="89" t="n">
        <v>52155</v>
      </c>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1058434</v>
      </c>
      <c r="G285" s="79" t="n">
        <v>1010970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2026-05-25T14:33:55Z</dcterms:modified>
  <cp:lastModifiedBy>King Dom</cp:lastModifiedBy>
</cp:coreProperties>
</file>